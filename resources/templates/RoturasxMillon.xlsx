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8_{93BB077E-18CB-418F-9D04-8DB8591B4BC9}" xr6:coauthVersionLast="47" xr6:coauthVersionMax="47" xr10:uidLastSave="{00000000-0000-0000-0000-000000000000}"/>
  <bookViews>
    <workbookView xWindow="-108" yWindow="-108" windowWidth="23256" windowHeight="12456" xr2:uid="{659495FF-927D-4A5D-BE08-2C7F47EBC0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N2" i="1"/>
  <c r="Z2" i="1"/>
  <c r="P2" i="1"/>
  <c r="R2" i="1" l="1"/>
  <c r="S2" i="1"/>
  <c r="V2" i="1"/>
  <c r="U2" i="1"/>
  <c r="T2" i="1"/>
  <c r="Y2" i="1" l="1"/>
  <c r="W2" i="1"/>
</calcChain>
</file>

<file path=xl/sharedStrings.xml><?xml version="1.0" encoding="utf-8"?>
<sst xmlns="http://schemas.openxmlformats.org/spreadsheetml/2006/main" count="31" uniqueCount="31">
  <si>
    <t>MAQ</t>
  </si>
  <si>
    <t>FECHA</t>
  </si>
  <si>
    <t>ORDEN</t>
  </si>
  <si>
    <t>.:PROVEEDOR</t>
  </si>
  <si>
    <t>CUENTA</t>
  </si>
  <si>
    <t>CALIBRE</t>
  </si>
  <si>
    <t>TIPO</t>
  </si>
  <si>
    <t>METROS X JULIO</t>
  </si>
  <si>
    <t>TOTAL JULIOS</t>
  </si>
  <si>
    <t>HILOS X JULIO</t>
  </si>
  <si>
    <t>MILLÓN</t>
  </si>
  <si>
    <t>METROS ORDEN</t>
  </si>
  <si>
    <t>MILLÓN DE METROS ANALIZADOS</t>
  </si>
  <si>
    <t>ROTURAS HILATURA</t>
  </si>
  <si>
    <t>ROTURAS MAQUINA</t>
  </si>
  <si>
    <t>ROTURAS OPERACIÓN</t>
  </si>
  <si>
    <t>TRANSFERENCIA</t>
  </si>
  <si>
    <t>TOTAL ROTURAS</t>
  </si>
  <si>
    <t>Roturas x millón de metros HILATURA</t>
  </si>
  <si>
    <t>Roturas x millón de metros MÁQUINA</t>
  </si>
  <si>
    <t>Roturas x millón de metros OPERACIÓN</t>
  </si>
  <si>
    <t>Roturas x millón de metros TRANSFERENCIA</t>
  </si>
  <si>
    <t>Roturas x millón de metros TOTALES</t>
  </si>
  <si>
    <t>LIMITE MAX</t>
  </si>
  <si>
    <t>AFECTA</t>
  </si>
  <si>
    <t>DE LOS HILOS MONTADOS</t>
  </si>
  <si>
    <t>KM1</t>
  </si>
  <si>
    <t>SKYTEX</t>
  </si>
  <si>
    <t>75</t>
  </si>
  <si>
    <t>5000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</si>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</sst>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1"/>
      <name val="Verdana"/>
      <family val="2"/>
    </font>
    <font>
      <b/>
      <sz val="9"/>
      <color theme="0"/>
      <name val="Verdana"/>
      <family val="2"/>
    </font>
    <font>
      <b/>
      <sz val="9"/>
      <color theme="9" tint="-0.499984740745262"/>
      <name val="Verdana"/>
      <family val="2"/>
    </font>
    <font>
      <b/>
      <sz val="9"/>
      <color theme="1"/>
      <name val="Verdana"/>
      <family val="2"/>
    </font>
    <font>
      <b/>
      <sz val="9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0" borderId="1" xfId="2" applyFont="1" applyBorder="1" applyAlignment="1">
      <alignment horizontal="center" vertical="center"/>
    </xf>
    <xf numFmtId="16" fontId="2" fillId="0" borderId="1" xfId="2" applyNumberFormat="1" applyFont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1" fontId="2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4" fillId="6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50A82DE3-285D-4DAB-948C-B22D8D1CB7EE}"/>
    <cellStyle name="Porcentaje" xfId="1" builtinId="5"/>
  </cellStyles>
  <dxfs count="18"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CC0066"/>
        </patternFill>
      </fill>
    </dxf>
    <dxf>
      <fill>
        <patternFill>
          <bgColor rgb="FF009999"/>
        </patternFill>
      </fill>
    </dxf>
    <dxf>
      <fill>
        <patternFill>
          <bgColor rgb="FFFFCC00"/>
        </patternFill>
      </fill>
    </dxf>
    <dxf>
      <fill>
        <patternFill>
          <bgColor rgb="FFCC66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CC0066"/>
        </patternFill>
      </fill>
    </dxf>
    <dxf>
      <fill>
        <patternFill>
          <bgColor rgb="FF009999"/>
        </patternFill>
      </fill>
    </dxf>
    <dxf>
      <fill>
        <patternFill>
          <bgColor rgb="FFFFCC00"/>
        </patternFill>
      </fill>
    </dxf>
    <dxf>
      <fill>
        <patternFill>
          <bgColor rgb="FFCC66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CC0066"/>
        </patternFill>
      </fill>
    </dxf>
    <dxf>
      <fill>
        <patternFill>
          <bgColor rgb="FF009999"/>
        </patternFill>
      </fill>
    </dxf>
    <dxf>
      <fill>
        <patternFill>
          <bgColor rgb="FFFFCC00"/>
        </patternFill>
      </fill>
    </dxf>
    <dxf>
      <fill>
        <patternFill>
          <bgColor rgb="FFCC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D0F5-8B32-4B2E-9FC2-457478E8AD7D}">
  <dimension ref="A1:Z2"/>
  <sheetViews>
    <sheetView tabSelected="1" topLeftCell="K1" workbookViewId="0">
      <selection activeCell="V7" sqref="V7"/>
    </sheetView>
  </sheetViews>
  <sheetFormatPr baseColWidth="10" defaultRowHeight="14.4" x14ac:dyDescent="0.3"/>
  <sheetData>
    <row r="1" spans="1:26" ht="40.799999999999997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9" t="s">
        <v>9</v>
      </c>
      <c r="K1" s="9" t="s">
        <v>10</v>
      </c>
      <c r="L1" s="11" t="s">
        <v>11</v>
      </c>
      <c r="M1" s="9" t="s">
        <v>12</v>
      </c>
      <c r="N1" s="12" t="s">
        <v>13</v>
      </c>
      <c r="O1" s="13" t="s">
        <v>14</v>
      </c>
      <c r="P1" s="13" t="s">
        <v>15</v>
      </c>
      <c r="Q1" s="14" t="s">
        <v>16</v>
      </c>
      <c r="R1" s="15" t="s">
        <v>17</v>
      </c>
      <c r="S1" s="16" t="s">
        <v>18</v>
      </c>
      <c r="T1" s="9" t="s">
        <v>19</v>
      </c>
      <c r="U1" s="9" t="s">
        <v>20</v>
      </c>
      <c r="V1" s="17" t="s">
        <v>21</v>
      </c>
      <c r="W1" s="18" t="s">
        <v>22</v>
      </c>
      <c r="X1" s="9" t="s">
        <v>23</v>
      </c>
      <c r="Y1" s="14" t="s">
        <v>24</v>
      </c>
      <c r="Z1" s="14" t="s">
        <v>25</v>
      </c>
    </row>
    <row r="2" spans="1:26" x14ac:dyDescent="0.3">
      <c r="A2" s="1" t="s">
        <v>26</v>
      </c>
      <c r="B2" s="2">
        <v>46024</v>
      </c>
      <c r="C2" s="3">
        <v>3993</v>
      </c>
      <c r="D2" s="1" t="s">
        <v>27</v>
      </c>
      <c r="E2" s="1">
        <v>2264</v>
      </c>
      <c r="F2" s="4" t="s">
        <v>28</v>
      </c>
      <c r="G2" s="4"/>
      <c r="H2" s="4" t="s">
        <v>29</v>
      </c>
      <c r="I2" s="4" t="s">
        <v>30</v>
      </c>
      <c r="J2" s="1">
        <v>566</v>
      </c>
      <c r="K2" s="1">
        <v>1000000</v>
      </c>
      <c r="L2" s="5">
        <f>H2*I2</f>
        <v>20000</v>
      </c>
      <c r="M2" s="1">
        <f>(L2*J2)/K2</f>
        <v>11.32</v>
      </c>
      <c r="N2" s="1">
        <f>8+6</f>
        <v>14</v>
      </c>
      <c r="O2" s="1">
        <v>0</v>
      </c>
      <c r="P2" s="1">
        <f>3+4+6+6</f>
        <v>19</v>
      </c>
      <c r="Q2" s="1">
        <v>0</v>
      </c>
      <c r="R2" s="1">
        <f>N2+O2+P2+Q2</f>
        <v>33</v>
      </c>
      <c r="S2" s="6">
        <f>N2/M2</f>
        <v>1.2367491166077738</v>
      </c>
      <c r="T2" s="6">
        <f t="shared" ref="T2" si="0">O2/M2</f>
        <v>0</v>
      </c>
      <c r="U2" s="6">
        <f t="shared" ref="U2" si="1">P2/M2</f>
        <v>1.6784452296819787</v>
      </c>
      <c r="V2" s="6">
        <f t="shared" ref="V2" si="2">Q2/M2</f>
        <v>0</v>
      </c>
      <c r="W2" s="6">
        <f t="shared" ref="W2" si="3">R2/M2</f>
        <v>2.9151943462897525</v>
      </c>
      <c r="X2" s="7"/>
      <c r="Y2" s="8">
        <f t="shared" ref="Y2" si="4">Q2/R2</f>
        <v>0</v>
      </c>
      <c r="Z2" s="8">
        <f t="shared" ref="Z2" si="5">Q2/J2</f>
        <v>0</v>
      </c>
    </row>
  </sheetData>
  <conditionalFormatting sqref="F1:P2 R2:W2">
    <cfRule type="containsText" dxfId="17" priority="1" operator="containsText" text="12/1 ANILLO">
      <formula>NOT(ISERROR(SEARCH("12/1 ANILLO",F1)))</formula>
    </cfRule>
    <cfRule type="containsText" dxfId="16" priority="2" operator="containsText" text="12/1 TENCEL">
      <formula>NOT(ISERROR(SEARCH("12/1 TENCEL",F1)))</formula>
    </cfRule>
    <cfRule type="containsText" dxfId="15" priority="3" operator="containsText" text="14/1 OPEN">
      <formula>NOT(ISERROR(SEARCH("14/1 OPEN",F1)))</formula>
    </cfRule>
    <cfRule type="containsText" dxfId="14" priority="4" operator="containsText" text="14/1 ANILLO">
      <formula>NOT(ISERROR(SEARCH("14/1 ANILLO",F1)))</formula>
    </cfRule>
    <cfRule type="containsText" dxfId="13" priority="5" operator="containsText" text="10/1">
      <formula>NOT(ISERROR(SEARCH("10/1",F1)))</formula>
    </cfRule>
    <cfRule type="containsText" dxfId="12" priority="6" operator="containsText" text="12/1">
      <formula>NOT(ISERROR(SEARCH("12/1",F1)))</formula>
    </cfRule>
  </conditionalFormatting>
  <conditionalFormatting sqref="R1:S1">
    <cfRule type="containsText" dxfId="11" priority="13" operator="containsText" text="12/1 ANILLO">
      <formula>NOT(ISERROR(SEARCH("12/1 ANILLO",R1)))</formula>
    </cfRule>
    <cfRule type="containsText" dxfId="10" priority="14" operator="containsText" text="12/1 TENCEL">
      <formula>NOT(ISERROR(SEARCH("12/1 TENCEL",R1)))</formula>
    </cfRule>
    <cfRule type="containsText" dxfId="9" priority="15" operator="containsText" text="14/1 OPEN">
      <formula>NOT(ISERROR(SEARCH("14/1 OPEN",R1)))</formula>
    </cfRule>
    <cfRule type="containsText" dxfId="8" priority="16" operator="containsText" text="14/1 ANILLO">
      <formula>NOT(ISERROR(SEARCH("14/1 ANILLO",R1)))</formula>
    </cfRule>
    <cfRule type="containsText" dxfId="7" priority="17" operator="containsText" text="10/1">
      <formula>NOT(ISERROR(SEARCH("10/1",R1)))</formula>
    </cfRule>
    <cfRule type="containsText" dxfId="6" priority="18" operator="containsText" text="12/1">
      <formula>NOT(ISERROR(SEARCH("12/1",R1)))</formula>
    </cfRule>
  </conditionalFormatting>
  <conditionalFormatting sqref="T1:W1">
    <cfRule type="containsText" dxfId="5" priority="7" operator="containsText" text="12/1 ANILLO">
      <formula>NOT(ISERROR(SEARCH("12/1 ANILLO",T1)))</formula>
    </cfRule>
    <cfRule type="containsText" dxfId="4" priority="8" operator="containsText" text="12/1 TENCEL">
      <formula>NOT(ISERROR(SEARCH("12/1 TENCEL",T1)))</formula>
    </cfRule>
    <cfRule type="containsText" dxfId="3" priority="9" operator="containsText" text="14/1 OPEN">
      <formula>NOT(ISERROR(SEARCH("14/1 OPEN",T1)))</formula>
    </cfRule>
    <cfRule type="containsText" dxfId="2" priority="10" operator="containsText" text="14/1 ANILLO">
      <formula>NOT(ISERROR(SEARCH("14/1 ANILLO",T1)))</formula>
    </cfRule>
    <cfRule type="containsText" dxfId="1" priority="11" operator="containsText" text="10/1">
      <formula>NOT(ISERROR(SEARCH("10/1",T1)))</formula>
    </cfRule>
    <cfRule type="containsText" dxfId="0" priority="12" operator="containsText" text="12/1">
      <formula>NOT(ISERROR(SEARCH("12/1",T1)))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2026-02-09T22:10:51Z</dcterms:created>
  <dcterms:modified xsi:type="dcterms:W3CDTF">2026-02-09T23:19:19Z</dcterms:modified>
</cp:coreProperties>
</file>