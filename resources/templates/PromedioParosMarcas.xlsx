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13_ncr:1_{0400067E-9CB5-440A-B778-400DD0677183}" xr6:coauthVersionLast="47" xr6:coauthVersionMax="47" xr10:uidLastSave="{00000000-0000-0000-0000-000000000000}"/>
  <bookViews>
    <workbookView xWindow="-120" yWindow="-120" windowWidth="29040" windowHeight="15720" xr2:uid="{0425D8B9-DE32-4E4D-835E-2BE4691AC9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34" i="1" l="1"/>
  <c r="AS233" i="1"/>
  <c r="AS232" i="1"/>
  <c r="AS231" i="1"/>
  <c r="AS230" i="1"/>
  <c r="AS229" i="1"/>
  <c r="AS228" i="1"/>
  <c r="AS223" i="1"/>
  <c r="AS222" i="1"/>
  <c r="AS221" i="1"/>
  <c r="AS220" i="1"/>
  <c r="AS219" i="1"/>
  <c r="AS218" i="1"/>
  <c r="AS217" i="1"/>
  <c r="AS212" i="1"/>
  <c r="AS211" i="1"/>
  <c r="AS210" i="1"/>
  <c r="AS209" i="1"/>
  <c r="AS208" i="1"/>
  <c r="AS207" i="1"/>
  <c r="AS206" i="1"/>
  <c r="AS42" i="1"/>
  <c r="AS41" i="1"/>
  <c r="AS40" i="1"/>
  <c r="AS39" i="1"/>
  <c r="AS38" i="1"/>
  <c r="AS37" i="1"/>
  <c r="AS36" i="1"/>
  <c r="AS240" i="1"/>
  <c r="AS241" i="1"/>
  <c r="AS242" i="1"/>
  <c r="AS243" i="1"/>
  <c r="AS244" i="1"/>
  <c r="AS245" i="1"/>
  <c r="AS246" i="1"/>
  <c r="AS247" i="1"/>
  <c r="AS251" i="1"/>
  <c r="AS252" i="1"/>
  <c r="AS253" i="1"/>
  <c r="AS254" i="1"/>
  <c r="AS255" i="1"/>
  <c r="AS256" i="1"/>
  <c r="AS257" i="1"/>
  <c r="AS262" i="1"/>
  <c r="AS263" i="1"/>
  <c r="AS264" i="1"/>
  <c r="AS265" i="1"/>
  <c r="AS266" i="1"/>
  <c r="AS267" i="1"/>
  <c r="AS268" i="1"/>
  <c r="E13" i="1"/>
  <c r="AS7" i="1"/>
  <c r="L2" i="1"/>
  <c r="AJ2" i="1" s="1"/>
  <c r="L268" i="1"/>
  <c r="AJ268" i="1" s="1"/>
  <c r="L257" i="1"/>
  <c r="AJ257" i="1" s="1"/>
  <c r="L246" i="1"/>
  <c r="AJ245" i="1" s="1"/>
  <c r="L234" i="1"/>
  <c r="AJ234" i="1" s="1"/>
  <c r="AP228" i="1"/>
  <c r="AN228" i="1"/>
  <c r="AM228" i="1"/>
  <c r="AL228" i="1"/>
  <c r="AI228" i="1"/>
  <c r="AH228" i="1"/>
  <c r="AG228" i="1"/>
  <c r="AF228" i="1"/>
  <c r="AE228" i="1"/>
  <c r="AD228" i="1"/>
  <c r="AC228" i="1"/>
  <c r="AB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K228" i="1"/>
  <c r="J228" i="1"/>
  <c r="I228" i="1"/>
  <c r="H228" i="1"/>
  <c r="G228" i="1"/>
  <c r="F228" i="1"/>
  <c r="E228" i="1"/>
  <c r="D228" i="1"/>
  <c r="C228" i="1"/>
  <c r="L223" i="1"/>
  <c r="AJ223" i="1" s="1"/>
  <c r="AP217" i="1"/>
  <c r="AO217" i="1"/>
  <c r="AN217" i="1"/>
  <c r="AM217" i="1"/>
  <c r="AL217" i="1"/>
  <c r="AI217" i="1"/>
  <c r="AH217" i="1"/>
  <c r="AG217" i="1"/>
  <c r="AF217" i="1"/>
  <c r="AE217" i="1"/>
  <c r="AD217" i="1"/>
  <c r="AC217" i="1"/>
  <c r="AB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K217" i="1"/>
  <c r="J217" i="1"/>
  <c r="I217" i="1"/>
  <c r="H217" i="1"/>
  <c r="G217" i="1"/>
  <c r="F217" i="1"/>
  <c r="E217" i="1"/>
  <c r="D217" i="1"/>
  <c r="C217" i="1"/>
  <c r="L212" i="1"/>
  <c r="AJ212" i="1" s="1"/>
  <c r="AP206" i="1"/>
  <c r="AN206" i="1"/>
  <c r="AL206" i="1"/>
  <c r="AI206" i="1"/>
  <c r="AH206" i="1"/>
  <c r="AG206" i="1"/>
  <c r="AF206" i="1"/>
  <c r="AE206" i="1"/>
  <c r="AD206" i="1"/>
  <c r="AC206" i="1"/>
  <c r="AB206" i="1"/>
  <c r="AA206" i="1"/>
  <c r="Z206" i="1"/>
  <c r="X206" i="1"/>
  <c r="W206" i="1"/>
  <c r="V206" i="1"/>
  <c r="U206" i="1"/>
  <c r="T206" i="1"/>
  <c r="S206" i="1"/>
  <c r="R206" i="1"/>
  <c r="Q206" i="1"/>
  <c r="P206" i="1"/>
  <c r="O206" i="1"/>
  <c r="N206" i="1"/>
  <c r="K206" i="1"/>
  <c r="J206" i="1"/>
  <c r="I206" i="1"/>
  <c r="H206" i="1"/>
  <c r="G206" i="1"/>
  <c r="F206" i="1"/>
  <c r="E206" i="1"/>
  <c r="C206" i="1"/>
  <c r="AM205" i="1"/>
  <c r="AN205" i="1" s="1"/>
  <c r="AO205" i="1" s="1"/>
  <c r="AP205" i="1" s="1"/>
  <c r="AQ205" i="1" s="1"/>
  <c r="O205" i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AG205" i="1" s="1"/>
  <c r="AH205" i="1" s="1"/>
  <c r="AI205" i="1" s="1"/>
  <c r="J205" i="1"/>
  <c r="K205" i="1" s="1"/>
  <c r="D205" i="1"/>
  <c r="E205" i="1" s="1"/>
  <c r="F205" i="1" s="1"/>
  <c r="G205" i="1" s="1"/>
  <c r="H205" i="1" s="1"/>
  <c r="AS201" i="1"/>
  <c r="AS200" i="1"/>
  <c r="L200" i="1"/>
  <c r="AJ200" i="1" s="1"/>
  <c r="AS199" i="1"/>
  <c r="AS198" i="1"/>
  <c r="AS197" i="1"/>
  <c r="AS196" i="1"/>
  <c r="AS195" i="1"/>
  <c r="AS194" i="1"/>
  <c r="AP194" i="1"/>
  <c r="AO194" i="1"/>
  <c r="AN194" i="1"/>
  <c r="AM194" i="1"/>
  <c r="AL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V194" i="1"/>
  <c r="U194" i="1"/>
  <c r="T194" i="1"/>
  <c r="S194" i="1"/>
  <c r="R194" i="1"/>
  <c r="Q194" i="1"/>
  <c r="P194" i="1"/>
  <c r="O194" i="1"/>
  <c r="N194" i="1"/>
  <c r="K194" i="1"/>
  <c r="J194" i="1"/>
  <c r="I194" i="1"/>
  <c r="H194" i="1"/>
  <c r="G194" i="1"/>
  <c r="F194" i="1"/>
  <c r="E194" i="1"/>
  <c r="D194" i="1"/>
  <c r="C194" i="1"/>
  <c r="AS189" i="1"/>
  <c r="L189" i="1"/>
  <c r="AJ189" i="1" s="1"/>
  <c r="AS188" i="1"/>
  <c r="AS187" i="1"/>
  <c r="AS186" i="1"/>
  <c r="AS185" i="1"/>
  <c r="AS184" i="1"/>
  <c r="AS183" i="1"/>
  <c r="AP183" i="1"/>
  <c r="AO183" i="1"/>
  <c r="AN183" i="1"/>
  <c r="AM183" i="1"/>
  <c r="AL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V183" i="1"/>
  <c r="U183" i="1"/>
  <c r="T183" i="1"/>
  <c r="S183" i="1"/>
  <c r="R183" i="1"/>
  <c r="Q183" i="1"/>
  <c r="P183" i="1"/>
  <c r="O183" i="1"/>
  <c r="N183" i="1"/>
  <c r="K183" i="1"/>
  <c r="J183" i="1"/>
  <c r="I183" i="1"/>
  <c r="H183" i="1"/>
  <c r="G183" i="1"/>
  <c r="F183" i="1"/>
  <c r="E183" i="1"/>
  <c r="D183" i="1"/>
  <c r="C183" i="1"/>
  <c r="AS178" i="1"/>
  <c r="L178" i="1"/>
  <c r="AJ177" i="1" s="1"/>
  <c r="AS177" i="1"/>
  <c r="AS176" i="1"/>
  <c r="AS175" i="1"/>
  <c r="AS174" i="1"/>
  <c r="AS173" i="1"/>
  <c r="AS172" i="1"/>
  <c r="AP172" i="1"/>
  <c r="AO172" i="1"/>
  <c r="AN172" i="1"/>
  <c r="AM172" i="1"/>
  <c r="AL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V172" i="1"/>
  <c r="U172" i="1"/>
  <c r="T172" i="1"/>
  <c r="S172" i="1"/>
  <c r="R172" i="1"/>
  <c r="Q172" i="1"/>
  <c r="P172" i="1"/>
  <c r="O172" i="1"/>
  <c r="N172" i="1"/>
  <c r="K172" i="1"/>
  <c r="J172" i="1"/>
  <c r="I172" i="1"/>
  <c r="H172" i="1"/>
  <c r="G172" i="1"/>
  <c r="F172" i="1"/>
  <c r="E172" i="1"/>
  <c r="D172" i="1"/>
  <c r="C172" i="1"/>
  <c r="AM171" i="1"/>
  <c r="AN171" i="1" s="1"/>
  <c r="AO171" i="1" s="1"/>
  <c r="AP171" i="1" s="1"/>
  <c r="AQ171" i="1" s="1"/>
  <c r="O171" i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J171" i="1"/>
  <c r="K171" i="1" s="1"/>
  <c r="D171" i="1"/>
  <c r="E171" i="1" s="1"/>
  <c r="F171" i="1" s="1"/>
  <c r="G171" i="1" s="1"/>
  <c r="H171" i="1" s="1"/>
  <c r="AS166" i="1"/>
  <c r="L166" i="1"/>
  <c r="AJ166" i="1" s="1"/>
  <c r="AS165" i="1"/>
  <c r="AS164" i="1"/>
  <c r="AS163" i="1"/>
  <c r="AS162" i="1"/>
  <c r="AS161" i="1"/>
  <c r="AS160" i="1"/>
  <c r="AP160" i="1"/>
  <c r="AO160" i="1"/>
  <c r="AN160" i="1"/>
  <c r="AM160" i="1"/>
  <c r="AL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V160" i="1"/>
  <c r="U160" i="1"/>
  <c r="T160" i="1"/>
  <c r="S160" i="1"/>
  <c r="R160" i="1"/>
  <c r="Q160" i="1"/>
  <c r="P160" i="1"/>
  <c r="O160" i="1"/>
  <c r="N160" i="1"/>
  <c r="K160" i="1"/>
  <c r="J160" i="1"/>
  <c r="I160" i="1"/>
  <c r="H160" i="1"/>
  <c r="G160" i="1"/>
  <c r="F160" i="1"/>
  <c r="E160" i="1"/>
  <c r="D160" i="1"/>
  <c r="C160" i="1"/>
  <c r="AS155" i="1"/>
  <c r="L155" i="1"/>
  <c r="AJ155" i="1" s="1"/>
  <c r="AS154" i="1"/>
  <c r="AS153" i="1"/>
  <c r="AS152" i="1"/>
  <c r="AS151" i="1"/>
  <c r="AS150" i="1"/>
  <c r="AS149" i="1"/>
  <c r="AO149" i="1"/>
  <c r="AN149" i="1"/>
  <c r="AM149" i="1"/>
  <c r="AL149" i="1"/>
  <c r="AI149" i="1"/>
  <c r="AH149" i="1"/>
  <c r="AG149" i="1"/>
  <c r="AF149" i="1"/>
  <c r="AE149" i="1"/>
  <c r="AD149" i="1"/>
  <c r="AC149" i="1"/>
  <c r="AB149" i="1"/>
  <c r="AA149" i="1"/>
  <c r="Z149" i="1"/>
  <c r="X149" i="1"/>
  <c r="V149" i="1"/>
  <c r="U149" i="1"/>
  <c r="T149" i="1"/>
  <c r="S149" i="1"/>
  <c r="R149" i="1"/>
  <c r="Q149" i="1"/>
  <c r="P149" i="1"/>
  <c r="O149" i="1"/>
  <c r="N149" i="1"/>
  <c r="K149" i="1"/>
  <c r="J149" i="1"/>
  <c r="I149" i="1"/>
  <c r="H149" i="1"/>
  <c r="G149" i="1"/>
  <c r="F149" i="1"/>
  <c r="E149" i="1"/>
  <c r="D149" i="1"/>
  <c r="C149" i="1"/>
  <c r="AS145" i="1"/>
  <c r="AS144" i="1"/>
  <c r="L144" i="1"/>
  <c r="AJ143" i="1" s="1"/>
  <c r="AS143" i="1"/>
  <c r="AS142" i="1"/>
  <c r="AS141" i="1"/>
  <c r="AS140" i="1"/>
  <c r="AS139" i="1"/>
  <c r="AS138" i="1"/>
  <c r="AP138" i="1"/>
  <c r="AO138" i="1"/>
  <c r="AN138" i="1"/>
  <c r="AM138" i="1"/>
  <c r="AL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K138" i="1"/>
  <c r="J138" i="1"/>
  <c r="I138" i="1"/>
  <c r="H138" i="1"/>
  <c r="G138" i="1"/>
  <c r="F138" i="1"/>
  <c r="E138" i="1"/>
  <c r="D138" i="1"/>
  <c r="C138" i="1"/>
  <c r="AM137" i="1"/>
  <c r="AN137" i="1" s="1"/>
  <c r="AO137" i="1" s="1"/>
  <c r="AP137" i="1" s="1"/>
  <c r="AQ137" i="1" s="1"/>
  <c r="O137" i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J137" i="1"/>
  <c r="K137" i="1" s="1"/>
  <c r="D137" i="1"/>
  <c r="E137" i="1" s="1"/>
  <c r="F137" i="1" s="1"/>
  <c r="G137" i="1" s="1"/>
  <c r="H137" i="1" s="1"/>
  <c r="AS132" i="1"/>
  <c r="L132" i="1"/>
  <c r="AJ132" i="1" s="1"/>
  <c r="AS131" i="1"/>
  <c r="AS130" i="1"/>
  <c r="AS129" i="1"/>
  <c r="AS128" i="1"/>
  <c r="AS127" i="1"/>
  <c r="AS126" i="1"/>
  <c r="AP126" i="1"/>
  <c r="AO126" i="1"/>
  <c r="AN126" i="1"/>
  <c r="AM126" i="1"/>
  <c r="AL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K126" i="1"/>
  <c r="J126" i="1"/>
  <c r="I126" i="1"/>
  <c r="H126" i="1"/>
  <c r="G126" i="1"/>
  <c r="F126" i="1"/>
  <c r="E126" i="1"/>
  <c r="D126" i="1"/>
  <c r="C126" i="1"/>
  <c r="AS121" i="1"/>
  <c r="L121" i="1"/>
  <c r="AJ121" i="1" s="1"/>
  <c r="AS120" i="1"/>
  <c r="AS119" i="1"/>
  <c r="AS117" i="1"/>
  <c r="AS116" i="1"/>
  <c r="AS115" i="1"/>
  <c r="AP115" i="1"/>
  <c r="AO115" i="1"/>
  <c r="AN115" i="1"/>
  <c r="AM115" i="1"/>
  <c r="AL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K115" i="1"/>
  <c r="J115" i="1"/>
  <c r="I115" i="1"/>
  <c r="H115" i="1"/>
  <c r="G115" i="1"/>
  <c r="F115" i="1"/>
  <c r="E115" i="1"/>
  <c r="D115" i="1"/>
  <c r="C115" i="1"/>
  <c r="AS111" i="1"/>
  <c r="AS110" i="1"/>
  <c r="L110" i="1"/>
  <c r="AJ109" i="1" s="1"/>
  <c r="AS109" i="1"/>
  <c r="AS108" i="1"/>
  <c r="AS107" i="1"/>
  <c r="AS106" i="1"/>
  <c r="AS105" i="1"/>
  <c r="AS104" i="1"/>
  <c r="AP104" i="1"/>
  <c r="AO104" i="1"/>
  <c r="AN104" i="1"/>
  <c r="AM104" i="1"/>
  <c r="AL104" i="1"/>
  <c r="AI104" i="1"/>
  <c r="AH104" i="1"/>
  <c r="AG104" i="1"/>
  <c r="AF104" i="1"/>
  <c r="AE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K104" i="1"/>
  <c r="J104" i="1"/>
  <c r="I104" i="1"/>
  <c r="H104" i="1"/>
  <c r="G104" i="1"/>
  <c r="F104" i="1"/>
  <c r="E104" i="1"/>
  <c r="D104" i="1"/>
  <c r="C104" i="1"/>
  <c r="AM103" i="1"/>
  <c r="AN103" i="1" s="1"/>
  <c r="AO103" i="1" s="1"/>
  <c r="AP103" i="1" s="1"/>
  <c r="AQ103" i="1" s="1"/>
  <c r="O103" i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J103" i="1"/>
  <c r="K103" i="1" s="1"/>
  <c r="D103" i="1"/>
  <c r="E103" i="1" s="1"/>
  <c r="F103" i="1" s="1"/>
  <c r="G103" i="1" s="1"/>
  <c r="H103" i="1" s="1"/>
  <c r="AS98" i="1"/>
  <c r="L98" i="1"/>
  <c r="AJ98" i="1" s="1"/>
  <c r="AS97" i="1"/>
  <c r="AS96" i="1"/>
  <c r="AS95" i="1"/>
  <c r="AS94" i="1"/>
  <c r="AS93" i="1"/>
  <c r="AS92" i="1"/>
  <c r="AP92" i="1"/>
  <c r="AO92" i="1"/>
  <c r="AN92" i="1"/>
  <c r="AM92" i="1"/>
  <c r="AL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K92" i="1"/>
  <c r="J92" i="1"/>
  <c r="I92" i="1"/>
  <c r="H92" i="1"/>
  <c r="G92" i="1"/>
  <c r="F92" i="1"/>
  <c r="E92" i="1"/>
  <c r="D92" i="1"/>
  <c r="C92" i="1"/>
  <c r="AS87" i="1"/>
  <c r="L87" i="1"/>
  <c r="AJ87" i="1" s="1"/>
  <c r="AS86" i="1"/>
  <c r="AS85" i="1"/>
  <c r="AS84" i="1"/>
  <c r="AS83" i="1"/>
  <c r="AS82" i="1"/>
  <c r="AS81" i="1"/>
  <c r="AP81" i="1"/>
  <c r="AO81" i="1"/>
  <c r="AN81" i="1"/>
  <c r="AM81" i="1"/>
  <c r="AL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K81" i="1"/>
  <c r="J81" i="1"/>
  <c r="I81" i="1"/>
  <c r="H81" i="1"/>
  <c r="G81" i="1"/>
  <c r="F81" i="1"/>
  <c r="E81" i="1"/>
  <c r="D81" i="1"/>
  <c r="C81" i="1"/>
  <c r="AS76" i="1"/>
  <c r="L76" i="1"/>
  <c r="AJ76" i="1" s="1"/>
  <c r="AS75" i="1"/>
  <c r="AS74" i="1"/>
  <c r="AS73" i="1"/>
  <c r="AS72" i="1"/>
  <c r="AS71" i="1"/>
  <c r="AS70" i="1"/>
  <c r="AP70" i="1"/>
  <c r="AO70" i="1"/>
  <c r="AN70" i="1"/>
  <c r="AM70" i="1"/>
  <c r="AL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K70" i="1"/>
  <c r="J70" i="1"/>
  <c r="I70" i="1"/>
  <c r="H70" i="1"/>
  <c r="G70" i="1"/>
  <c r="F70" i="1"/>
  <c r="E70" i="1"/>
  <c r="D70" i="1"/>
  <c r="C70" i="1"/>
  <c r="AM69" i="1"/>
  <c r="AN69" i="1" s="1"/>
  <c r="AO69" i="1" s="1"/>
  <c r="AP69" i="1" s="1"/>
  <c r="AQ69" i="1" s="1"/>
  <c r="O69" i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J69" i="1"/>
  <c r="K69" i="1" s="1"/>
  <c r="D69" i="1"/>
  <c r="E69" i="1" s="1"/>
  <c r="F69" i="1" s="1"/>
  <c r="G69" i="1" s="1"/>
  <c r="H69" i="1" s="1"/>
  <c r="AS64" i="1"/>
  <c r="L64" i="1"/>
  <c r="AJ64" i="1" s="1"/>
  <c r="AS63" i="1"/>
  <c r="AS62" i="1"/>
  <c r="AS61" i="1"/>
  <c r="AS60" i="1"/>
  <c r="AS59" i="1"/>
  <c r="AS58" i="1"/>
  <c r="AP58" i="1"/>
  <c r="AO58" i="1"/>
  <c r="AN58" i="1"/>
  <c r="AM58" i="1"/>
  <c r="AL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K58" i="1"/>
  <c r="J58" i="1"/>
  <c r="I58" i="1"/>
  <c r="H58" i="1"/>
  <c r="G58" i="1"/>
  <c r="F58" i="1"/>
  <c r="E58" i="1"/>
  <c r="D58" i="1"/>
  <c r="C58" i="1"/>
  <c r="AS53" i="1"/>
  <c r="L53" i="1"/>
  <c r="AJ53" i="1" s="1"/>
  <c r="AS52" i="1"/>
  <c r="AS51" i="1"/>
  <c r="AS50" i="1"/>
  <c r="AS49" i="1"/>
  <c r="AS48" i="1"/>
  <c r="AP47" i="1"/>
  <c r="AO47" i="1"/>
  <c r="AN47" i="1"/>
  <c r="AM47" i="1"/>
  <c r="AL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K47" i="1"/>
  <c r="J47" i="1"/>
  <c r="I47" i="1"/>
  <c r="H47" i="1"/>
  <c r="G47" i="1"/>
  <c r="F47" i="1"/>
  <c r="E47" i="1"/>
  <c r="D47" i="1"/>
  <c r="C47" i="1"/>
  <c r="L42" i="1"/>
  <c r="AJ42" i="1" s="1"/>
  <c r="AP36" i="1"/>
  <c r="AO36" i="1"/>
  <c r="AN36" i="1"/>
  <c r="AM36" i="1"/>
  <c r="AL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K36" i="1"/>
  <c r="J36" i="1"/>
  <c r="I36" i="1"/>
  <c r="H36" i="1"/>
  <c r="G36" i="1"/>
  <c r="F36" i="1"/>
  <c r="E36" i="1"/>
  <c r="D36" i="1"/>
  <c r="C36" i="1"/>
  <c r="AM35" i="1"/>
  <c r="AN35" i="1" s="1"/>
  <c r="AO35" i="1" s="1"/>
  <c r="AP35" i="1" s="1"/>
  <c r="AQ35" i="1" s="1"/>
  <c r="O35" i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J35" i="1"/>
  <c r="K35" i="1" s="1"/>
  <c r="D35" i="1"/>
  <c r="E35" i="1" s="1"/>
  <c r="F35" i="1" s="1"/>
  <c r="G35" i="1" s="1"/>
  <c r="H35" i="1" s="1"/>
  <c r="A35" i="1"/>
  <c r="L35" i="1" s="1"/>
  <c r="AJ35" i="1" s="1"/>
  <c r="AS30" i="1"/>
  <c r="L30" i="1"/>
  <c r="AJ30" i="1" s="1"/>
  <c r="AS29" i="1"/>
  <c r="AS28" i="1"/>
  <c r="AS27" i="1"/>
  <c r="AS26" i="1"/>
  <c r="AS25" i="1"/>
  <c r="AS24" i="1"/>
  <c r="AP24" i="1"/>
  <c r="AO24" i="1"/>
  <c r="AN24" i="1"/>
  <c r="AM24" i="1"/>
  <c r="AL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K24" i="1"/>
  <c r="J24" i="1"/>
  <c r="I24" i="1"/>
  <c r="H24" i="1"/>
  <c r="G24" i="1"/>
  <c r="F24" i="1"/>
  <c r="E24" i="1"/>
  <c r="D24" i="1"/>
  <c r="C24" i="1"/>
  <c r="AS19" i="1"/>
  <c r="L19" i="1"/>
  <c r="AJ19" i="1" s="1"/>
  <c r="AS18" i="1"/>
  <c r="AS17" i="1"/>
  <c r="AS16" i="1"/>
  <c r="AS15" i="1"/>
  <c r="AS14" i="1"/>
  <c r="AS13" i="1"/>
  <c r="AP13" i="1"/>
  <c r="AO13" i="1"/>
  <c r="AN13" i="1"/>
  <c r="AM13" i="1"/>
  <c r="AL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K13" i="1"/>
  <c r="J13" i="1"/>
  <c r="I13" i="1"/>
  <c r="H13" i="1"/>
  <c r="G13" i="1"/>
  <c r="F13" i="1"/>
  <c r="D13" i="1"/>
  <c r="C13" i="1"/>
  <c r="A13" i="1"/>
  <c r="A24" i="1" s="1"/>
  <c r="AS9" i="1"/>
  <c r="AS8" i="1"/>
  <c r="L8" i="1"/>
  <c r="AJ8" i="1" s="1"/>
  <c r="AS6" i="1"/>
  <c r="AS5" i="1"/>
  <c r="AS4" i="1"/>
  <c r="AS3" i="1"/>
  <c r="AP2" i="1"/>
  <c r="AO2" i="1"/>
  <c r="AN2" i="1"/>
  <c r="AM2" i="1"/>
  <c r="AL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K2" i="1"/>
  <c r="J2" i="1"/>
  <c r="I2" i="1"/>
  <c r="H2" i="1"/>
  <c r="G2" i="1"/>
  <c r="F2" i="1"/>
  <c r="E2" i="1"/>
  <c r="D2" i="1"/>
  <c r="C2" i="1"/>
  <c r="O1" i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D1" i="1"/>
  <c r="E1" i="1" s="1"/>
  <c r="F1" i="1" s="1"/>
  <c r="G1" i="1" s="1"/>
  <c r="H1" i="1" s="1"/>
  <c r="AL1" i="1" s="1"/>
  <c r="AM1" i="1" s="1"/>
  <c r="AN1" i="1" s="1"/>
  <c r="AO1" i="1" s="1"/>
  <c r="AP1" i="1" s="1"/>
  <c r="AQ1" i="1" s="1"/>
  <c r="I1" i="1" s="1"/>
  <c r="J1" i="1" s="1"/>
  <c r="K1" i="1" s="1"/>
  <c r="L24" i="1" l="1"/>
  <c r="AJ24" i="1" s="1"/>
  <c r="A47" i="1"/>
  <c r="L13" i="1"/>
  <c r="AJ13" i="1" s="1"/>
  <c r="L47" i="1" l="1"/>
  <c r="AJ47" i="1" s="1"/>
  <c r="A58" i="1"/>
  <c r="L58" i="1" l="1"/>
  <c r="AJ58" i="1" s="1"/>
  <c r="A69" i="1"/>
  <c r="L69" i="1" l="1"/>
  <c r="AJ69" i="1" s="1"/>
  <c r="A81" i="1"/>
  <c r="A92" i="1" l="1"/>
  <c r="L81" i="1"/>
  <c r="AJ81" i="1" s="1"/>
  <c r="A103" i="1" l="1"/>
  <c r="L92" i="1"/>
  <c r="AJ92" i="1" s="1"/>
  <c r="A115" i="1" l="1"/>
  <c r="L115" i="1" s="1"/>
  <c r="AJ115" i="1" s="1"/>
  <c r="A126" i="1"/>
  <c r="L103" i="1"/>
  <c r="AJ103" i="1" s="1"/>
  <c r="A137" i="1" l="1"/>
  <c r="L126" i="1"/>
  <c r="AJ126" i="1" s="1"/>
  <c r="A149" i="1" l="1"/>
  <c r="A160" i="1" s="1"/>
  <c r="A171" i="1" s="1"/>
  <c r="L137" i="1"/>
  <c r="AJ137" i="1" l="1"/>
  <c r="L149" i="1"/>
  <c r="A183" i="1"/>
  <c r="A194" i="1" s="1"/>
  <c r="L171" i="1"/>
  <c r="A205" i="1" l="1"/>
  <c r="L194" i="1"/>
  <c r="AJ194" i="1" s="1"/>
  <c r="L183" i="1"/>
  <c r="AJ183" i="1" s="1"/>
  <c r="AJ171" i="1"/>
  <c r="L160" i="1"/>
  <c r="AJ149" i="1"/>
  <c r="AJ160" i="1" s="1"/>
  <c r="A217" i="1" l="1"/>
  <c r="A228" i="1" s="1"/>
  <c r="A239" i="1" s="1"/>
  <c r="L205" i="1"/>
  <c r="L217" i="1" l="1"/>
  <c r="AJ205" i="1"/>
  <c r="A251" i="1"/>
  <c r="A262" i="1" s="1"/>
  <c r="L239" i="1"/>
  <c r="L251" i="1" l="1"/>
  <c r="L262" i="1" s="1"/>
  <c r="AJ239" i="1"/>
  <c r="AJ251" i="1" s="1"/>
  <c r="AJ262" i="1" s="1"/>
  <c r="L228" i="1"/>
  <c r="AJ228" i="1" s="1"/>
  <c r="AJ217" i="1"/>
</calcChain>
</file>

<file path=xl/sharedStrings.xml><?xml version="1.0" encoding="utf-8"?>
<sst xmlns="http://schemas.openxmlformats.org/spreadsheetml/2006/main" count="820" uniqueCount="38">
  <si>
    <t>Fecha</t>
  </si>
  <si>
    <t>A evaluar.</t>
  </si>
  <si>
    <t xml:space="preserve">% Eficiencia </t>
  </si>
  <si>
    <t>Paros de trama</t>
  </si>
  <si>
    <t>M. P.T</t>
  </si>
  <si>
    <t xml:space="preserve">Paros de urdimbre </t>
  </si>
  <si>
    <t>M.P.U</t>
  </si>
  <si>
    <t xml:space="preserve">Paros de Rizo </t>
  </si>
  <si>
    <t>M.P.U.T.</t>
  </si>
  <si>
    <t>MA 1T</t>
  </si>
  <si>
    <t>M.P.R.</t>
  </si>
  <si>
    <t xml:space="preserve">Paros Otros </t>
  </si>
  <si>
    <t>M.P.O</t>
  </si>
  <si>
    <t>Marcas</t>
  </si>
  <si>
    <t>RPM</t>
  </si>
  <si>
    <t>MA 2T</t>
  </si>
  <si>
    <t>L</t>
  </si>
  <si>
    <t>MA 3T</t>
  </si>
  <si>
    <t>MI 1T</t>
  </si>
  <si>
    <t>MI 2T</t>
  </si>
  <si>
    <t>MI 3T</t>
  </si>
  <si>
    <t>JU1T</t>
  </si>
  <si>
    <t>JU2T</t>
  </si>
  <si>
    <t>JU3T</t>
  </si>
  <si>
    <t>REPASO</t>
  </si>
  <si>
    <t>VI 1T</t>
  </si>
  <si>
    <t>VI 2T</t>
  </si>
  <si>
    <t>VI 3T</t>
  </si>
  <si>
    <t>SA 1T</t>
  </si>
  <si>
    <t>SA 2T</t>
  </si>
  <si>
    <t>SA 3T</t>
  </si>
  <si>
    <t xml:space="preserve">                       </t>
  </si>
  <si>
    <t>DO 1T</t>
  </si>
  <si>
    <t>DO 2T</t>
  </si>
  <si>
    <t>DO 3T</t>
  </si>
  <si>
    <t>LU 1T</t>
  </si>
  <si>
    <t>LU 2T</t>
  </si>
  <si>
    <t>LU 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</si>
</sst>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164" fontId="0" fillId="2" borderId="0" xfId="0" applyNumberFormat="1" applyFill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1" fontId="0" fillId="0" borderId="6" xfId="0" applyNumberFormat="1" applyBorder="1"/>
    <xf numFmtId="0" fontId="2" fillId="3" borderId="3" xfId="0" applyFont="1" applyFill="1" applyBorder="1"/>
    <xf numFmtId="1" fontId="0" fillId="0" borderId="4" xfId="0" applyNumberFormat="1" applyBorder="1"/>
    <xf numFmtId="1" fontId="0" fillId="0" borderId="5" xfId="0" applyNumberFormat="1" applyBorder="1"/>
    <xf numFmtId="0" fontId="0" fillId="0" borderId="6" xfId="0" applyBorder="1"/>
    <xf numFmtId="0" fontId="0" fillId="5" borderId="1" xfId="0" applyFill="1" applyBorder="1"/>
    <xf numFmtId="0" fontId="0" fillId="0" borderId="1" xfId="0" applyBorder="1"/>
    <xf numFmtId="0" fontId="0" fillId="0" borderId="8" xfId="0" applyBorder="1"/>
    <xf numFmtId="0" fontId="2" fillId="3" borderId="1" xfId="0" applyFont="1" applyFill="1" applyBorder="1"/>
    <xf numFmtId="0" fontId="0" fillId="5" borderId="9" xfId="0" applyFill="1" applyBorder="1"/>
    <xf numFmtId="0" fontId="0" fillId="3" borderId="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3" borderId="14" xfId="0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3" xfId="0" applyBorder="1"/>
    <xf numFmtId="0" fontId="0" fillId="0" borderId="14" xfId="0" applyBorder="1"/>
    <xf numFmtId="1" fontId="0" fillId="0" borderId="0" xfId="0" applyNumberFormat="1"/>
    <xf numFmtId="0" fontId="2" fillId="3" borderId="14" xfId="0" applyFont="1" applyFill="1" applyBorder="1"/>
    <xf numFmtId="0" fontId="0" fillId="3" borderId="10" xfId="0" applyFill="1" applyBorder="1"/>
    <xf numFmtId="0" fontId="0" fillId="3" borderId="4" xfId="0" applyFill="1" applyBorder="1"/>
    <xf numFmtId="1" fontId="0" fillId="0" borderId="1" xfId="0" applyNumberFormat="1" applyBorder="1"/>
    <xf numFmtId="1" fontId="0" fillId="0" borderId="8" xfId="0" applyNumberFormat="1" applyBorder="1"/>
    <xf numFmtId="14" fontId="1" fillId="6" borderId="7" xfId="0" applyNumberFormat="1" applyFont="1" applyFill="1" applyBorder="1" applyAlignment="1">
      <alignment horizontal="center" textRotation="45"/>
    </xf>
    <xf numFmtId="14" fontId="3" fillId="6" borderId="7" xfId="0" applyNumberFormat="1" applyFont="1" applyFill="1" applyBorder="1" applyAlignment="1">
      <alignment horizontal="center" textRotation="45"/>
    </xf>
    <xf numFmtId="14" fontId="3" fillId="6" borderId="13" xfId="0" applyNumberFormat="1" applyFont="1" applyFill="1" applyBorder="1" applyAlignment="1">
      <alignment horizontal="center" textRotation="45"/>
    </xf>
    <xf numFmtId="14" fontId="1" fillId="6" borderId="2" xfId="0" applyNumberFormat="1" applyFont="1" applyFill="1" applyBorder="1" applyAlignment="1">
      <alignment horizontal="center" textRotation="45"/>
    </xf>
    <xf numFmtId="14" fontId="3" fillId="4" borderId="7" xfId="0" applyNumberFormat="1" applyFont="1" applyFill="1" applyBorder="1" applyAlignment="1">
      <alignment horizontal="center" textRotation="45"/>
    </xf>
    <xf numFmtId="14" fontId="1" fillId="4" borderId="7" xfId="0" applyNumberFormat="1" applyFont="1" applyFill="1" applyBorder="1" applyAlignment="1">
      <alignment horizontal="center" textRotation="45"/>
    </xf>
    <xf numFmtId="14" fontId="3" fillId="4" borderId="13" xfId="0" applyNumberFormat="1" applyFont="1" applyFill="1" applyBorder="1" applyAlignment="1">
      <alignment horizontal="center" textRotation="45"/>
    </xf>
    <xf numFmtId="14" fontId="3" fillId="4" borderId="18" xfId="0" applyNumberFormat="1" applyFont="1" applyFill="1" applyBorder="1" applyAlignment="1">
      <alignment horizontal="center" textRotation="45"/>
    </xf>
    <xf numFmtId="14" fontId="1" fillId="4" borderId="2" xfId="0" applyNumberFormat="1" applyFont="1" applyFill="1" applyBorder="1" applyAlignment="1">
      <alignment horizontal="center" textRotation="45"/>
    </xf>
    <xf numFmtId="14" fontId="1" fillId="5" borderId="20" xfId="0" applyNumberFormat="1" applyFont="1" applyFill="1" applyBorder="1" applyAlignment="1">
      <alignment horizontal="center" textRotation="45"/>
    </xf>
    <xf numFmtId="14" fontId="1" fillId="5" borderId="7" xfId="0" applyNumberFormat="1" applyFont="1" applyFill="1" applyBorder="1" applyAlignment="1">
      <alignment horizontal="center" textRotation="45"/>
    </xf>
    <xf numFmtId="14" fontId="1" fillId="5" borderId="5" xfId="0" applyNumberFormat="1" applyFont="1" applyFill="1" applyBorder="1" applyAlignment="1">
      <alignment horizontal="center" textRotation="45"/>
    </xf>
    <xf numFmtId="14" fontId="1" fillId="5" borderId="0" xfId="0" applyNumberFormat="1" applyFont="1" applyFill="1" applyAlignment="1">
      <alignment horizontal="center" textRotation="45"/>
    </xf>
    <xf numFmtId="14" fontId="3" fillId="5" borderId="7" xfId="0" applyNumberFormat="1" applyFont="1" applyFill="1" applyBorder="1" applyAlignment="1">
      <alignment horizontal="center" textRotation="45"/>
    </xf>
    <xf numFmtId="14" fontId="3" fillId="5" borderId="13" xfId="0" applyNumberFormat="1" applyFont="1" applyFill="1" applyBorder="1" applyAlignment="1">
      <alignment horizontal="center" textRotation="45"/>
    </xf>
    <xf numFmtId="14" fontId="3" fillId="5" borderId="19" xfId="0" applyNumberFormat="1" applyFont="1" applyFill="1" applyBorder="1" applyAlignment="1">
      <alignment horizontal="center" textRotation="45"/>
    </xf>
    <xf numFmtId="14" fontId="1" fillId="5" borderId="2" xfId="0" applyNumberFormat="1" applyFont="1" applyFill="1" applyBorder="1" applyAlignment="1">
      <alignment horizontal="center" textRotation="45"/>
    </xf>
    <xf numFmtId="14" fontId="3" fillId="5" borderId="0" xfId="0" applyNumberFormat="1" applyFont="1" applyFill="1" applyAlignment="1">
      <alignment horizontal="center" textRotation="45"/>
    </xf>
    <xf numFmtId="14" fontId="1" fillId="4" borderId="0" xfId="0" applyNumberFormat="1" applyFont="1" applyFill="1" applyBorder="1" applyAlignment="1">
      <alignment horizontal="center" textRotation="45"/>
    </xf>
    <xf numFmtId="14" fontId="3" fillId="4" borderId="0" xfId="0" applyNumberFormat="1" applyFont="1" applyFill="1" applyBorder="1" applyAlignment="1">
      <alignment horizontal="center" textRotation="45"/>
    </xf>
    <xf numFmtId="0" fontId="0" fillId="0" borderId="21" xfId="0" applyBorder="1"/>
    <xf numFmtId="0" fontId="0" fillId="7" borderId="21" xfId="0" applyFill="1" applyBorder="1"/>
    <xf numFmtId="0" fontId="0" fillId="0" borderId="21" xfId="0" applyBorder="1" applyAlignment="1">
      <alignment vertical="center" textRotation="255" wrapText="1"/>
    </xf>
    <xf numFmtId="14" fontId="1" fillId="4" borderId="15" xfId="0" applyNumberFormat="1" applyFont="1" applyFill="1" applyBorder="1" applyAlignment="1">
      <alignment horizontal="center" textRotation="45"/>
    </xf>
    <xf numFmtId="14" fontId="4" fillId="4" borderId="0" xfId="0" applyNumberFormat="1" applyFont="1" applyFill="1" applyBorder="1" applyAlignment="1">
      <alignment horizontal="center" textRotation="45"/>
    </xf>
    <xf numFmtId="0" fontId="0" fillId="0" borderId="0" xfId="0" applyBorder="1"/>
    <xf numFmtId="1" fontId="0" fillId="0" borderId="21" xfId="0" applyNumberFormat="1" applyBorder="1"/>
    <xf numFmtId="0" fontId="0" fillId="3" borderId="0" xfId="0" applyFill="1" applyBorder="1"/>
    <xf numFmtId="0" fontId="0" fillId="3" borderId="8" xfId="0" applyFill="1" applyBorder="1"/>
    <xf numFmtId="14" fontId="1" fillId="5" borderId="0" xfId="0" applyNumberFormat="1" applyFont="1" applyFill="1" applyBorder="1" applyAlignment="1">
      <alignment horizontal="center" textRotation="45"/>
    </xf>
    <xf numFmtId="14" fontId="3" fillId="5" borderId="0" xfId="0" applyNumberFormat="1" applyFont="1" applyFill="1" applyBorder="1" applyAlignment="1">
      <alignment horizontal="center" textRotation="45"/>
    </xf>
    <xf numFmtId="14" fontId="1" fillId="5" borderId="15" xfId="0" applyNumberFormat="1" applyFont="1" applyFill="1" applyBorder="1" applyAlignment="1">
      <alignment horizontal="center" textRotation="45"/>
    </xf>
    <xf numFmtId="14" fontId="1" fillId="6" borderId="15" xfId="0" applyNumberFormat="1" applyFont="1" applyFill="1" applyBorder="1" applyAlignment="1">
      <alignment horizontal="center" textRotation="45"/>
    </xf>
    <xf numFmtId="14" fontId="1" fillId="6" borderId="0" xfId="0" applyNumberFormat="1" applyFont="1" applyFill="1" applyBorder="1" applyAlignment="1">
      <alignment horizontal="center" textRotation="45"/>
    </xf>
    <xf numFmtId="14" fontId="3" fillId="6" borderId="0" xfId="0" applyNumberFormat="1" applyFont="1" applyFill="1" applyBorder="1" applyAlignment="1">
      <alignment horizontal="center" textRotation="45"/>
    </xf>
    <xf numFmtId="14" fontId="3" fillId="6" borderId="22" xfId="0" applyNumberFormat="1" applyFont="1" applyFill="1" applyBorder="1" applyAlignment="1">
      <alignment horizontal="center" textRotation="45"/>
    </xf>
    <xf numFmtId="14" fontId="3" fillId="5" borderId="11" xfId="0" applyNumberFormat="1" applyFont="1" applyFill="1" applyBorder="1" applyAlignment="1">
      <alignment horizontal="center" textRotation="45"/>
    </xf>
    <xf numFmtId="14" fontId="3" fillId="4" borderId="22" xfId="0" applyNumberFormat="1" applyFont="1" applyFill="1" applyBorder="1" applyAlignment="1">
      <alignment horizontal="center" textRotation="45"/>
    </xf>
    <xf numFmtId="0" fontId="0" fillId="3" borderId="21" xfId="0" applyFill="1" applyBorder="1"/>
    <xf numFmtId="0" fontId="2" fillId="3" borderId="10" xfId="0" applyFont="1" applyFill="1" applyBorder="1"/>
    <xf numFmtId="0" fontId="2" fillId="3" borderId="4" xfId="0" applyFont="1" applyFill="1" applyBorder="1"/>
    <xf numFmtId="0" fontId="0" fillId="0" borderId="22" xfId="0" applyBorder="1"/>
    <xf numFmtId="14" fontId="1" fillId="4" borderId="0" xfId="0" applyNumberFormat="1" applyFont="1" applyFill="1" applyBorder="1" applyAlignment="1">
      <alignment horizontal="center" textRotation="45"/>
    </xf>
    <xf numFmtId="1" fontId="0" fillId="0" borderId="21" xfId="0" applyNumberFormat="1" applyBorder="1" applyAlignment="1">
      <alignment vertical="center" textRotation="255"/>
    </xf>
    <xf numFmtId="1" fontId="5" fillId="0" borderId="21" xfId="0" applyNumberFormat="1" applyFont="1" applyBorder="1" applyAlignment="1">
      <alignment vertical="center" textRotation="255"/>
    </xf>
    <xf numFmtId="1" fontId="0" fillId="0" borderId="21" xfId="0" applyNumberFormat="1" applyBorder="1" applyAlignment="1">
      <alignment vertical="center" textRotation="255" wrapText="1"/>
    </xf>
    <xf numFmtId="1" fontId="0" fillId="7" borderId="21" xfId="0" applyNumberFormat="1" applyFill="1" applyBorder="1"/>
    <xf numFmtId="0" fontId="0" fillId="0" borderId="21" xfId="0" applyBorder="1" applyAlignment="1">
      <alignment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5A01-BD0F-47EA-A3FA-A8F71F55AF6D}">
  <dimension ref="A1:AS272"/>
  <sheetViews>
    <sheetView tabSelected="1" topLeftCell="Z135" zoomScale="105" workbookViewId="0">
      <selection activeCell="AQ81" sqref="AQ81"/>
    </sheetView>
  </sheetViews>
  <sheetFormatPr baseColWidth="10" defaultRowHeight="15" x14ac:dyDescent="0.25"/>
  <sheetData>
    <row r="1" spans="1:45" ht="15.75" thickBot="1" x14ac:dyDescent="0.3">
      <c r="A1" s="1" t="s">
        <v>0</v>
      </c>
      <c r="B1" s="2" t="s">
        <v>1</v>
      </c>
      <c r="C1" s="3">
        <v>201</v>
      </c>
      <c r="D1" s="3">
        <f t="shared" ref="D1:H1" si="0">+C1+1</f>
        <v>202</v>
      </c>
      <c r="E1" s="3">
        <f t="shared" si="0"/>
        <v>203</v>
      </c>
      <c r="F1" s="3">
        <f t="shared" si="0"/>
        <v>204</v>
      </c>
      <c r="G1" s="3">
        <f>+F1+1</f>
        <v>205</v>
      </c>
      <c r="H1" s="3">
        <f t="shared" si="0"/>
        <v>206</v>
      </c>
      <c r="I1" s="3">
        <f>+AQ1+1</f>
        <v>213</v>
      </c>
      <c r="J1" s="3">
        <f>+I1+1</f>
        <v>214</v>
      </c>
      <c r="K1" s="3">
        <f>+J1+1</f>
        <v>215</v>
      </c>
      <c r="L1" s="4" t="s">
        <v>0</v>
      </c>
      <c r="M1" s="5" t="s">
        <v>1</v>
      </c>
      <c r="N1" s="3">
        <v>299</v>
      </c>
      <c r="O1" s="3">
        <f t="shared" ref="O1:AI1" si="1">+N1+1</f>
        <v>300</v>
      </c>
      <c r="P1" s="3">
        <f>+O1+1</f>
        <v>301</v>
      </c>
      <c r="Q1" s="3">
        <f t="shared" si="1"/>
        <v>302</v>
      </c>
      <c r="R1" s="3">
        <f t="shared" si="1"/>
        <v>303</v>
      </c>
      <c r="S1" s="3">
        <f t="shared" si="1"/>
        <v>304</v>
      </c>
      <c r="T1" s="3">
        <f t="shared" si="1"/>
        <v>305</v>
      </c>
      <c r="U1" s="3">
        <f t="shared" si="1"/>
        <v>306</v>
      </c>
      <c r="V1" s="3">
        <f>C12323+U1+1</f>
        <v>307</v>
      </c>
      <c r="W1" s="3">
        <f t="shared" si="1"/>
        <v>308</v>
      </c>
      <c r="X1" s="3">
        <f t="shared" si="1"/>
        <v>309</v>
      </c>
      <c r="Y1" s="3">
        <f>+X1+1</f>
        <v>310</v>
      </c>
      <c r="Z1" s="3">
        <f t="shared" si="1"/>
        <v>311</v>
      </c>
      <c r="AA1" s="3">
        <f t="shared" si="1"/>
        <v>312</v>
      </c>
      <c r="AB1" s="3">
        <f t="shared" si="1"/>
        <v>313</v>
      </c>
      <c r="AC1" s="3">
        <f>+AB1+1</f>
        <v>314</v>
      </c>
      <c r="AD1" s="3">
        <f t="shared" si="1"/>
        <v>315</v>
      </c>
      <c r="AE1" s="3">
        <f t="shared" si="1"/>
        <v>316</v>
      </c>
      <c r="AF1" s="3">
        <f t="shared" si="1"/>
        <v>317</v>
      </c>
      <c r="AG1" s="3">
        <f t="shared" si="1"/>
        <v>318</v>
      </c>
      <c r="AH1" s="3">
        <f t="shared" si="1"/>
        <v>319</v>
      </c>
      <c r="AI1" s="3">
        <f t="shared" si="1"/>
        <v>320</v>
      </c>
      <c r="AJ1" s="4" t="s">
        <v>0</v>
      </c>
      <c r="AK1" s="5" t="s">
        <v>1</v>
      </c>
      <c r="AL1" s="3">
        <f>+H1+1</f>
        <v>207</v>
      </c>
      <c r="AM1" s="3">
        <f>+AL1+1</f>
        <v>208</v>
      </c>
      <c r="AN1" s="3">
        <f>+AM1+1</f>
        <v>209</v>
      </c>
      <c r="AO1" s="3">
        <f>+AN1+1</f>
        <v>210</v>
      </c>
      <c r="AP1" s="3">
        <f>+AO1+1</f>
        <v>211</v>
      </c>
      <c r="AQ1" s="3">
        <f>+AP1+1</f>
        <v>212</v>
      </c>
      <c r="AR1" s="6"/>
      <c r="AS1" s="6"/>
    </row>
    <row r="2" spans="1:45" x14ac:dyDescent="0.25">
      <c r="A2" s="44">
        <v>46084</v>
      </c>
      <c r="B2" s="7" t="s">
        <v>2</v>
      </c>
      <c r="C2" s="8">
        <f t="shared" ref="C2:K2" si="2">(C11*100000)/(C12*60*8)</f>
        <v>89.775219298245617</v>
      </c>
      <c r="D2" s="9">
        <f t="shared" si="2"/>
        <v>83.056478405315616</v>
      </c>
      <c r="E2" s="9">
        <f t="shared" si="2"/>
        <v>91.56586021505376</v>
      </c>
      <c r="F2" s="9">
        <f t="shared" si="2"/>
        <v>90.793918918918919</v>
      </c>
      <c r="G2" s="9">
        <f t="shared" si="2"/>
        <v>75.081168831168824</v>
      </c>
      <c r="H2" s="9">
        <f t="shared" si="2"/>
        <v>83.786231884057969</v>
      </c>
      <c r="I2" s="9">
        <f t="shared" si="2"/>
        <v>78.575547866205312</v>
      </c>
      <c r="J2" s="9">
        <f t="shared" si="2"/>
        <v>91.145833333333329</v>
      </c>
      <c r="K2" s="10">
        <f t="shared" si="2"/>
        <v>86.399108138238574</v>
      </c>
      <c r="L2" s="44">
        <f>A2</f>
        <v>46084</v>
      </c>
      <c r="M2" s="11" t="s">
        <v>2</v>
      </c>
      <c r="N2" s="62">
        <f>(N11*100000)/(N12*60*8)</f>
        <v>87.68656716417911</v>
      </c>
      <c r="O2" s="62">
        <f t="shared" ref="O2:AI2" si="3">(O11*100000)/(O12*60*8)</f>
        <v>83.333333333333329</v>
      </c>
      <c r="P2" s="62">
        <f t="shared" si="3"/>
        <v>89.192708333333329</v>
      </c>
      <c r="Q2" s="62">
        <f t="shared" si="3"/>
        <v>91.071428571428569</v>
      </c>
      <c r="R2" s="62">
        <f t="shared" si="3"/>
        <v>83.928571428571431</v>
      </c>
      <c r="S2" s="62">
        <f t="shared" si="3"/>
        <v>91.299019607843135</v>
      </c>
      <c r="T2" s="62">
        <f>(T11*100000)/(T12*60*8)</f>
        <v>89.285714285714292</v>
      </c>
      <c r="U2" s="62">
        <f>(U11*100000)/(U12*60*8)</f>
        <v>92.896174863387984</v>
      </c>
      <c r="V2" s="62">
        <f t="shared" si="3"/>
        <v>83.74183006535948</v>
      </c>
      <c r="W2" s="62">
        <f t="shared" si="3"/>
        <v>83.607456140350877</v>
      </c>
      <c r="X2" s="62">
        <f t="shared" si="3"/>
        <v>86.082175925925924</v>
      </c>
      <c r="Y2" s="62">
        <f t="shared" si="3"/>
        <v>85.784313725490193</v>
      </c>
      <c r="Z2" s="62">
        <f t="shared" si="3"/>
        <v>72.525597269624569</v>
      </c>
      <c r="AA2" s="62">
        <f t="shared" si="3"/>
        <v>85.61643835616438</v>
      </c>
      <c r="AB2" s="62">
        <f t="shared" si="3"/>
        <v>82.78145695364239</v>
      </c>
      <c r="AC2" s="62">
        <f t="shared" si="3"/>
        <v>89.88294314381271</v>
      </c>
      <c r="AD2" s="62">
        <f t="shared" si="3"/>
        <v>83.061002178649233</v>
      </c>
      <c r="AE2" s="62">
        <f t="shared" si="3"/>
        <v>64.102564102564102</v>
      </c>
      <c r="AF2" s="62">
        <f t="shared" si="3"/>
        <v>92.592592592592595</v>
      </c>
      <c r="AG2" s="62">
        <f t="shared" si="3"/>
        <v>81.395348837209298</v>
      </c>
      <c r="AH2" s="62">
        <f t="shared" si="3"/>
        <v>76.171875</v>
      </c>
      <c r="AI2" s="62">
        <f t="shared" si="3"/>
        <v>80.176767676767682</v>
      </c>
      <c r="AJ2" s="59">
        <f>+L2</f>
        <v>46084</v>
      </c>
      <c r="AK2" s="11" t="s">
        <v>2</v>
      </c>
      <c r="AL2" s="56">
        <f>(AL10*100000)/(AL11*60*8)</f>
        <v>45.572916666666664</v>
      </c>
      <c r="AM2" s="56">
        <f t="shared" ref="AM2:AP2" si="4">(AM10*100000)/(AM11*60*8)</f>
        <v>95.238095238095241</v>
      </c>
      <c r="AN2" s="56">
        <f t="shared" si="4"/>
        <v>73.994252873563212</v>
      </c>
      <c r="AO2" s="56">
        <f t="shared" si="4"/>
        <v>74.354657687991022</v>
      </c>
      <c r="AP2" s="56">
        <f t="shared" si="4"/>
        <v>86.279461279461273</v>
      </c>
      <c r="AQ2" s="56"/>
    </row>
    <row r="3" spans="1:45" x14ac:dyDescent="0.25">
      <c r="A3" s="41"/>
      <c r="B3" s="15" t="s">
        <v>3</v>
      </c>
      <c r="C3" s="56">
        <v>12</v>
      </c>
      <c r="D3" s="57">
        <v>33</v>
      </c>
      <c r="E3" s="57">
        <v>1</v>
      </c>
      <c r="F3" s="57">
        <v>9</v>
      </c>
      <c r="G3" s="57">
        <v>11</v>
      </c>
      <c r="H3" s="57">
        <v>7</v>
      </c>
      <c r="I3" s="57">
        <v>16</v>
      </c>
      <c r="J3" s="57">
        <v>1</v>
      </c>
      <c r="K3" s="57">
        <v>1</v>
      </c>
      <c r="L3" s="54"/>
      <c r="M3" s="18" t="s">
        <v>3</v>
      </c>
      <c r="N3" s="56">
        <v>13</v>
      </c>
      <c r="O3" s="56">
        <v>8</v>
      </c>
      <c r="P3" s="56">
        <v>14</v>
      </c>
      <c r="Q3" s="57">
        <v>1</v>
      </c>
      <c r="R3" s="57">
        <v>2</v>
      </c>
      <c r="S3" s="57">
        <v>4</v>
      </c>
      <c r="T3" s="57">
        <v>4</v>
      </c>
      <c r="U3" s="57">
        <v>22</v>
      </c>
      <c r="V3" s="57">
        <v>1</v>
      </c>
      <c r="W3" s="57">
        <v>18</v>
      </c>
      <c r="X3" s="57">
        <v>2</v>
      </c>
      <c r="Y3" s="57">
        <v>20</v>
      </c>
      <c r="Z3" s="57">
        <v>4</v>
      </c>
      <c r="AA3" s="57">
        <v>32</v>
      </c>
      <c r="AB3" s="57">
        <v>2</v>
      </c>
      <c r="AC3" s="57">
        <v>4</v>
      </c>
      <c r="AD3" s="57">
        <v>1</v>
      </c>
      <c r="AE3" s="57">
        <v>1</v>
      </c>
      <c r="AF3" s="57">
        <v>0</v>
      </c>
      <c r="AG3" s="57">
        <v>0</v>
      </c>
      <c r="AH3" s="57">
        <v>1</v>
      </c>
      <c r="AI3" s="57">
        <v>13</v>
      </c>
      <c r="AJ3" s="54"/>
      <c r="AK3" s="18" t="s">
        <v>3</v>
      </c>
      <c r="AL3" s="57">
        <v>38</v>
      </c>
      <c r="AM3" s="56">
        <v>8</v>
      </c>
      <c r="AN3" s="56">
        <v>7</v>
      </c>
      <c r="AO3" s="56">
        <v>2</v>
      </c>
      <c r="AP3" s="56">
        <v>14</v>
      </c>
      <c r="AQ3" s="56"/>
      <c r="AS3">
        <f>SUM(O3:AI3)</f>
        <v>154</v>
      </c>
    </row>
    <row r="4" spans="1:45" x14ac:dyDescent="0.25">
      <c r="A4" s="41"/>
      <c r="B4" s="18" t="s">
        <v>4</v>
      </c>
      <c r="C4" s="56"/>
      <c r="D4" s="57"/>
      <c r="E4" s="57"/>
      <c r="F4" s="57"/>
      <c r="G4" s="57"/>
      <c r="H4" s="57"/>
      <c r="I4" s="57"/>
      <c r="J4" s="57"/>
      <c r="K4" s="57"/>
      <c r="L4" s="54"/>
      <c r="M4" s="18" t="s">
        <v>4</v>
      </c>
      <c r="N4" s="56"/>
      <c r="O4" s="56"/>
      <c r="P4" s="56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4"/>
      <c r="AK4" s="18" t="s">
        <v>4</v>
      </c>
      <c r="AL4" s="56"/>
      <c r="AM4" s="56"/>
      <c r="AN4" s="56"/>
      <c r="AO4" s="56"/>
      <c r="AP4" s="56"/>
      <c r="AQ4" s="56"/>
      <c r="AS4">
        <f t="shared" ref="AS4:AS9" si="5">SUM(O4:AI4)</f>
        <v>0</v>
      </c>
    </row>
    <row r="5" spans="1:45" x14ac:dyDescent="0.25">
      <c r="A5" s="41"/>
      <c r="B5" s="19" t="s">
        <v>5</v>
      </c>
      <c r="C5" s="56">
        <v>3</v>
      </c>
      <c r="D5" s="57">
        <v>4</v>
      </c>
      <c r="E5" s="57">
        <v>5</v>
      </c>
      <c r="F5" s="57">
        <v>3</v>
      </c>
      <c r="G5" s="57">
        <v>6</v>
      </c>
      <c r="H5" s="57">
        <v>5</v>
      </c>
      <c r="I5" s="57">
        <v>12</v>
      </c>
      <c r="J5" s="57">
        <v>4</v>
      </c>
      <c r="K5" s="57">
        <v>9</v>
      </c>
      <c r="L5" s="54"/>
      <c r="M5" s="18" t="s">
        <v>5</v>
      </c>
      <c r="N5" s="56">
        <v>3</v>
      </c>
      <c r="O5" s="56">
        <v>4</v>
      </c>
      <c r="P5" s="56">
        <v>3</v>
      </c>
      <c r="Q5" s="57">
        <v>4</v>
      </c>
      <c r="R5" s="57">
        <v>9</v>
      </c>
      <c r="S5" s="57">
        <v>7</v>
      </c>
      <c r="T5" s="57">
        <v>4</v>
      </c>
      <c r="U5" s="57">
        <v>0</v>
      </c>
      <c r="V5" s="57">
        <v>10</v>
      </c>
      <c r="W5" s="57">
        <v>8</v>
      </c>
      <c r="X5" s="57">
        <v>12</v>
      </c>
      <c r="Y5" s="57">
        <v>2</v>
      </c>
      <c r="Z5" s="57">
        <v>17</v>
      </c>
      <c r="AA5" s="57">
        <v>8</v>
      </c>
      <c r="AB5" s="57">
        <v>5</v>
      </c>
      <c r="AC5" s="57">
        <v>3</v>
      </c>
      <c r="AD5" s="57">
        <v>3</v>
      </c>
      <c r="AE5" s="57">
        <v>6</v>
      </c>
      <c r="AF5" s="57">
        <v>1</v>
      </c>
      <c r="AG5" s="57">
        <v>24</v>
      </c>
      <c r="AH5" s="57">
        <v>4</v>
      </c>
      <c r="AI5" s="57">
        <v>5</v>
      </c>
      <c r="AJ5" s="54"/>
      <c r="AK5" s="18" t="s">
        <v>5</v>
      </c>
      <c r="AL5" s="56">
        <v>6</v>
      </c>
      <c r="AM5" s="56">
        <v>8</v>
      </c>
      <c r="AN5" s="56">
        <v>8</v>
      </c>
      <c r="AO5" s="56">
        <v>2</v>
      </c>
      <c r="AP5" s="56">
        <v>4</v>
      </c>
      <c r="AQ5" s="56"/>
      <c r="AS5">
        <f>SUM(O5:AI5)</f>
        <v>139</v>
      </c>
    </row>
    <row r="6" spans="1:45" x14ac:dyDescent="0.25">
      <c r="A6" s="41"/>
      <c r="B6" s="20" t="s">
        <v>6</v>
      </c>
      <c r="C6" s="56"/>
      <c r="D6" s="57"/>
      <c r="E6" s="57"/>
      <c r="F6" s="57"/>
      <c r="G6" s="57"/>
      <c r="H6" s="57"/>
      <c r="I6" s="57"/>
      <c r="J6" s="57"/>
      <c r="K6" s="57"/>
      <c r="L6" s="54"/>
      <c r="M6" s="18" t="s">
        <v>6</v>
      </c>
      <c r="N6" s="56"/>
      <c r="O6" s="56"/>
      <c r="P6" s="56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4"/>
      <c r="AK6" s="18" t="s">
        <v>7</v>
      </c>
      <c r="AL6" s="56">
        <v>1</v>
      </c>
      <c r="AM6" s="56">
        <v>2</v>
      </c>
      <c r="AN6" s="56">
        <v>7</v>
      </c>
      <c r="AO6" s="56">
        <v>4</v>
      </c>
      <c r="AP6" s="56">
        <v>1</v>
      </c>
      <c r="AQ6" s="56"/>
      <c r="AS6">
        <f t="shared" si="5"/>
        <v>0</v>
      </c>
    </row>
    <row r="7" spans="1:45" x14ac:dyDescent="0.25">
      <c r="A7" s="41"/>
      <c r="B7" s="15" t="s">
        <v>7</v>
      </c>
      <c r="C7" s="56">
        <v>3</v>
      </c>
      <c r="D7" s="57">
        <v>4</v>
      </c>
      <c r="E7" s="57">
        <v>10</v>
      </c>
      <c r="F7" s="57">
        <v>8</v>
      </c>
      <c r="G7" s="57">
        <v>20</v>
      </c>
      <c r="H7" s="57">
        <v>4</v>
      </c>
      <c r="I7" s="57">
        <v>9</v>
      </c>
      <c r="J7" s="57">
        <v>6</v>
      </c>
      <c r="K7" s="57">
        <v>1</v>
      </c>
      <c r="L7" s="54"/>
      <c r="M7" s="18" t="s">
        <v>7</v>
      </c>
      <c r="N7" s="56">
        <v>3</v>
      </c>
      <c r="O7" s="56">
        <v>2</v>
      </c>
      <c r="P7" s="56">
        <v>5</v>
      </c>
      <c r="Q7" s="57">
        <v>2</v>
      </c>
      <c r="R7" s="57">
        <v>7</v>
      </c>
      <c r="S7" s="57">
        <v>2</v>
      </c>
      <c r="T7" s="57">
        <v>9</v>
      </c>
      <c r="U7" s="57">
        <v>15</v>
      </c>
      <c r="V7" s="57">
        <v>12</v>
      </c>
      <c r="W7" s="57">
        <v>10</v>
      </c>
      <c r="X7" s="57">
        <v>11</v>
      </c>
      <c r="Y7" s="57">
        <v>3</v>
      </c>
      <c r="Z7" s="57">
        <v>11</v>
      </c>
      <c r="AA7" s="57">
        <v>3</v>
      </c>
      <c r="AB7" s="57">
        <v>5</v>
      </c>
      <c r="AC7" s="57">
        <v>1</v>
      </c>
      <c r="AD7" s="57">
        <v>5</v>
      </c>
      <c r="AE7" s="57">
        <v>4</v>
      </c>
      <c r="AF7" s="57">
        <v>5</v>
      </c>
      <c r="AG7" s="57">
        <v>0</v>
      </c>
      <c r="AH7" s="57">
        <v>10</v>
      </c>
      <c r="AI7" s="57">
        <v>10</v>
      </c>
      <c r="AJ7" s="54"/>
      <c r="AK7" s="18" t="s">
        <v>8</v>
      </c>
      <c r="AL7" s="56"/>
      <c r="AM7" s="56"/>
      <c r="AN7" s="56"/>
      <c r="AO7" s="56"/>
      <c r="AP7" s="56"/>
      <c r="AQ7" s="56"/>
      <c r="AS7">
        <f>SUM(O7:AI7)</f>
        <v>132</v>
      </c>
    </row>
    <row r="8" spans="1:45" x14ac:dyDescent="0.25">
      <c r="A8" s="40" t="s">
        <v>9</v>
      </c>
      <c r="B8" s="20" t="s">
        <v>10</v>
      </c>
      <c r="C8" s="56"/>
      <c r="D8" s="57"/>
      <c r="E8" s="57"/>
      <c r="F8" s="57"/>
      <c r="G8" s="57"/>
      <c r="H8" s="57"/>
      <c r="I8" s="57"/>
      <c r="J8" s="57"/>
      <c r="K8" s="57"/>
      <c r="L8" s="55" t="str">
        <f>A8</f>
        <v>MA 1T</v>
      </c>
      <c r="M8" s="18" t="s">
        <v>10</v>
      </c>
      <c r="N8" s="56"/>
      <c r="O8" s="56"/>
      <c r="P8" s="56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60" t="str">
        <f>L8</f>
        <v>MA 1T</v>
      </c>
      <c r="AK8" s="18" t="s">
        <v>11</v>
      </c>
      <c r="AL8" s="56">
        <v>0</v>
      </c>
      <c r="AM8" s="56">
        <v>5</v>
      </c>
      <c r="AN8" s="56">
        <v>8</v>
      </c>
      <c r="AO8" s="56">
        <v>1</v>
      </c>
      <c r="AP8" s="56">
        <v>2</v>
      </c>
      <c r="AQ8" s="56"/>
      <c r="AS8">
        <f t="shared" si="5"/>
        <v>0</v>
      </c>
    </row>
    <row r="9" spans="1:45" x14ac:dyDescent="0.25">
      <c r="A9" s="40"/>
      <c r="B9" s="15" t="s">
        <v>11</v>
      </c>
      <c r="C9" s="56">
        <v>8</v>
      </c>
      <c r="D9" s="57">
        <v>9</v>
      </c>
      <c r="E9" s="57">
        <v>5</v>
      </c>
      <c r="F9" s="57">
        <v>15</v>
      </c>
      <c r="G9" s="57">
        <v>6</v>
      </c>
      <c r="H9" s="57">
        <v>5</v>
      </c>
      <c r="I9" s="57">
        <v>4</v>
      </c>
      <c r="J9" s="57">
        <v>5</v>
      </c>
      <c r="K9" s="57">
        <v>7</v>
      </c>
      <c r="L9" s="55"/>
      <c r="M9" s="18" t="s">
        <v>11</v>
      </c>
      <c r="N9" s="56">
        <v>1</v>
      </c>
      <c r="O9" s="56">
        <v>6</v>
      </c>
      <c r="P9" s="56">
        <v>2</v>
      </c>
      <c r="Q9" s="57">
        <v>6</v>
      </c>
      <c r="R9" s="57">
        <v>10</v>
      </c>
      <c r="S9" s="57">
        <v>6</v>
      </c>
      <c r="T9" s="57">
        <v>14</v>
      </c>
      <c r="U9" s="57">
        <v>7</v>
      </c>
      <c r="V9" s="57">
        <v>3</v>
      </c>
      <c r="W9" s="57">
        <v>16</v>
      </c>
      <c r="X9" s="57">
        <v>4</v>
      </c>
      <c r="Y9" s="57">
        <v>9</v>
      </c>
      <c r="Z9" s="57">
        <v>8</v>
      </c>
      <c r="AA9" s="57">
        <v>9</v>
      </c>
      <c r="AB9" s="57">
        <v>3</v>
      </c>
      <c r="AC9" s="57">
        <v>3</v>
      </c>
      <c r="AD9" s="57">
        <v>5</v>
      </c>
      <c r="AE9" s="57">
        <v>10</v>
      </c>
      <c r="AF9" s="57">
        <v>2</v>
      </c>
      <c r="AG9" s="57">
        <v>2</v>
      </c>
      <c r="AH9" s="57">
        <v>3</v>
      </c>
      <c r="AI9" s="57">
        <v>6</v>
      </c>
      <c r="AJ9" s="60"/>
      <c r="AK9" s="18" t="s">
        <v>12</v>
      </c>
      <c r="AL9" s="56"/>
      <c r="AM9" s="56"/>
      <c r="AN9" s="56"/>
      <c r="AO9" s="56"/>
      <c r="AP9" s="56"/>
      <c r="AQ9" s="56"/>
      <c r="AS9">
        <f t="shared" si="5"/>
        <v>134</v>
      </c>
    </row>
    <row r="10" spans="1:45" x14ac:dyDescent="0.25">
      <c r="A10" s="40"/>
      <c r="B10" s="20" t="s">
        <v>12</v>
      </c>
      <c r="C10" s="56"/>
      <c r="D10" s="57"/>
      <c r="E10" s="57"/>
      <c r="F10" s="57"/>
      <c r="G10" s="57"/>
      <c r="H10" s="57"/>
      <c r="I10" s="57"/>
      <c r="J10" s="57"/>
      <c r="K10" s="57"/>
      <c r="L10" s="55"/>
      <c r="M10" s="18" t="s">
        <v>12</v>
      </c>
      <c r="N10" s="56"/>
      <c r="O10" s="56"/>
      <c r="P10" s="56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60"/>
      <c r="AK10" s="18" t="s">
        <v>13</v>
      </c>
      <c r="AL10" s="56">
        <v>56</v>
      </c>
      <c r="AM10" s="56">
        <v>128</v>
      </c>
      <c r="AN10" s="56">
        <v>103</v>
      </c>
      <c r="AO10" s="56">
        <v>106</v>
      </c>
      <c r="AP10" s="56">
        <v>123</v>
      </c>
      <c r="AQ10" s="56"/>
    </row>
    <row r="11" spans="1:45" x14ac:dyDescent="0.25">
      <c r="A11" s="40"/>
      <c r="B11" s="15" t="s">
        <v>13</v>
      </c>
      <c r="C11" s="56">
        <v>131</v>
      </c>
      <c r="D11" s="57">
        <v>120</v>
      </c>
      <c r="E11" s="57">
        <v>109</v>
      </c>
      <c r="F11" s="57">
        <v>129</v>
      </c>
      <c r="G11" s="57">
        <v>111</v>
      </c>
      <c r="H11" s="57">
        <v>111</v>
      </c>
      <c r="I11" s="57">
        <v>109</v>
      </c>
      <c r="J11" s="57">
        <v>126</v>
      </c>
      <c r="K11" s="57">
        <v>124</v>
      </c>
      <c r="L11" s="55"/>
      <c r="M11" s="18" t="s">
        <v>13</v>
      </c>
      <c r="N11" s="56">
        <v>141</v>
      </c>
      <c r="O11" s="56">
        <v>140</v>
      </c>
      <c r="P11" s="56">
        <v>137</v>
      </c>
      <c r="Q11" s="56">
        <v>153</v>
      </c>
      <c r="R11" s="56">
        <v>141</v>
      </c>
      <c r="S11" s="56">
        <v>149</v>
      </c>
      <c r="T11" s="56">
        <v>123</v>
      </c>
      <c r="U11" s="56">
        <v>136</v>
      </c>
      <c r="V11" s="56">
        <v>123</v>
      </c>
      <c r="W11" s="56">
        <v>122</v>
      </c>
      <c r="X11" s="56">
        <v>119</v>
      </c>
      <c r="Y11" s="56">
        <v>126</v>
      </c>
      <c r="Z11" s="56">
        <v>102</v>
      </c>
      <c r="AA11" s="56">
        <v>120</v>
      </c>
      <c r="AB11" s="56">
        <v>120</v>
      </c>
      <c r="AC11" s="56">
        <v>129</v>
      </c>
      <c r="AD11" s="56">
        <v>122</v>
      </c>
      <c r="AE11" s="56">
        <v>92</v>
      </c>
      <c r="AF11" s="56">
        <v>120</v>
      </c>
      <c r="AG11" s="56">
        <v>84</v>
      </c>
      <c r="AH11" s="56">
        <v>117</v>
      </c>
      <c r="AI11" s="56">
        <v>127</v>
      </c>
      <c r="AJ11" s="60"/>
      <c r="AK11" s="18" t="s">
        <v>14</v>
      </c>
      <c r="AL11" s="56">
        <v>256</v>
      </c>
      <c r="AM11" s="56">
        <v>280</v>
      </c>
      <c r="AN11" s="56">
        <v>290</v>
      </c>
      <c r="AO11" s="56">
        <v>297</v>
      </c>
      <c r="AP11" s="56">
        <v>297</v>
      </c>
      <c r="AQ11" s="56"/>
    </row>
    <row r="12" spans="1:45" x14ac:dyDescent="0.25">
      <c r="A12" s="40"/>
      <c r="B12" s="15" t="s">
        <v>14</v>
      </c>
      <c r="C12" s="56">
        <v>304</v>
      </c>
      <c r="D12" s="57">
        <v>301</v>
      </c>
      <c r="E12" s="57">
        <v>248</v>
      </c>
      <c r="F12" s="57">
        <v>296</v>
      </c>
      <c r="G12" s="57">
        <v>308</v>
      </c>
      <c r="H12" s="57">
        <v>276</v>
      </c>
      <c r="I12" s="57">
        <v>289</v>
      </c>
      <c r="J12" s="57">
        <v>288</v>
      </c>
      <c r="K12" s="57">
        <v>299</v>
      </c>
      <c r="L12" s="55"/>
      <c r="M12" s="18" t="s">
        <v>14</v>
      </c>
      <c r="N12" s="56">
        <v>335</v>
      </c>
      <c r="O12" s="56">
        <v>350</v>
      </c>
      <c r="P12" s="56">
        <v>320</v>
      </c>
      <c r="Q12" s="56">
        <v>350</v>
      </c>
      <c r="R12" s="56">
        <v>350</v>
      </c>
      <c r="S12" s="56">
        <v>340</v>
      </c>
      <c r="T12" s="56">
        <v>287</v>
      </c>
      <c r="U12" s="56">
        <v>305</v>
      </c>
      <c r="V12" s="56">
        <v>306</v>
      </c>
      <c r="W12" s="56">
        <v>304</v>
      </c>
      <c r="X12" s="56">
        <v>288</v>
      </c>
      <c r="Y12" s="56">
        <v>306</v>
      </c>
      <c r="Z12" s="56">
        <v>293</v>
      </c>
      <c r="AA12" s="56">
        <v>292</v>
      </c>
      <c r="AB12" s="56">
        <v>302</v>
      </c>
      <c r="AC12" s="56">
        <v>299</v>
      </c>
      <c r="AD12" s="56">
        <v>306</v>
      </c>
      <c r="AE12" s="56">
        <v>299</v>
      </c>
      <c r="AF12" s="56">
        <v>270</v>
      </c>
      <c r="AG12" s="56">
        <v>215</v>
      </c>
      <c r="AH12" s="56">
        <v>320</v>
      </c>
      <c r="AI12" s="56">
        <v>330</v>
      </c>
      <c r="AJ12" s="61"/>
      <c r="AK12" s="16"/>
      <c r="AL12" s="56"/>
      <c r="AM12" s="56"/>
      <c r="AN12" s="56"/>
      <c r="AO12" s="56"/>
      <c r="AP12" s="56"/>
      <c r="AQ12" s="56"/>
    </row>
    <row r="13" spans="1:45" x14ac:dyDescent="0.25">
      <c r="A13" s="41">
        <f>A2</f>
        <v>46084</v>
      </c>
      <c r="B13" s="20" t="s">
        <v>2</v>
      </c>
      <c r="C13" s="56">
        <f t="shared" ref="C13:K13" si="6">(C22*100000)/(C23*60*8)</f>
        <v>88.815789473684205</v>
      </c>
      <c r="D13" s="56">
        <f t="shared" si="6"/>
        <v>59.246954595791806</v>
      </c>
      <c r="E13" s="56" t="e">
        <f t="shared" si="6"/>
        <v>#DIV/0!</v>
      </c>
      <c r="F13" s="56">
        <f t="shared" si="6"/>
        <v>87.556306306306311</v>
      </c>
      <c r="G13" s="56">
        <f t="shared" si="6"/>
        <v>81.168831168831176</v>
      </c>
      <c r="H13" s="56">
        <f t="shared" si="6"/>
        <v>76.388888888888886</v>
      </c>
      <c r="I13" s="56">
        <f t="shared" si="6"/>
        <v>61.274509803921568</v>
      </c>
      <c r="J13" s="56">
        <f t="shared" si="6"/>
        <v>75.954861111111114</v>
      </c>
      <c r="K13" s="62">
        <f t="shared" si="6"/>
        <v>82.218506131549603</v>
      </c>
      <c r="L13" s="54">
        <f>A13</f>
        <v>46084</v>
      </c>
      <c r="M13" s="18" t="s">
        <v>2</v>
      </c>
      <c r="N13" s="62">
        <f>(N22*100000)/(N23*60*8)</f>
        <v>88.308457711442784</v>
      </c>
      <c r="O13" s="62">
        <f t="shared" ref="O13:AI13" si="7">(O22*100000)/(O23*60*8)</f>
        <v>82.142857142857139</v>
      </c>
      <c r="P13" s="62">
        <f t="shared" si="7"/>
        <v>91.145833333333329</v>
      </c>
      <c r="Q13" s="62">
        <f t="shared" si="7"/>
        <v>89.88095238095238</v>
      </c>
      <c r="R13" s="62">
        <f t="shared" si="7"/>
        <v>49.404761904761905</v>
      </c>
      <c r="S13" s="62">
        <f t="shared" si="7"/>
        <v>92.524509803921575</v>
      </c>
      <c r="T13" s="62">
        <f t="shared" si="7"/>
        <v>82.026713124274096</v>
      </c>
      <c r="U13" s="62">
        <f t="shared" si="7"/>
        <v>77.185792349726782</v>
      </c>
      <c r="V13" s="62">
        <f t="shared" si="7"/>
        <v>70.806100217864923</v>
      </c>
      <c r="W13" s="62">
        <f t="shared" si="7"/>
        <v>78.125</v>
      </c>
      <c r="X13" s="62">
        <f t="shared" si="7"/>
        <v>55.700231481481481</v>
      </c>
      <c r="Y13" s="62">
        <f t="shared" si="7"/>
        <v>91.911764705882348</v>
      </c>
      <c r="Z13" s="62">
        <f t="shared" si="7"/>
        <v>66.83731513083049</v>
      </c>
      <c r="AA13" s="62">
        <f t="shared" si="7"/>
        <v>63.213470319634702</v>
      </c>
      <c r="AB13" s="62">
        <f t="shared" si="7"/>
        <v>86.437637969094922</v>
      </c>
      <c r="AC13" s="62">
        <f t="shared" si="7"/>
        <v>94.063545150501668</v>
      </c>
      <c r="AD13" s="62">
        <f t="shared" si="7"/>
        <v>81.699346405228752</v>
      </c>
      <c r="AE13" s="62">
        <f t="shared" si="7"/>
        <v>14.074693422519509</v>
      </c>
      <c r="AF13" s="62">
        <f t="shared" si="7"/>
        <v>89.506172839506178</v>
      </c>
      <c r="AG13" s="62">
        <f t="shared" si="7"/>
        <v>82.36434108527132</v>
      </c>
      <c r="AH13" s="62">
        <f t="shared" si="7"/>
        <v>83.333333333333329</v>
      </c>
      <c r="AI13" s="62">
        <f t="shared" si="7"/>
        <v>78.914141414141412</v>
      </c>
      <c r="AJ13" s="54">
        <f>L13</f>
        <v>46084</v>
      </c>
      <c r="AK13" s="18" t="s">
        <v>2</v>
      </c>
      <c r="AL13" s="56">
        <f>(AL21*100000)/(AL22*60*8)</f>
        <v>59.407552083333336</v>
      </c>
      <c r="AM13" s="56">
        <f t="shared" ref="AM13:AP13" si="8">(AM21*100000)/(AM22*60*8)</f>
        <v>93.75</v>
      </c>
      <c r="AN13" s="56">
        <f t="shared" si="8"/>
        <v>91.235632183908052</v>
      </c>
      <c r="AO13" s="56">
        <f t="shared" si="8"/>
        <v>89.786756453423124</v>
      </c>
      <c r="AP13" s="56">
        <f t="shared" si="8"/>
        <v>87.682379349046016</v>
      </c>
      <c r="AQ13" s="56"/>
      <c r="AS13">
        <f t="shared" ref="AS13:AS19" si="9">SUM(N14:AI14)</f>
        <v>177</v>
      </c>
    </row>
    <row r="14" spans="1:45" x14ac:dyDescent="0.25">
      <c r="A14" s="41"/>
      <c r="B14" s="20" t="s">
        <v>3</v>
      </c>
      <c r="C14" s="56">
        <v>8</v>
      </c>
      <c r="D14" s="56">
        <v>15</v>
      </c>
      <c r="E14" s="58"/>
      <c r="F14" s="56">
        <v>10</v>
      </c>
      <c r="G14" s="56">
        <v>9</v>
      </c>
      <c r="H14" s="56">
        <v>6</v>
      </c>
      <c r="I14" s="56">
        <v>11</v>
      </c>
      <c r="J14" s="56">
        <v>6</v>
      </c>
      <c r="K14" s="56">
        <v>9</v>
      </c>
      <c r="L14" s="54"/>
      <c r="M14" s="18" t="s">
        <v>3</v>
      </c>
      <c r="N14" s="56">
        <v>5</v>
      </c>
      <c r="O14" s="57">
        <v>28</v>
      </c>
      <c r="P14" s="57">
        <v>9</v>
      </c>
      <c r="Q14" s="57">
        <v>1</v>
      </c>
      <c r="R14" s="57">
        <v>4</v>
      </c>
      <c r="S14" s="57">
        <v>1</v>
      </c>
      <c r="T14" s="57">
        <v>9</v>
      </c>
      <c r="U14" s="57">
        <v>22</v>
      </c>
      <c r="V14" s="57">
        <v>4</v>
      </c>
      <c r="W14" s="57">
        <v>12</v>
      </c>
      <c r="X14" s="57">
        <v>2</v>
      </c>
      <c r="Y14" s="57">
        <v>3</v>
      </c>
      <c r="Z14" s="57">
        <v>6</v>
      </c>
      <c r="AA14" s="57">
        <v>47</v>
      </c>
      <c r="AB14" s="57">
        <v>0</v>
      </c>
      <c r="AC14" s="57">
        <v>1</v>
      </c>
      <c r="AD14" s="57">
        <v>3</v>
      </c>
      <c r="AE14" s="57">
        <v>0</v>
      </c>
      <c r="AF14" s="57">
        <v>0</v>
      </c>
      <c r="AG14" s="57">
        <v>0</v>
      </c>
      <c r="AH14" s="57">
        <v>4</v>
      </c>
      <c r="AI14" s="57">
        <v>16</v>
      </c>
      <c r="AJ14" s="54"/>
      <c r="AK14" s="18" t="s">
        <v>3</v>
      </c>
      <c r="AL14" s="57">
        <v>20</v>
      </c>
      <c r="AM14" s="57">
        <v>2</v>
      </c>
      <c r="AN14" s="56">
        <v>9</v>
      </c>
      <c r="AO14" s="56">
        <v>3</v>
      </c>
      <c r="AP14" s="56">
        <v>10</v>
      </c>
      <c r="AQ14" s="56"/>
      <c r="AS14">
        <f t="shared" si="9"/>
        <v>0</v>
      </c>
    </row>
    <row r="15" spans="1:45" x14ac:dyDescent="0.25">
      <c r="A15" s="41"/>
      <c r="B15" s="20" t="s">
        <v>4</v>
      </c>
      <c r="C15" s="56"/>
      <c r="D15" s="56"/>
      <c r="E15" s="58"/>
      <c r="F15" s="57"/>
      <c r="G15" s="57"/>
      <c r="H15" s="57"/>
      <c r="I15" s="57"/>
      <c r="J15" s="57"/>
      <c r="K15" s="56"/>
      <c r="L15" s="54"/>
      <c r="M15" s="18" t="s">
        <v>4</v>
      </c>
      <c r="N15" s="56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4"/>
      <c r="AK15" s="18" t="s">
        <v>4</v>
      </c>
      <c r="AL15" s="56"/>
      <c r="AM15" s="56"/>
      <c r="AN15" s="56"/>
      <c r="AO15" s="56"/>
      <c r="AP15" s="56"/>
      <c r="AQ15" s="56"/>
      <c r="AS15">
        <f>SUM(N16:AI16)</f>
        <v>167</v>
      </c>
    </row>
    <row r="16" spans="1:45" x14ac:dyDescent="0.25">
      <c r="A16" s="41"/>
      <c r="B16" s="20" t="s">
        <v>5</v>
      </c>
      <c r="C16" s="56">
        <v>4</v>
      </c>
      <c r="D16" s="56">
        <v>8</v>
      </c>
      <c r="E16" s="58"/>
      <c r="F16" s="57">
        <v>7</v>
      </c>
      <c r="G16" s="57">
        <v>7</v>
      </c>
      <c r="H16" s="57">
        <v>17</v>
      </c>
      <c r="I16" s="57">
        <v>21</v>
      </c>
      <c r="J16" s="57">
        <v>17</v>
      </c>
      <c r="K16" s="56">
        <v>8</v>
      </c>
      <c r="L16" s="54"/>
      <c r="M16" s="18" t="s">
        <v>5</v>
      </c>
      <c r="N16" s="56">
        <v>6</v>
      </c>
      <c r="O16" s="57">
        <v>4</v>
      </c>
      <c r="P16" s="57">
        <v>1</v>
      </c>
      <c r="Q16" s="57">
        <v>6</v>
      </c>
      <c r="R16" s="57">
        <v>7</v>
      </c>
      <c r="S16" s="57">
        <v>2</v>
      </c>
      <c r="T16" s="57">
        <v>2</v>
      </c>
      <c r="U16" s="57">
        <v>3</v>
      </c>
      <c r="V16" s="57">
        <v>32</v>
      </c>
      <c r="W16" s="57">
        <v>16</v>
      </c>
      <c r="X16" s="57">
        <v>10</v>
      </c>
      <c r="Y16" s="57">
        <v>3</v>
      </c>
      <c r="Z16" s="57">
        <v>6</v>
      </c>
      <c r="AA16" s="57">
        <v>28</v>
      </c>
      <c r="AB16" s="57">
        <v>4</v>
      </c>
      <c r="AC16" s="57">
        <v>0</v>
      </c>
      <c r="AD16" s="57">
        <v>2</v>
      </c>
      <c r="AE16" s="57">
        <v>2</v>
      </c>
      <c r="AF16" s="57">
        <v>3</v>
      </c>
      <c r="AG16" s="57">
        <v>17</v>
      </c>
      <c r="AH16" s="57">
        <v>11</v>
      </c>
      <c r="AI16" s="57">
        <v>2</v>
      </c>
      <c r="AJ16" s="54"/>
      <c r="AK16" s="18" t="s">
        <v>5</v>
      </c>
      <c r="AL16" s="56">
        <v>18</v>
      </c>
      <c r="AM16" s="56">
        <v>2</v>
      </c>
      <c r="AN16" s="56">
        <v>1</v>
      </c>
      <c r="AO16" s="56">
        <v>0</v>
      </c>
      <c r="AP16" s="56">
        <v>3</v>
      </c>
      <c r="AQ16" s="56"/>
      <c r="AS16">
        <f t="shared" si="9"/>
        <v>0</v>
      </c>
    </row>
    <row r="17" spans="1:45" x14ac:dyDescent="0.25">
      <c r="A17" s="41"/>
      <c r="B17" s="20" t="s">
        <v>6</v>
      </c>
      <c r="C17" s="56"/>
      <c r="D17" s="56"/>
      <c r="E17" s="58"/>
      <c r="F17" s="57"/>
      <c r="G17" s="57"/>
      <c r="H17" s="57"/>
      <c r="I17" s="57"/>
      <c r="J17" s="57"/>
      <c r="K17" s="56"/>
      <c r="L17" s="54"/>
      <c r="M17" s="18" t="s">
        <v>6</v>
      </c>
      <c r="N17" s="56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4"/>
      <c r="AK17" s="18" t="s">
        <v>7</v>
      </c>
      <c r="AL17" s="56">
        <v>5</v>
      </c>
      <c r="AM17" s="56">
        <v>4</v>
      </c>
      <c r="AN17" s="56">
        <v>1</v>
      </c>
      <c r="AO17" s="56">
        <v>8</v>
      </c>
      <c r="AP17" s="56">
        <v>4</v>
      </c>
      <c r="AQ17" s="56"/>
      <c r="AS17">
        <f t="shared" si="9"/>
        <v>157</v>
      </c>
    </row>
    <row r="18" spans="1:45" x14ac:dyDescent="0.25">
      <c r="A18" s="41"/>
      <c r="B18" s="20" t="s">
        <v>7</v>
      </c>
      <c r="C18" s="56">
        <v>3</v>
      </c>
      <c r="D18" s="56">
        <v>10</v>
      </c>
      <c r="E18" s="58"/>
      <c r="F18" s="57">
        <v>6</v>
      </c>
      <c r="G18" s="57">
        <v>11</v>
      </c>
      <c r="H18" s="57">
        <v>11</v>
      </c>
      <c r="I18" s="57">
        <v>6</v>
      </c>
      <c r="J18" s="57">
        <v>11</v>
      </c>
      <c r="K18" s="56">
        <v>10</v>
      </c>
      <c r="L18" s="54"/>
      <c r="M18" s="18" t="s">
        <v>7</v>
      </c>
      <c r="N18" s="56">
        <v>3</v>
      </c>
      <c r="O18" s="57">
        <v>4</v>
      </c>
      <c r="P18" s="57">
        <v>0</v>
      </c>
      <c r="Q18" s="57">
        <v>0</v>
      </c>
      <c r="R18" s="57">
        <v>14</v>
      </c>
      <c r="S18" s="57">
        <v>3</v>
      </c>
      <c r="T18" s="57">
        <v>7</v>
      </c>
      <c r="U18" s="57">
        <v>15</v>
      </c>
      <c r="V18" s="57">
        <v>9</v>
      </c>
      <c r="W18" s="57">
        <v>4</v>
      </c>
      <c r="X18" s="57">
        <v>9</v>
      </c>
      <c r="Y18" s="57">
        <v>4</v>
      </c>
      <c r="Z18" s="57">
        <v>15</v>
      </c>
      <c r="AA18" s="57">
        <v>7</v>
      </c>
      <c r="AB18" s="57">
        <v>13</v>
      </c>
      <c r="AC18" s="57">
        <v>3</v>
      </c>
      <c r="AD18" s="57">
        <v>4</v>
      </c>
      <c r="AE18" s="57">
        <v>1</v>
      </c>
      <c r="AF18" s="57">
        <v>4</v>
      </c>
      <c r="AG18" s="57">
        <v>13</v>
      </c>
      <c r="AH18" s="57">
        <v>4</v>
      </c>
      <c r="AI18" s="57">
        <v>21</v>
      </c>
      <c r="AJ18" s="54"/>
      <c r="AK18" s="18" t="s">
        <v>8</v>
      </c>
      <c r="AL18" s="56"/>
      <c r="AM18" s="56"/>
      <c r="AN18" s="56"/>
      <c r="AO18" s="56"/>
      <c r="AP18" s="56"/>
      <c r="AQ18" s="56"/>
      <c r="AS18">
        <f t="shared" si="9"/>
        <v>0</v>
      </c>
    </row>
    <row r="19" spans="1:45" x14ac:dyDescent="0.25">
      <c r="A19" s="40" t="s">
        <v>15</v>
      </c>
      <c r="B19" s="20" t="s">
        <v>10</v>
      </c>
      <c r="C19" s="56"/>
      <c r="D19" s="56"/>
      <c r="E19" s="58"/>
      <c r="F19" s="57"/>
      <c r="G19" s="57"/>
      <c r="H19" s="57"/>
      <c r="I19" s="57"/>
      <c r="J19" s="57"/>
      <c r="K19" s="56"/>
      <c r="L19" s="55" t="str">
        <f>A19</f>
        <v>MA 2T</v>
      </c>
      <c r="M19" s="18" t="s">
        <v>10</v>
      </c>
      <c r="N19" s="56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4" t="str">
        <f>L19</f>
        <v>MA 2T</v>
      </c>
      <c r="AK19" s="18" t="s">
        <v>11</v>
      </c>
      <c r="AL19" s="56">
        <v>3</v>
      </c>
      <c r="AM19" s="56">
        <v>1</v>
      </c>
      <c r="AN19" s="56">
        <v>3</v>
      </c>
      <c r="AO19" s="56">
        <v>3</v>
      </c>
      <c r="AP19" s="56">
        <v>2</v>
      </c>
      <c r="AQ19" s="56"/>
      <c r="AS19">
        <f t="shared" si="9"/>
        <v>130</v>
      </c>
    </row>
    <row r="20" spans="1:45" x14ac:dyDescent="0.25">
      <c r="A20" s="40"/>
      <c r="B20" s="20" t="s">
        <v>11</v>
      </c>
      <c r="C20" s="56">
        <v>3</v>
      </c>
      <c r="D20" s="56">
        <v>11</v>
      </c>
      <c r="E20" s="58"/>
      <c r="F20" s="57">
        <v>26</v>
      </c>
      <c r="G20" s="57">
        <v>7</v>
      </c>
      <c r="H20" s="57">
        <v>5</v>
      </c>
      <c r="I20" s="57">
        <v>10</v>
      </c>
      <c r="J20" s="57">
        <v>5</v>
      </c>
      <c r="K20" s="56">
        <v>5</v>
      </c>
      <c r="L20" s="55"/>
      <c r="M20" s="18" t="s">
        <v>11</v>
      </c>
      <c r="N20" s="56">
        <v>1</v>
      </c>
      <c r="O20" s="57">
        <v>0</v>
      </c>
      <c r="P20" s="57">
        <v>1</v>
      </c>
      <c r="Q20" s="57">
        <v>3</v>
      </c>
      <c r="R20" s="57">
        <v>5</v>
      </c>
      <c r="S20" s="57">
        <v>4</v>
      </c>
      <c r="T20" s="57">
        <v>12</v>
      </c>
      <c r="U20" s="57">
        <v>3</v>
      </c>
      <c r="V20" s="57">
        <v>15</v>
      </c>
      <c r="W20" s="57">
        <v>9</v>
      </c>
      <c r="X20" s="57">
        <v>9</v>
      </c>
      <c r="Y20" s="57">
        <v>5</v>
      </c>
      <c r="Z20" s="57">
        <v>3</v>
      </c>
      <c r="AA20" s="57">
        <v>16</v>
      </c>
      <c r="AB20" s="57">
        <v>12</v>
      </c>
      <c r="AC20" s="57">
        <v>5</v>
      </c>
      <c r="AD20" s="57">
        <v>5</v>
      </c>
      <c r="AE20" s="57">
        <v>6</v>
      </c>
      <c r="AF20" s="57">
        <v>1</v>
      </c>
      <c r="AG20" s="57">
        <v>3</v>
      </c>
      <c r="AH20" s="57">
        <v>8</v>
      </c>
      <c r="AI20" s="57">
        <v>4</v>
      </c>
      <c r="AJ20" s="54"/>
      <c r="AK20" s="18" t="s">
        <v>12</v>
      </c>
      <c r="AL20" s="56"/>
      <c r="AM20" s="56"/>
      <c r="AN20" s="56"/>
      <c r="AO20" s="56"/>
      <c r="AP20" s="56"/>
      <c r="AQ20" s="56"/>
    </row>
    <row r="21" spans="1:45" x14ac:dyDescent="0.25">
      <c r="A21" s="40"/>
      <c r="B21" s="20" t="s">
        <v>12</v>
      </c>
      <c r="C21" s="56"/>
      <c r="D21" s="56"/>
      <c r="E21" s="58"/>
      <c r="F21" s="57"/>
      <c r="G21" s="57"/>
      <c r="H21" s="57"/>
      <c r="I21" s="57"/>
      <c r="J21" s="57"/>
      <c r="K21" s="56"/>
      <c r="L21" s="55"/>
      <c r="M21" s="18" t="s">
        <v>12</v>
      </c>
      <c r="N21" s="56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4"/>
      <c r="AK21" s="18" t="s">
        <v>13</v>
      </c>
      <c r="AL21" s="56">
        <v>73</v>
      </c>
      <c r="AM21" s="56">
        <v>126</v>
      </c>
      <c r="AN21" s="56">
        <v>127</v>
      </c>
      <c r="AO21" s="56">
        <v>128</v>
      </c>
      <c r="AP21" s="56">
        <v>125</v>
      </c>
      <c r="AQ21" s="56"/>
    </row>
    <row r="22" spans="1:45" x14ac:dyDescent="0.25">
      <c r="A22" s="40"/>
      <c r="B22" s="20" t="s">
        <v>13</v>
      </c>
      <c r="C22" s="56">
        <v>129.6</v>
      </c>
      <c r="D22" s="56">
        <v>85.6</v>
      </c>
      <c r="E22" s="58"/>
      <c r="F22" s="56">
        <v>124.4</v>
      </c>
      <c r="G22" s="56">
        <v>120</v>
      </c>
      <c r="H22" s="56">
        <v>101.2</v>
      </c>
      <c r="I22" s="56">
        <v>85</v>
      </c>
      <c r="J22" s="56">
        <v>105</v>
      </c>
      <c r="K22" s="56">
        <v>118</v>
      </c>
      <c r="L22" s="55"/>
      <c r="M22" s="18" t="s">
        <v>13</v>
      </c>
      <c r="N22" s="56">
        <v>142</v>
      </c>
      <c r="O22" s="57">
        <v>138</v>
      </c>
      <c r="P22" s="57">
        <v>140</v>
      </c>
      <c r="Q22" s="57">
        <v>151</v>
      </c>
      <c r="R22" s="57">
        <v>83</v>
      </c>
      <c r="S22" s="57">
        <v>151</v>
      </c>
      <c r="T22" s="57">
        <v>113</v>
      </c>
      <c r="U22" s="57">
        <v>113</v>
      </c>
      <c r="V22" s="57">
        <v>104</v>
      </c>
      <c r="W22" s="57">
        <v>114</v>
      </c>
      <c r="X22" s="57">
        <v>77</v>
      </c>
      <c r="Y22" s="57">
        <v>135</v>
      </c>
      <c r="Z22" s="57">
        <v>94</v>
      </c>
      <c r="AA22" s="57">
        <v>88.6</v>
      </c>
      <c r="AB22" s="57">
        <v>125.3</v>
      </c>
      <c r="AC22" s="57">
        <v>135</v>
      </c>
      <c r="AD22" s="57">
        <v>120</v>
      </c>
      <c r="AE22" s="57">
        <v>20.2</v>
      </c>
      <c r="AF22" s="57">
        <v>116</v>
      </c>
      <c r="AG22" s="57">
        <v>85</v>
      </c>
      <c r="AH22" s="57">
        <v>128</v>
      </c>
      <c r="AI22" s="57">
        <v>125</v>
      </c>
      <c r="AJ22" s="54"/>
      <c r="AK22" s="18" t="s">
        <v>14</v>
      </c>
      <c r="AL22" s="56">
        <v>256</v>
      </c>
      <c r="AM22" s="56">
        <v>280</v>
      </c>
      <c r="AN22" s="56">
        <v>290</v>
      </c>
      <c r="AO22" s="56">
        <v>297</v>
      </c>
      <c r="AP22" s="56">
        <v>297</v>
      </c>
      <c r="AQ22" s="56"/>
    </row>
    <row r="23" spans="1:45" x14ac:dyDescent="0.25">
      <c r="A23" s="40"/>
      <c r="B23" s="20" t="s">
        <v>16</v>
      </c>
      <c r="C23" s="56">
        <v>304</v>
      </c>
      <c r="D23" s="56">
        <v>301</v>
      </c>
      <c r="E23" s="58"/>
      <c r="F23" s="56">
        <v>296</v>
      </c>
      <c r="G23" s="56">
        <v>308</v>
      </c>
      <c r="H23" s="56">
        <v>276</v>
      </c>
      <c r="I23" s="56">
        <v>289</v>
      </c>
      <c r="J23" s="56">
        <v>288</v>
      </c>
      <c r="K23" s="56">
        <v>299</v>
      </c>
      <c r="L23" s="55"/>
      <c r="M23" s="18" t="s">
        <v>14</v>
      </c>
      <c r="N23" s="56">
        <v>335</v>
      </c>
      <c r="O23" s="57">
        <v>350</v>
      </c>
      <c r="P23" s="57">
        <v>320</v>
      </c>
      <c r="Q23" s="57">
        <v>350</v>
      </c>
      <c r="R23" s="57">
        <v>350</v>
      </c>
      <c r="S23" s="57">
        <v>340</v>
      </c>
      <c r="T23" s="57">
        <v>287</v>
      </c>
      <c r="U23" s="57">
        <v>305</v>
      </c>
      <c r="V23" s="57">
        <v>306</v>
      </c>
      <c r="W23" s="57">
        <v>304</v>
      </c>
      <c r="X23" s="57">
        <v>288</v>
      </c>
      <c r="Y23" s="57">
        <v>306</v>
      </c>
      <c r="Z23" s="57">
        <v>293</v>
      </c>
      <c r="AA23" s="57">
        <v>292</v>
      </c>
      <c r="AB23" s="57">
        <v>302</v>
      </c>
      <c r="AC23" s="57">
        <v>299</v>
      </c>
      <c r="AD23" s="57">
        <v>306</v>
      </c>
      <c r="AE23" s="57">
        <v>299</v>
      </c>
      <c r="AF23" s="57">
        <v>270</v>
      </c>
      <c r="AG23" s="57">
        <v>215</v>
      </c>
      <c r="AH23" s="57">
        <v>320</v>
      </c>
      <c r="AI23" s="57">
        <v>330</v>
      </c>
      <c r="AJ23" s="61"/>
      <c r="AK23" s="16"/>
      <c r="AL23" s="56"/>
      <c r="AM23" s="56"/>
      <c r="AN23" s="56"/>
      <c r="AO23" s="56"/>
      <c r="AP23" s="56"/>
      <c r="AQ23" s="56"/>
    </row>
    <row r="24" spans="1:45" x14ac:dyDescent="0.25">
      <c r="A24" s="41">
        <f>A13</f>
        <v>46084</v>
      </c>
      <c r="B24" s="20" t="s">
        <v>2</v>
      </c>
      <c r="C24" s="56">
        <f t="shared" ref="C24:K24" si="10">(C33*100000)/(C34*60*8)</f>
        <v>75.383771929824562</v>
      </c>
      <c r="D24" s="56">
        <f t="shared" si="10"/>
        <v>82.36434108527132</v>
      </c>
      <c r="E24" s="56">
        <f t="shared" si="10"/>
        <v>74.76478494623656</v>
      </c>
      <c r="F24" s="56">
        <f t="shared" si="10"/>
        <v>76.013513513513516</v>
      </c>
      <c r="G24" s="56">
        <f t="shared" si="10"/>
        <v>82.92880258899676</v>
      </c>
      <c r="H24" s="56">
        <f t="shared" si="10"/>
        <v>65.433212996389898</v>
      </c>
      <c r="I24" s="56">
        <f t="shared" si="10"/>
        <v>79.296424452133792</v>
      </c>
      <c r="J24" s="56">
        <f t="shared" si="10"/>
        <v>86.206896551724142</v>
      </c>
      <c r="K24" s="62">
        <f t="shared" si="10"/>
        <v>68.28316610925306</v>
      </c>
      <c r="L24" s="54">
        <f>A24</f>
        <v>46084</v>
      </c>
      <c r="M24" s="18" t="s">
        <v>2</v>
      </c>
      <c r="N24" s="62">
        <f>(N33*100000)/(N34*60*8)</f>
        <v>87.06467661691542</v>
      </c>
      <c r="O24" s="62">
        <f t="shared" ref="O24:AI24" si="11">(O33*100000)/(O34*60*8)</f>
        <v>84.28300094966761</v>
      </c>
      <c r="P24" s="62">
        <f t="shared" si="11"/>
        <v>93.098958333333329</v>
      </c>
      <c r="Q24" s="62">
        <f t="shared" si="11"/>
        <v>87.5</v>
      </c>
      <c r="R24" s="62">
        <f t="shared" si="11"/>
        <v>82.738095238095241</v>
      </c>
      <c r="S24" s="62">
        <f t="shared" si="11"/>
        <v>94.362745098039213</v>
      </c>
      <c r="T24" s="62">
        <f t="shared" si="11"/>
        <v>88.774341351660937</v>
      </c>
      <c r="U24" s="62">
        <f t="shared" si="11"/>
        <v>90.163934426229503</v>
      </c>
      <c r="V24" s="62">
        <f t="shared" si="11"/>
        <v>68.082788671023962</v>
      </c>
      <c r="W24" s="62">
        <f t="shared" si="11"/>
        <v>75.136612021857928</v>
      </c>
      <c r="X24" s="62">
        <f t="shared" si="11"/>
        <v>77.854671280276818</v>
      </c>
      <c r="Y24" s="62">
        <f t="shared" si="11"/>
        <v>86.465141612200441</v>
      </c>
      <c r="Z24" s="62">
        <f t="shared" si="11"/>
        <v>75.821995464852606</v>
      </c>
      <c r="AA24" s="62">
        <f t="shared" si="11"/>
        <v>71.347031963470315</v>
      </c>
      <c r="AB24" s="62">
        <f t="shared" si="11"/>
        <v>88.990066225165563</v>
      </c>
      <c r="AC24" s="62">
        <f t="shared" si="11"/>
        <v>95.33898305084746</v>
      </c>
      <c r="AD24" s="62">
        <f t="shared" si="11"/>
        <v>81.284153005464475</v>
      </c>
      <c r="AE24" s="62">
        <f t="shared" si="11"/>
        <v>89.186176142697889</v>
      </c>
      <c r="AF24" s="62">
        <f t="shared" si="11"/>
        <v>86.419753086419746</v>
      </c>
      <c r="AG24" s="62">
        <f t="shared" si="11"/>
        <v>62.5</v>
      </c>
      <c r="AH24" s="62">
        <f t="shared" si="11"/>
        <v>91.666666666666671</v>
      </c>
      <c r="AI24" s="62">
        <f t="shared" si="11"/>
        <v>77.020202020202021</v>
      </c>
      <c r="AJ24" s="54">
        <f>L24</f>
        <v>46084</v>
      </c>
      <c r="AK24" s="18" t="s">
        <v>2</v>
      </c>
      <c r="AL24" s="56">
        <f>(AL32*100000)/(AL33*60*8)</f>
        <v>88.481338481338483</v>
      </c>
      <c r="AM24" s="56">
        <f t="shared" ref="AM24:AP24" si="12">(AM32*100000)/(AM33*60*8)</f>
        <v>96.726190476190482</v>
      </c>
      <c r="AN24" s="56">
        <f t="shared" si="12"/>
        <v>79.329774614472129</v>
      </c>
      <c r="AO24" s="56">
        <f t="shared" si="12"/>
        <v>91.954022988505741</v>
      </c>
      <c r="AP24" s="56">
        <f t="shared" si="12"/>
        <v>86.279461279461273</v>
      </c>
      <c r="AQ24" s="56"/>
      <c r="AS24">
        <f t="shared" ref="AS24:AS30" si="13">SUM(N25:AI25)</f>
        <v>130</v>
      </c>
    </row>
    <row r="25" spans="1:45" x14ac:dyDescent="0.25">
      <c r="A25" s="41"/>
      <c r="B25" s="20" t="s">
        <v>3</v>
      </c>
      <c r="C25" s="57">
        <v>12</v>
      </c>
      <c r="D25" s="57">
        <v>20</v>
      </c>
      <c r="E25" s="57">
        <v>0</v>
      </c>
      <c r="F25" s="57">
        <v>8</v>
      </c>
      <c r="G25" s="57">
        <v>4</v>
      </c>
      <c r="H25" s="56">
        <v>1</v>
      </c>
      <c r="I25" s="56">
        <v>13</v>
      </c>
      <c r="J25" s="56">
        <v>7</v>
      </c>
      <c r="K25" s="56">
        <v>1</v>
      </c>
      <c r="L25" s="54"/>
      <c r="M25" s="18" t="s">
        <v>3</v>
      </c>
      <c r="N25" s="56">
        <v>12</v>
      </c>
      <c r="O25" s="56">
        <v>15</v>
      </c>
      <c r="P25" s="56">
        <v>4</v>
      </c>
      <c r="Q25" s="56">
        <v>2</v>
      </c>
      <c r="R25" s="56">
        <v>3</v>
      </c>
      <c r="S25" s="56">
        <v>3</v>
      </c>
      <c r="T25" s="56">
        <v>4</v>
      </c>
      <c r="U25" s="56">
        <v>8</v>
      </c>
      <c r="V25" s="56">
        <v>2</v>
      </c>
      <c r="W25" s="56">
        <v>4</v>
      </c>
      <c r="X25" s="56">
        <v>10</v>
      </c>
      <c r="Y25" s="56">
        <v>1</v>
      </c>
      <c r="Z25" s="56">
        <v>7</v>
      </c>
      <c r="AA25" s="56">
        <v>15</v>
      </c>
      <c r="AB25" s="56">
        <v>4</v>
      </c>
      <c r="AC25" s="56">
        <v>4</v>
      </c>
      <c r="AD25" s="56">
        <v>6</v>
      </c>
      <c r="AE25" s="56">
        <v>1</v>
      </c>
      <c r="AF25" s="56">
        <v>0</v>
      </c>
      <c r="AG25" s="56">
        <v>8</v>
      </c>
      <c r="AH25" s="56">
        <v>2</v>
      </c>
      <c r="AI25" s="56">
        <v>15</v>
      </c>
      <c r="AJ25" s="54"/>
      <c r="AK25" s="18" t="s">
        <v>3</v>
      </c>
      <c r="AL25" s="56">
        <v>10</v>
      </c>
      <c r="AM25" s="56">
        <v>7</v>
      </c>
      <c r="AN25" s="56">
        <v>9</v>
      </c>
      <c r="AO25" s="56">
        <v>2</v>
      </c>
      <c r="AP25" s="56">
        <v>3</v>
      </c>
      <c r="AQ25" s="56"/>
      <c r="AS25">
        <f t="shared" si="13"/>
        <v>0</v>
      </c>
    </row>
    <row r="26" spans="1:45" x14ac:dyDescent="0.25">
      <c r="A26" s="41"/>
      <c r="B26" s="18" t="s">
        <v>4</v>
      </c>
      <c r="C26" s="57"/>
      <c r="D26" s="57"/>
      <c r="E26" s="57"/>
      <c r="F26" s="57"/>
      <c r="G26" s="57"/>
      <c r="H26" s="56"/>
      <c r="I26" s="56"/>
      <c r="J26" s="56"/>
      <c r="K26" s="56"/>
      <c r="L26" s="54"/>
      <c r="M26" s="18" t="s">
        <v>4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4"/>
      <c r="AK26" s="18" t="s">
        <v>4</v>
      </c>
      <c r="AL26" s="56"/>
      <c r="AM26" s="56"/>
      <c r="AN26" s="56"/>
      <c r="AO26" s="56"/>
      <c r="AP26" s="56"/>
      <c r="AQ26" s="56"/>
      <c r="AS26">
        <f t="shared" si="13"/>
        <v>139</v>
      </c>
    </row>
    <row r="27" spans="1:45" x14ac:dyDescent="0.25">
      <c r="A27" s="41"/>
      <c r="B27" s="20" t="s">
        <v>5</v>
      </c>
      <c r="C27" s="57">
        <v>3</v>
      </c>
      <c r="D27" s="57">
        <v>10</v>
      </c>
      <c r="E27" s="57">
        <v>25</v>
      </c>
      <c r="F27" s="57">
        <v>4</v>
      </c>
      <c r="G27" s="57">
        <v>10</v>
      </c>
      <c r="H27" s="56">
        <v>19</v>
      </c>
      <c r="I27" s="56">
        <v>17</v>
      </c>
      <c r="J27" s="56">
        <v>9</v>
      </c>
      <c r="K27" s="56">
        <v>3</v>
      </c>
      <c r="L27" s="54"/>
      <c r="M27" s="18" t="s">
        <v>5</v>
      </c>
      <c r="N27" s="56">
        <v>3</v>
      </c>
      <c r="O27" s="56">
        <v>9</v>
      </c>
      <c r="P27" s="56">
        <v>1</v>
      </c>
      <c r="Q27" s="56">
        <v>6</v>
      </c>
      <c r="R27" s="56">
        <v>9</v>
      </c>
      <c r="S27" s="56">
        <v>3</v>
      </c>
      <c r="T27" s="56">
        <v>3</v>
      </c>
      <c r="U27" s="56">
        <v>3</v>
      </c>
      <c r="V27" s="56">
        <v>8</v>
      </c>
      <c r="W27" s="56">
        <v>13</v>
      </c>
      <c r="X27" s="56">
        <v>8</v>
      </c>
      <c r="Y27" s="56">
        <v>1</v>
      </c>
      <c r="Z27" s="56">
        <v>19</v>
      </c>
      <c r="AA27" s="56">
        <v>7</v>
      </c>
      <c r="AB27" s="56">
        <v>7</v>
      </c>
      <c r="AC27" s="56">
        <v>7</v>
      </c>
      <c r="AD27" s="56">
        <v>1</v>
      </c>
      <c r="AE27" s="56">
        <v>13</v>
      </c>
      <c r="AF27" s="56">
        <v>9</v>
      </c>
      <c r="AG27" s="56">
        <v>3</v>
      </c>
      <c r="AH27" s="56">
        <v>2</v>
      </c>
      <c r="AI27" s="56">
        <v>4</v>
      </c>
      <c r="AJ27" s="54"/>
      <c r="AK27" s="18" t="s">
        <v>5</v>
      </c>
      <c r="AL27" s="56">
        <v>1</v>
      </c>
      <c r="AM27" s="56">
        <v>4</v>
      </c>
      <c r="AN27" s="56">
        <v>8</v>
      </c>
      <c r="AO27" s="56">
        <v>2</v>
      </c>
      <c r="AP27" s="56">
        <v>1</v>
      </c>
      <c r="AQ27" s="56"/>
      <c r="AS27">
        <f t="shared" si="13"/>
        <v>0</v>
      </c>
    </row>
    <row r="28" spans="1:45" x14ac:dyDescent="0.25">
      <c r="A28" s="41"/>
      <c r="B28" s="20" t="s">
        <v>6</v>
      </c>
      <c r="C28" s="57"/>
      <c r="D28" s="57"/>
      <c r="E28" s="57"/>
      <c r="F28" s="57"/>
      <c r="G28" s="57"/>
      <c r="H28" s="56"/>
      <c r="I28" s="56"/>
      <c r="J28" s="56"/>
      <c r="K28" s="56"/>
      <c r="L28" s="54"/>
      <c r="M28" s="18" t="s">
        <v>6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4"/>
      <c r="AK28" s="18" t="s">
        <v>7</v>
      </c>
      <c r="AL28" s="56">
        <v>2</v>
      </c>
      <c r="AM28" s="56">
        <v>7</v>
      </c>
      <c r="AN28" s="56">
        <v>7</v>
      </c>
      <c r="AO28" s="56">
        <v>2</v>
      </c>
      <c r="AP28" s="56">
        <v>3</v>
      </c>
      <c r="AQ28" s="56"/>
      <c r="AS28">
        <f t="shared" si="13"/>
        <v>148</v>
      </c>
    </row>
    <row r="29" spans="1:45" x14ac:dyDescent="0.25">
      <c r="A29" s="41"/>
      <c r="B29" s="20" t="s">
        <v>7</v>
      </c>
      <c r="C29" s="57">
        <v>4</v>
      </c>
      <c r="D29" s="57">
        <v>8</v>
      </c>
      <c r="E29" s="57">
        <v>7</v>
      </c>
      <c r="F29" s="57">
        <v>7</v>
      </c>
      <c r="G29" s="57">
        <v>7</v>
      </c>
      <c r="H29" s="56">
        <v>8</v>
      </c>
      <c r="I29" s="56">
        <v>11</v>
      </c>
      <c r="J29" s="56">
        <v>5</v>
      </c>
      <c r="K29" s="56">
        <v>7</v>
      </c>
      <c r="L29" s="54"/>
      <c r="M29" s="18" t="s">
        <v>7</v>
      </c>
      <c r="N29" s="56">
        <v>6</v>
      </c>
      <c r="O29" s="56">
        <v>1</v>
      </c>
      <c r="P29" s="56">
        <v>0</v>
      </c>
      <c r="Q29" s="56">
        <v>1</v>
      </c>
      <c r="R29" s="56">
        <v>6</v>
      </c>
      <c r="S29" s="56">
        <v>1</v>
      </c>
      <c r="T29" s="56">
        <v>4</v>
      </c>
      <c r="U29" s="56">
        <v>8</v>
      </c>
      <c r="V29" s="56">
        <v>15</v>
      </c>
      <c r="W29" s="56">
        <v>12</v>
      </c>
      <c r="X29" s="56">
        <v>19</v>
      </c>
      <c r="Y29" s="56">
        <v>10</v>
      </c>
      <c r="Z29" s="56">
        <v>8</v>
      </c>
      <c r="AA29" s="56">
        <v>4</v>
      </c>
      <c r="AB29" s="56">
        <v>5</v>
      </c>
      <c r="AC29" s="56">
        <v>5</v>
      </c>
      <c r="AD29" s="56">
        <v>18</v>
      </c>
      <c r="AE29" s="56">
        <v>2</v>
      </c>
      <c r="AF29" s="56">
        <v>4</v>
      </c>
      <c r="AG29" s="56">
        <v>7</v>
      </c>
      <c r="AH29" s="56">
        <v>3</v>
      </c>
      <c r="AI29" s="56">
        <v>9</v>
      </c>
      <c r="AJ29" s="54"/>
      <c r="AK29" s="18" t="s">
        <v>8</v>
      </c>
      <c r="AL29" s="56"/>
      <c r="AM29" s="56"/>
      <c r="AN29" s="56"/>
      <c r="AO29" s="56"/>
      <c r="AP29" s="56"/>
      <c r="AQ29" s="56"/>
      <c r="AS29">
        <f t="shared" si="13"/>
        <v>0</v>
      </c>
    </row>
    <row r="30" spans="1:45" x14ac:dyDescent="0.25">
      <c r="A30" s="40" t="s">
        <v>17</v>
      </c>
      <c r="B30" s="20" t="s">
        <v>10</v>
      </c>
      <c r="C30" s="57"/>
      <c r="D30" s="57"/>
      <c r="E30" s="57"/>
      <c r="F30" s="57"/>
      <c r="G30" s="57"/>
      <c r="H30" s="56"/>
      <c r="I30" s="56"/>
      <c r="J30" s="56"/>
      <c r="K30" s="56"/>
      <c r="L30" s="55" t="str">
        <f>A30</f>
        <v>MA 3T</v>
      </c>
      <c r="M30" s="18" t="s">
        <v>10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4" t="str">
        <f>L30</f>
        <v>MA 3T</v>
      </c>
      <c r="AK30" s="18" t="s">
        <v>11</v>
      </c>
      <c r="AL30" s="56">
        <v>6</v>
      </c>
      <c r="AM30" s="56">
        <v>9</v>
      </c>
      <c r="AN30" s="56">
        <v>3</v>
      </c>
      <c r="AO30" s="56">
        <v>8</v>
      </c>
      <c r="AP30" s="56">
        <v>3</v>
      </c>
      <c r="AQ30" s="56"/>
      <c r="AS30">
        <f t="shared" si="13"/>
        <v>112</v>
      </c>
    </row>
    <row r="31" spans="1:45" x14ac:dyDescent="0.25">
      <c r="A31" s="40"/>
      <c r="B31" s="20" t="s">
        <v>11</v>
      </c>
      <c r="C31" s="57">
        <v>7</v>
      </c>
      <c r="D31" s="57">
        <v>7</v>
      </c>
      <c r="E31" s="57">
        <v>10</v>
      </c>
      <c r="F31" s="57">
        <v>30</v>
      </c>
      <c r="G31" s="57">
        <v>6</v>
      </c>
      <c r="H31" s="56">
        <v>8</v>
      </c>
      <c r="I31" s="56">
        <v>6</v>
      </c>
      <c r="J31" s="56">
        <v>8</v>
      </c>
      <c r="K31" s="56">
        <v>3</v>
      </c>
      <c r="L31" s="55"/>
      <c r="M31" s="18" t="s">
        <v>11</v>
      </c>
      <c r="N31" s="56">
        <v>0</v>
      </c>
      <c r="O31" s="56">
        <v>2</v>
      </c>
      <c r="P31" s="56">
        <v>1</v>
      </c>
      <c r="Q31" s="56">
        <v>2</v>
      </c>
      <c r="R31" s="56">
        <v>5</v>
      </c>
      <c r="S31" s="56">
        <v>3</v>
      </c>
      <c r="T31" s="56">
        <v>8</v>
      </c>
      <c r="U31" s="56">
        <v>5</v>
      </c>
      <c r="V31" s="56">
        <v>18</v>
      </c>
      <c r="W31" s="56">
        <v>13</v>
      </c>
      <c r="X31" s="56">
        <v>3</v>
      </c>
      <c r="Y31" s="56">
        <v>4</v>
      </c>
      <c r="Z31" s="56">
        <v>3</v>
      </c>
      <c r="AA31" s="56">
        <v>15</v>
      </c>
      <c r="AB31" s="56">
        <v>3</v>
      </c>
      <c r="AC31" s="56">
        <v>3</v>
      </c>
      <c r="AD31" s="56">
        <v>7</v>
      </c>
      <c r="AE31" s="56">
        <v>4</v>
      </c>
      <c r="AF31" s="56">
        <v>1</v>
      </c>
      <c r="AG31" s="56">
        <v>5</v>
      </c>
      <c r="AH31" s="56">
        <v>2</v>
      </c>
      <c r="AI31" s="56">
        <v>5</v>
      </c>
      <c r="AJ31" s="54"/>
      <c r="AK31" s="18" t="s">
        <v>12</v>
      </c>
      <c r="AL31" s="56"/>
      <c r="AM31" s="56"/>
      <c r="AN31" s="56"/>
      <c r="AO31" s="56"/>
      <c r="AP31" s="56"/>
      <c r="AQ31" s="56"/>
    </row>
    <row r="32" spans="1:45" x14ac:dyDescent="0.25">
      <c r="A32" s="40"/>
      <c r="B32" s="20" t="s">
        <v>12</v>
      </c>
      <c r="C32" s="57"/>
      <c r="D32" s="57"/>
      <c r="E32" s="57"/>
      <c r="F32" s="57"/>
      <c r="G32" s="57"/>
      <c r="H32" s="56"/>
      <c r="I32" s="56"/>
      <c r="J32" s="56"/>
      <c r="K32" s="56"/>
      <c r="L32" s="55"/>
      <c r="M32" s="18" t="s">
        <v>12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4"/>
      <c r="AK32" s="18" t="s">
        <v>13</v>
      </c>
      <c r="AL32" s="56">
        <v>110</v>
      </c>
      <c r="AM32" s="56">
        <v>130</v>
      </c>
      <c r="AN32" s="56">
        <v>107</v>
      </c>
      <c r="AO32" s="56">
        <v>128</v>
      </c>
      <c r="AP32" s="56">
        <v>123</v>
      </c>
      <c r="AQ32" s="56"/>
    </row>
    <row r="33" spans="1:45" x14ac:dyDescent="0.25">
      <c r="A33" s="40"/>
      <c r="B33" s="20" t="s">
        <v>13</v>
      </c>
      <c r="C33" s="57">
        <v>110</v>
      </c>
      <c r="D33" s="57">
        <v>119</v>
      </c>
      <c r="E33" s="57">
        <v>89</v>
      </c>
      <c r="F33" s="57">
        <v>108</v>
      </c>
      <c r="G33" s="57">
        <v>123</v>
      </c>
      <c r="H33" s="56">
        <v>87</v>
      </c>
      <c r="I33" s="56">
        <v>110</v>
      </c>
      <c r="J33" s="56">
        <v>120</v>
      </c>
      <c r="K33" s="56">
        <v>98</v>
      </c>
      <c r="L33" s="55"/>
      <c r="M33" s="18" t="s">
        <v>13</v>
      </c>
      <c r="N33" s="56">
        <v>140</v>
      </c>
      <c r="O33" s="56">
        <v>142</v>
      </c>
      <c r="P33" s="56">
        <v>143</v>
      </c>
      <c r="Q33" s="56">
        <v>147</v>
      </c>
      <c r="R33" s="56">
        <v>139</v>
      </c>
      <c r="S33" s="56">
        <v>154</v>
      </c>
      <c r="T33" s="56">
        <v>124</v>
      </c>
      <c r="U33" s="56">
        <v>132</v>
      </c>
      <c r="V33" s="56">
        <v>100</v>
      </c>
      <c r="W33" s="56">
        <v>110</v>
      </c>
      <c r="X33" s="56">
        <v>108</v>
      </c>
      <c r="Y33" s="56">
        <v>127</v>
      </c>
      <c r="Z33" s="56">
        <v>107</v>
      </c>
      <c r="AA33" s="56">
        <v>100</v>
      </c>
      <c r="AB33" s="56">
        <v>129</v>
      </c>
      <c r="AC33" s="56">
        <v>135</v>
      </c>
      <c r="AD33" s="56">
        <v>119</v>
      </c>
      <c r="AE33" s="56">
        <v>128</v>
      </c>
      <c r="AF33" s="56">
        <v>112</v>
      </c>
      <c r="AG33" s="56">
        <v>54</v>
      </c>
      <c r="AH33" s="56">
        <v>154</v>
      </c>
      <c r="AI33" s="56">
        <v>122</v>
      </c>
      <c r="AJ33" s="54"/>
      <c r="AK33" s="18" t="s">
        <v>14</v>
      </c>
      <c r="AL33" s="56">
        <v>259</v>
      </c>
      <c r="AM33" s="56">
        <v>280</v>
      </c>
      <c r="AN33" s="56">
        <v>281</v>
      </c>
      <c r="AO33" s="56">
        <v>290</v>
      </c>
      <c r="AP33" s="56">
        <v>297</v>
      </c>
      <c r="AQ33" s="56"/>
    </row>
    <row r="34" spans="1:45" ht="15.75" thickBot="1" x14ac:dyDescent="0.3">
      <c r="A34" s="42"/>
      <c r="B34" s="25" t="s">
        <v>14</v>
      </c>
      <c r="C34" s="57">
        <v>304</v>
      </c>
      <c r="D34" s="57">
        <v>301</v>
      </c>
      <c r="E34" s="57">
        <v>248</v>
      </c>
      <c r="F34" s="57">
        <v>296</v>
      </c>
      <c r="G34" s="57">
        <v>309</v>
      </c>
      <c r="H34" s="56">
        <v>277</v>
      </c>
      <c r="I34" s="56">
        <v>289</v>
      </c>
      <c r="J34" s="56">
        <v>290</v>
      </c>
      <c r="K34" s="56">
        <v>299</v>
      </c>
      <c r="L34" s="55"/>
      <c r="M34" s="18" t="s">
        <v>14</v>
      </c>
      <c r="N34" s="56">
        <v>335</v>
      </c>
      <c r="O34" s="56">
        <v>351</v>
      </c>
      <c r="P34" s="56">
        <v>320</v>
      </c>
      <c r="Q34" s="56">
        <v>350</v>
      </c>
      <c r="R34" s="56">
        <v>350</v>
      </c>
      <c r="S34" s="56">
        <v>340</v>
      </c>
      <c r="T34" s="56">
        <v>291</v>
      </c>
      <c r="U34" s="56">
        <v>305</v>
      </c>
      <c r="V34" s="56">
        <v>306</v>
      </c>
      <c r="W34" s="56">
        <v>305</v>
      </c>
      <c r="X34" s="56">
        <v>289</v>
      </c>
      <c r="Y34" s="56">
        <v>306</v>
      </c>
      <c r="Z34" s="56">
        <v>294</v>
      </c>
      <c r="AA34" s="56">
        <v>292</v>
      </c>
      <c r="AB34" s="56">
        <v>302</v>
      </c>
      <c r="AC34" s="56">
        <v>295</v>
      </c>
      <c r="AD34" s="56">
        <v>305</v>
      </c>
      <c r="AE34" s="56">
        <v>299</v>
      </c>
      <c r="AF34" s="56">
        <v>270</v>
      </c>
      <c r="AG34" s="56">
        <v>180</v>
      </c>
      <c r="AH34" s="56">
        <v>350</v>
      </c>
      <c r="AI34" s="56">
        <v>330</v>
      </c>
      <c r="AJ34" s="61"/>
      <c r="AK34" s="16"/>
      <c r="AL34" s="56"/>
      <c r="AM34" s="56"/>
      <c r="AN34" s="56"/>
      <c r="AO34" s="56"/>
      <c r="AP34" s="56"/>
      <c r="AQ34" s="56"/>
    </row>
    <row r="35" spans="1:45" x14ac:dyDescent="0.25">
      <c r="A35" s="52">
        <f>A2+1</f>
        <v>46085</v>
      </c>
      <c r="B35" s="7" t="s">
        <v>1</v>
      </c>
      <c r="C35" s="74">
        <v>201</v>
      </c>
      <c r="D35" s="74">
        <f t="shared" ref="D35:H35" si="14">+C35+1</f>
        <v>202</v>
      </c>
      <c r="E35" s="74">
        <f t="shared" si="14"/>
        <v>203</v>
      </c>
      <c r="F35" s="74">
        <f t="shared" si="14"/>
        <v>204</v>
      </c>
      <c r="G35" s="74">
        <f t="shared" si="14"/>
        <v>205</v>
      </c>
      <c r="H35" s="74">
        <f t="shared" si="14"/>
        <v>206</v>
      </c>
      <c r="I35" s="74">
        <v>213</v>
      </c>
      <c r="J35" s="74">
        <f>+I35+1</f>
        <v>214</v>
      </c>
      <c r="K35" s="74">
        <f>+J35+1</f>
        <v>215</v>
      </c>
      <c r="L35" s="67">
        <f>A35</f>
        <v>46085</v>
      </c>
      <c r="M35" s="7" t="s">
        <v>1</v>
      </c>
      <c r="N35" s="74">
        <v>299</v>
      </c>
      <c r="O35" s="74">
        <f t="shared" ref="O35:X35" si="15">+N35+1</f>
        <v>300</v>
      </c>
      <c r="P35" s="74">
        <f t="shared" si="15"/>
        <v>301</v>
      </c>
      <c r="Q35" s="74">
        <f t="shared" si="15"/>
        <v>302</v>
      </c>
      <c r="R35" s="74">
        <f t="shared" si="15"/>
        <v>303</v>
      </c>
      <c r="S35" s="74">
        <f t="shared" si="15"/>
        <v>304</v>
      </c>
      <c r="T35" s="74">
        <f t="shared" si="15"/>
        <v>305</v>
      </c>
      <c r="U35" s="74">
        <f t="shared" si="15"/>
        <v>306</v>
      </c>
      <c r="V35" s="74">
        <f t="shared" si="15"/>
        <v>307</v>
      </c>
      <c r="W35" s="74">
        <f t="shared" si="15"/>
        <v>308</v>
      </c>
      <c r="X35" s="74">
        <f t="shared" si="15"/>
        <v>309</v>
      </c>
      <c r="Y35" s="74">
        <f>+X35+1</f>
        <v>310</v>
      </c>
      <c r="Z35" s="74">
        <f t="shared" ref="Z35:AB35" si="16">+Y35+1</f>
        <v>311</v>
      </c>
      <c r="AA35" s="74">
        <f t="shared" si="16"/>
        <v>312</v>
      </c>
      <c r="AB35" s="74">
        <f t="shared" si="16"/>
        <v>313</v>
      </c>
      <c r="AC35" s="74">
        <f>+AB35+1</f>
        <v>314</v>
      </c>
      <c r="AD35" s="74">
        <f t="shared" ref="AD35:AI35" si="17">+AC35+1</f>
        <v>315</v>
      </c>
      <c r="AE35" s="74">
        <f t="shared" si="17"/>
        <v>316</v>
      </c>
      <c r="AF35" s="74">
        <f t="shared" si="17"/>
        <v>317</v>
      </c>
      <c r="AG35" s="74">
        <f t="shared" si="17"/>
        <v>318</v>
      </c>
      <c r="AH35" s="74">
        <f t="shared" si="17"/>
        <v>319</v>
      </c>
      <c r="AI35" s="74">
        <f t="shared" si="17"/>
        <v>320</v>
      </c>
      <c r="AJ35" s="67">
        <f>L35</f>
        <v>46085</v>
      </c>
      <c r="AK35" s="11" t="s">
        <v>1</v>
      </c>
      <c r="AL35" s="74">
        <v>207</v>
      </c>
      <c r="AM35" s="74">
        <f>+AL35+1</f>
        <v>208</v>
      </c>
      <c r="AN35" s="74">
        <f>+AM35+1</f>
        <v>209</v>
      </c>
      <c r="AO35" s="74">
        <f>+AN35+1</f>
        <v>210</v>
      </c>
      <c r="AP35" s="74">
        <f>+AO35+1</f>
        <v>211</v>
      </c>
      <c r="AQ35" s="74">
        <f>+AP35+1</f>
        <v>212</v>
      </c>
    </row>
    <row r="36" spans="1:45" x14ac:dyDescent="0.25">
      <c r="A36" s="46"/>
      <c r="B36" s="20" t="s">
        <v>2</v>
      </c>
      <c r="C36" s="56">
        <f t="shared" ref="C36:K36" si="18">(C45*100000)/(C46*60*8)</f>
        <v>75.383771929824562</v>
      </c>
      <c r="D36" s="56">
        <f t="shared" si="18"/>
        <v>83.056478405315616</v>
      </c>
      <c r="E36" s="56">
        <f t="shared" si="18"/>
        <v>52.923387096774192</v>
      </c>
      <c r="F36" s="56">
        <f t="shared" si="18"/>
        <v>87.978603603603602</v>
      </c>
      <c r="G36" s="56">
        <f t="shared" si="18"/>
        <v>91.693635382955776</v>
      </c>
      <c r="H36" s="56">
        <f t="shared" si="18"/>
        <v>70.697954271961493</v>
      </c>
      <c r="I36" s="56">
        <f t="shared" si="18"/>
        <v>73.529411764705884</v>
      </c>
      <c r="J36" s="56">
        <f t="shared" si="18"/>
        <v>79.741379310344826</v>
      </c>
      <c r="K36" s="62">
        <f t="shared" si="18"/>
        <v>41.80602006688963</v>
      </c>
      <c r="L36" s="65"/>
      <c r="M36" s="18" t="s">
        <v>2</v>
      </c>
      <c r="N36" s="62">
        <f>(N45*100000)/(N46*60*8)</f>
        <v>87.06467661691542</v>
      </c>
      <c r="O36" s="62">
        <f t="shared" ref="O36:S36" si="19">(O45*100000)/(O46*60*8)</f>
        <v>77.160493827160494</v>
      </c>
      <c r="P36" s="62">
        <f t="shared" si="19"/>
        <v>83.333333333333329</v>
      </c>
      <c r="Q36" s="62">
        <f t="shared" si="19"/>
        <v>82.738095238095241</v>
      </c>
      <c r="R36" s="62">
        <f t="shared" si="19"/>
        <v>89.285714285714292</v>
      </c>
      <c r="S36" s="62">
        <f t="shared" si="19"/>
        <v>90.686274509803923</v>
      </c>
      <c r="T36" s="62">
        <f>(T45*100000)/(T46*60*8)</f>
        <v>90.922107674684995</v>
      </c>
      <c r="U36" s="62">
        <f>(U45*100000)/(U46*60*8)</f>
        <v>86.06557377049181</v>
      </c>
      <c r="V36" s="62">
        <f t="shared" ref="V36:AI36" si="20">(V45*100000)/(V46*60*8)</f>
        <v>82.380174291938999</v>
      </c>
      <c r="W36" s="62">
        <f t="shared" si="20"/>
        <v>58.060109289617486</v>
      </c>
      <c r="X36" s="62">
        <f t="shared" si="20"/>
        <v>77.854671280276818</v>
      </c>
      <c r="Y36" s="62">
        <f t="shared" si="20"/>
        <v>78.976034858387806</v>
      </c>
      <c r="Z36" s="62">
        <f t="shared" si="20"/>
        <v>80.782312925170075</v>
      </c>
      <c r="AA36" s="62">
        <f t="shared" si="20"/>
        <v>85.61643835616438</v>
      </c>
      <c r="AB36" s="62">
        <f t="shared" si="20"/>
        <v>87.610375275938196</v>
      </c>
      <c r="AC36" s="62">
        <f t="shared" si="20"/>
        <v>86.86440677966101</v>
      </c>
      <c r="AD36" s="62">
        <f t="shared" si="20"/>
        <v>66.939890710382514</v>
      </c>
      <c r="AE36" s="62">
        <f t="shared" si="20"/>
        <v>0</v>
      </c>
      <c r="AF36" s="62">
        <f t="shared" si="20"/>
        <v>79.475308641975303</v>
      </c>
      <c r="AG36" s="62">
        <f t="shared" si="20"/>
        <v>24.305555555555557</v>
      </c>
      <c r="AH36" s="62">
        <f t="shared" si="20"/>
        <v>84.523809523809518</v>
      </c>
      <c r="AI36" s="62">
        <f t="shared" si="20"/>
        <v>80.176767676767682</v>
      </c>
      <c r="AJ36" s="65"/>
      <c r="AK36" s="18" t="s">
        <v>2</v>
      </c>
      <c r="AL36" s="56">
        <f>(AL44*100000)/(AL45*60*8)</f>
        <v>71.589446589446595</v>
      </c>
      <c r="AM36" s="56">
        <f t="shared" ref="AM36:AP36" si="21">(AM44*100000)/(AM45*60*8)</f>
        <v>96.726190476190482</v>
      </c>
      <c r="AN36" s="56">
        <f t="shared" si="21"/>
        <v>81.553973902728345</v>
      </c>
      <c r="AO36" s="56">
        <f t="shared" si="21"/>
        <v>87.643678160919535</v>
      </c>
      <c r="AP36" s="56">
        <f t="shared" si="21"/>
        <v>88.383838383838381</v>
      </c>
      <c r="AQ36" s="56"/>
      <c r="AS36">
        <f t="shared" ref="AS36:AS42" si="22">SUM(N37:AI37)</f>
        <v>229</v>
      </c>
    </row>
    <row r="37" spans="1:45" x14ac:dyDescent="0.25">
      <c r="A37" s="46"/>
      <c r="B37" s="20" t="s">
        <v>3</v>
      </c>
      <c r="C37" s="56">
        <v>4</v>
      </c>
      <c r="D37" s="57">
        <v>11</v>
      </c>
      <c r="E37" s="57">
        <v>3</v>
      </c>
      <c r="F37" s="57">
        <v>11</v>
      </c>
      <c r="G37" s="57">
        <v>5</v>
      </c>
      <c r="H37" s="57">
        <v>2</v>
      </c>
      <c r="I37" s="57">
        <v>24</v>
      </c>
      <c r="J37" s="57">
        <v>1</v>
      </c>
      <c r="K37" s="57">
        <v>5</v>
      </c>
      <c r="L37" s="65"/>
      <c r="M37" s="18" t="s">
        <v>3</v>
      </c>
      <c r="N37" s="57">
        <v>7</v>
      </c>
      <c r="O37" s="57">
        <v>25</v>
      </c>
      <c r="P37" s="57">
        <v>22</v>
      </c>
      <c r="Q37" s="56">
        <v>1</v>
      </c>
      <c r="R37" s="56">
        <v>0</v>
      </c>
      <c r="S37" s="56">
        <v>3</v>
      </c>
      <c r="T37" s="56">
        <v>1</v>
      </c>
      <c r="U37" s="56">
        <v>17</v>
      </c>
      <c r="V37" s="57">
        <v>0</v>
      </c>
      <c r="W37" s="57">
        <v>38</v>
      </c>
      <c r="X37" s="57">
        <v>11</v>
      </c>
      <c r="Y37" s="57">
        <v>0</v>
      </c>
      <c r="Z37" s="57">
        <v>1</v>
      </c>
      <c r="AA37" s="57">
        <v>61</v>
      </c>
      <c r="AB37" s="57">
        <v>1</v>
      </c>
      <c r="AC37" s="56">
        <v>7</v>
      </c>
      <c r="AD37" s="56">
        <v>12</v>
      </c>
      <c r="AE37" s="56"/>
      <c r="AF37" s="56">
        <v>1</v>
      </c>
      <c r="AG37" s="56">
        <v>1</v>
      </c>
      <c r="AH37" s="56">
        <v>14</v>
      </c>
      <c r="AI37" s="56">
        <v>6</v>
      </c>
      <c r="AJ37" s="65"/>
      <c r="AK37" s="18" t="s">
        <v>3</v>
      </c>
      <c r="AL37" s="56">
        <v>6</v>
      </c>
      <c r="AM37" s="56">
        <v>8</v>
      </c>
      <c r="AN37" s="56">
        <v>3</v>
      </c>
      <c r="AO37" s="56">
        <v>4</v>
      </c>
      <c r="AP37" s="56">
        <v>3</v>
      </c>
      <c r="AQ37" s="56"/>
      <c r="AS37">
        <f t="shared" si="22"/>
        <v>0</v>
      </c>
    </row>
    <row r="38" spans="1:45" x14ac:dyDescent="0.25">
      <c r="A38" s="46"/>
      <c r="B38" s="18" t="s">
        <v>4</v>
      </c>
      <c r="C38" s="56"/>
      <c r="D38" s="57"/>
      <c r="E38" s="57"/>
      <c r="F38" s="57"/>
      <c r="G38" s="57"/>
      <c r="H38" s="57"/>
      <c r="I38" s="57"/>
      <c r="J38" s="57"/>
      <c r="K38" s="57"/>
      <c r="L38" s="65"/>
      <c r="M38" s="18" t="s">
        <v>4</v>
      </c>
      <c r="N38" s="56"/>
      <c r="O38" s="56"/>
      <c r="P38" s="56"/>
      <c r="Q38" s="56"/>
      <c r="R38" s="56"/>
      <c r="S38" s="56"/>
      <c r="T38" s="56"/>
      <c r="U38" s="56"/>
      <c r="V38" s="57"/>
      <c r="W38" s="57"/>
      <c r="X38" s="57"/>
      <c r="Y38" s="57"/>
      <c r="Z38" s="57"/>
      <c r="AA38" s="57"/>
      <c r="AB38" s="57"/>
      <c r="AC38" s="56"/>
      <c r="AD38" s="56"/>
      <c r="AE38" s="56"/>
      <c r="AF38" s="56"/>
      <c r="AG38" s="56"/>
      <c r="AH38" s="56"/>
      <c r="AI38" s="56"/>
      <c r="AJ38" s="65"/>
      <c r="AK38" s="18" t="s">
        <v>4</v>
      </c>
      <c r="AL38" s="56"/>
      <c r="AM38" s="56"/>
      <c r="AN38" s="56"/>
      <c r="AO38" s="56"/>
      <c r="AP38" s="56"/>
      <c r="AQ38" s="56"/>
      <c r="AS38">
        <f t="shared" si="22"/>
        <v>157</v>
      </c>
    </row>
    <row r="39" spans="1:45" x14ac:dyDescent="0.25">
      <c r="A39" s="46"/>
      <c r="B39" s="20" t="s">
        <v>5</v>
      </c>
      <c r="C39" s="56">
        <v>8</v>
      </c>
      <c r="D39" s="57">
        <v>9</v>
      </c>
      <c r="E39" s="57">
        <v>20</v>
      </c>
      <c r="F39" s="57">
        <v>7</v>
      </c>
      <c r="G39" s="57">
        <v>7</v>
      </c>
      <c r="H39" s="57">
        <v>15</v>
      </c>
      <c r="I39" s="57">
        <v>15</v>
      </c>
      <c r="J39" s="57">
        <v>4</v>
      </c>
      <c r="K39" s="57">
        <v>10</v>
      </c>
      <c r="L39" s="65"/>
      <c r="M39" s="18" t="s">
        <v>5</v>
      </c>
      <c r="N39" s="56">
        <v>3</v>
      </c>
      <c r="O39" s="56">
        <v>9</v>
      </c>
      <c r="P39" s="56">
        <v>5</v>
      </c>
      <c r="Q39" s="56">
        <v>11</v>
      </c>
      <c r="R39" s="56">
        <v>2</v>
      </c>
      <c r="S39" s="56">
        <v>8</v>
      </c>
      <c r="T39" s="56">
        <v>2</v>
      </c>
      <c r="U39" s="56">
        <v>4</v>
      </c>
      <c r="V39" s="57">
        <v>8</v>
      </c>
      <c r="W39" s="57">
        <v>20</v>
      </c>
      <c r="X39" s="57">
        <v>7</v>
      </c>
      <c r="Y39" s="57">
        <v>2</v>
      </c>
      <c r="Z39" s="57">
        <v>15</v>
      </c>
      <c r="AA39" s="57">
        <v>11</v>
      </c>
      <c r="AB39" s="57">
        <v>4</v>
      </c>
      <c r="AC39" s="56">
        <v>0</v>
      </c>
      <c r="AD39" s="56">
        <v>4</v>
      </c>
      <c r="AE39" s="56"/>
      <c r="AF39" s="56">
        <v>17</v>
      </c>
      <c r="AG39" s="56">
        <v>11</v>
      </c>
      <c r="AH39" s="56">
        <v>2</v>
      </c>
      <c r="AI39" s="56">
        <v>12</v>
      </c>
      <c r="AJ39" s="65"/>
      <c r="AK39" s="18" t="s">
        <v>5</v>
      </c>
      <c r="AL39" s="56">
        <v>4</v>
      </c>
      <c r="AM39" s="56">
        <v>8</v>
      </c>
      <c r="AN39" s="56">
        <v>5</v>
      </c>
      <c r="AO39" s="56">
        <v>3</v>
      </c>
      <c r="AP39" s="56">
        <v>7</v>
      </c>
      <c r="AQ39" s="56"/>
      <c r="AS39">
        <f t="shared" si="22"/>
        <v>0</v>
      </c>
    </row>
    <row r="40" spans="1:45" x14ac:dyDescent="0.25">
      <c r="A40" s="46"/>
      <c r="B40" s="20" t="s">
        <v>6</v>
      </c>
      <c r="C40" s="56"/>
      <c r="D40" s="57"/>
      <c r="E40" s="57"/>
      <c r="F40" s="57"/>
      <c r="G40" s="57"/>
      <c r="H40" s="57"/>
      <c r="I40" s="57"/>
      <c r="J40" s="57"/>
      <c r="K40" s="57"/>
      <c r="L40" s="65"/>
      <c r="M40" s="18" t="s">
        <v>6</v>
      </c>
      <c r="N40" s="56"/>
      <c r="O40" s="56"/>
      <c r="P40" s="56"/>
      <c r="Q40" s="56"/>
      <c r="R40" s="56"/>
      <c r="S40" s="56"/>
      <c r="T40" s="56"/>
      <c r="U40" s="56"/>
      <c r="V40" s="57"/>
      <c r="W40" s="57"/>
      <c r="X40" s="57"/>
      <c r="Y40" s="57"/>
      <c r="Z40" s="57"/>
      <c r="AA40" s="57"/>
      <c r="AB40" s="57"/>
      <c r="AC40" s="56"/>
      <c r="AD40" s="56"/>
      <c r="AE40" s="56"/>
      <c r="AF40" s="56"/>
      <c r="AG40" s="56"/>
      <c r="AH40" s="56"/>
      <c r="AI40" s="56"/>
      <c r="AJ40" s="65"/>
      <c r="AK40" s="18" t="s">
        <v>7</v>
      </c>
      <c r="AL40" s="56">
        <v>5</v>
      </c>
      <c r="AM40" s="56">
        <v>2</v>
      </c>
      <c r="AN40" s="56">
        <v>7</v>
      </c>
      <c r="AO40" s="56">
        <v>3</v>
      </c>
      <c r="AP40" s="56">
        <v>1</v>
      </c>
      <c r="AQ40" s="56"/>
      <c r="AS40">
        <f t="shared" si="22"/>
        <v>138</v>
      </c>
    </row>
    <row r="41" spans="1:45" x14ac:dyDescent="0.25">
      <c r="A41" s="46"/>
      <c r="B41" s="20" t="s">
        <v>7</v>
      </c>
      <c r="C41" s="56">
        <v>2</v>
      </c>
      <c r="D41" s="57">
        <v>6</v>
      </c>
      <c r="E41" s="57">
        <v>9</v>
      </c>
      <c r="F41" s="57">
        <v>7</v>
      </c>
      <c r="G41" s="57">
        <v>1</v>
      </c>
      <c r="H41" s="57">
        <v>14</v>
      </c>
      <c r="I41" s="57">
        <v>11</v>
      </c>
      <c r="J41" s="57">
        <v>6</v>
      </c>
      <c r="K41" s="57">
        <v>30</v>
      </c>
      <c r="L41" s="65"/>
      <c r="M41" s="18" t="s">
        <v>7</v>
      </c>
      <c r="N41" s="56">
        <v>4</v>
      </c>
      <c r="O41" s="56">
        <v>3</v>
      </c>
      <c r="P41" s="56">
        <v>3</v>
      </c>
      <c r="Q41" s="56">
        <v>3</v>
      </c>
      <c r="R41" s="56">
        <v>6</v>
      </c>
      <c r="S41" s="56">
        <v>2</v>
      </c>
      <c r="T41" s="56">
        <v>12</v>
      </c>
      <c r="U41" s="56">
        <v>13</v>
      </c>
      <c r="V41" s="57">
        <v>11</v>
      </c>
      <c r="W41" s="57">
        <v>6</v>
      </c>
      <c r="X41" s="57">
        <v>16</v>
      </c>
      <c r="Y41" s="57">
        <v>18</v>
      </c>
      <c r="Z41" s="57">
        <v>4</v>
      </c>
      <c r="AA41" s="57">
        <v>1</v>
      </c>
      <c r="AB41" s="57">
        <v>3</v>
      </c>
      <c r="AC41" s="56">
        <v>5</v>
      </c>
      <c r="AD41" s="56">
        <v>6</v>
      </c>
      <c r="AE41" s="56"/>
      <c r="AF41" s="56">
        <v>4</v>
      </c>
      <c r="AG41" s="56">
        <v>2</v>
      </c>
      <c r="AH41" s="56">
        <v>1</v>
      </c>
      <c r="AI41" s="56">
        <v>15</v>
      </c>
      <c r="AJ41" s="65"/>
      <c r="AK41" s="18" t="s">
        <v>8</v>
      </c>
      <c r="AL41" s="56"/>
      <c r="AM41" s="56"/>
      <c r="AN41" s="56"/>
      <c r="AO41" s="56"/>
      <c r="AP41" s="56"/>
      <c r="AQ41" s="56"/>
      <c r="AS41">
        <f t="shared" si="22"/>
        <v>0</v>
      </c>
    </row>
    <row r="42" spans="1:45" x14ac:dyDescent="0.25">
      <c r="A42" s="49" t="s">
        <v>18</v>
      </c>
      <c r="B42" s="20" t="s">
        <v>10</v>
      </c>
      <c r="C42" s="56"/>
      <c r="D42" s="57"/>
      <c r="E42" s="57"/>
      <c r="F42" s="57"/>
      <c r="G42" s="57"/>
      <c r="H42" s="57"/>
      <c r="I42" s="57"/>
      <c r="J42" s="57"/>
      <c r="K42" s="57"/>
      <c r="L42" s="66" t="e">
        <f>+#REF!</f>
        <v>#REF!</v>
      </c>
      <c r="M42" s="18" t="s">
        <v>10</v>
      </c>
      <c r="N42" s="56"/>
      <c r="O42" s="56"/>
      <c r="P42" s="56"/>
      <c r="Q42" s="56"/>
      <c r="R42" s="56"/>
      <c r="S42" s="56"/>
      <c r="T42" s="56"/>
      <c r="U42" s="56"/>
      <c r="V42" s="57"/>
      <c r="W42" s="57"/>
      <c r="X42" s="57"/>
      <c r="Y42" s="57"/>
      <c r="Z42" s="57"/>
      <c r="AA42" s="57"/>
      <c r="AB42" s="57"/>
      <c r="AC42" s="56"/>
      <c r="AD42" s="56"/>
      <c r="AE42" s="56"/>
      <c r="AF42" s="56"/>
      <c r="AG42" s="56"/>
      <c r="AH42" s="56"/>
      <c r="AI42" s="56"/>
      <c r="AJ42" s="66" t="e">
        <f>L42</f>
        <v>#REF!</v>
      </c>
      <c r="AK42" s="18" t="s">
        <v>11</v>
      </c>
      <c r="AL42" s="56">
        <v>4</v>
      </c>
      <c r="AM42" s="56">
        <v>5</v>
      </c>
      <c r="AN42" s="56">
        <v>3</v>
      </c>
      <c r="AO42" s="56">
        <v>2</v>
      </c>
      <c r="AP42" s="56">
        <v>7</v>
      </c>
      <c r="AQ42" s="56"/>
      <c r="AS42">
        <f t="shared" si="22"/>
        <v>154</v>
      </c>
    </row>
    <row r="43" spans="1:45" x14ac:dyDescent="0.25">
      <c r="A43" s="49"/>
      <c r="B43" s="20" t="s">
        <v>11</v>
      </c>
      <c r="C43" s="56">
        <v>10</v>
      </c>
      <c r="D43" s="57">
        <v>11</v>
      </c>
      <c r="E43" s="57">
        <v>32</v>
      </c>
      <c r="F43" s="57">
        <v>25</v>
      </c>
      <c r="G43" s="57">
        <v>4</v>
      </c>
      <c r="H43" s="57">
        <v>8</v>
      </c>
      <c r="I43" s="57">
        <v>7</v>
      </c>
      <c r="J43" s="57">
        <v>5</v>
      </c>
      <c r="K43" s="57">
        <v>5</v>
      </c>
      <c r="L43" s="66"/>
      <c r="M43" s="18" t="s">
        <v>11</v>
      </c>
      <c r="N43" s="56">
        <v>3</v>
      </c>
      <c r="O43" s="56">
        <v>3</v>
      </c>
      <c r="P43" s="56">
        <v>13</v>
      </c>
      <c r="Q43" s="56">
        <v>5</v>
      </c>
      <c r="R43" s="56">
        <v>5</v>
      </c>
      <c r="S43" s="56">
        <v>7</v>
      </c>
      <c r="T43" s="56">
        <v>12</v>
      </c>
      <c r="U43" s="56">
        <v>4</v>
      </c>
      <c r="V43" s="57">
        <v>4</v>
      </c>
      <c r="W43" s="57">
        <v>28</v>
      </c>
      <c r="X43" s="57">
        <v>4</v>
      </c>
      <c r="Y43" s="57">
        <v>8</v>
      </c>
      <c r="Z43" s="57">
        <v>2</v>
      </c>
      <c r="AA43" s="57">
        <v>22</v>
      </c>
      <c r="AB43" s="57">
        <v>2</v>
      </c>
      <c r="AC43" s="56">
        <v>4</v>
      </c>
      <c r="AD43" s="56">
        <v>8</v>
      </c>
      <c r="AE43" s="56"/>
      <c r="AF43" s="56">
        <v>4</v>
      </c>
      <c r="AG43" s="56">
        <v>6</v>
      </c>
      <c r="AH43" s="56">
        <v>7</v>
      </c>
      <c r="AI43" s="56">
        <v>3</v>
      </c>
      <c r="AJ43" s="66"/>
      <c r="AK43" s="18" t="s">
        <v>12</v>
      </c>
      <c r="AL43" s="56"/>
      <c r="AM43" s="56"/>
      <c r="AN43" s="56"/>
      <c r="AO43" s="56"/>
      <c r="AP43" s="56"/>
      <c r="AQ43" s="56"/>
    </row>
    <row r="44" spans="1:45" x14ac:dyDescent="0.25">
      <c r="A44" s="49"/>
      <c r="B44" s="20" t="s">
        <v>12</v>
      </c>
      <c r="C44" s="56"/>
      <c r="D44" s="57"/>
      <c r="E44" s="57"/>
      <c r="F44" s="57"/>
      <c r="G44" s="57"/>
      <c r="H44" s="57"/>
      <c r="I44" s="57"/>
      <c r="J44" s="57"/>
      <c r="K44" s="57"/>
      <c r="L44" s="66"/>
      <c r="M44" s="18" t="s">
        <v>12</v>
      </c>
      <c r="N44" s="56"/>
      <c r="O44" s="56"/>
      <c r="P44" s="56"/>
      <c r="Q44" s="56"/>
      <c r="R44" s="56"/>
      <c r="S44" s="56"/>
      <c r="T44" s="56"/>
      <c r="U44" s="56"/>
      <c r="V44" s="57"/>
      <c r="W44" s="57"/>
      <c r="X44" s="57"/>
      <c r="Y44" s="57"/>
      <c r="Z44" s="57"/>
      <c r="AA44" s="57"/>
      <c r="AB44" s="57"/>
      <c r="AC44" s="56"/>
      <c r="AD44" s="56"/>
      <c r="AE44" s="56"/>
      <c r="AF44" s="56"/>
      <c r="AG44" s="56"/>
      <c r="AH44" s="56"/>
      <c r="AI44" s="56"/>
      <c r="AJ44" s="66"/>
      <c r="AK44" s="18" t="s">
        <v>13</v>
      </c>
      <c r="AL44" s="56">
        <v>89</v>
      </c>
      <c r="AM44" s="56">
        <v>130</v>
      </c>
      <c r="AN44" s="56">
        <v>110</v>
      </c>
      <c r="AO44" s="56">
        <v>122</v>
      </c>
      <c r="AP44" s="56">
        <v>126</v>
      </c>
      <c r="AQ44" s="56"/>
    </row>
    <row r="45" spans="1:45" x14ac:dyDescent="0.25">
      <c r="A45" s="49"/>
      <c r="B45" s="20" t="s">
        <v>13</v>
      </c>
      <c r="C45" s="56">
        <v>110</v>
      </c>
      <c r="D45" s="57">
        <v>120</v>
      </c>
      <c r="E45" s="57">
        <v>63</v>
      </c>
      <c r="F45" s="57">
        <v>125</v>
      </c>
      <c r="G45" s="57">
        <v>136</v>
      </c>
      <c r="H45" s="57">
        <v>94</v>
      </c>
      <c r="I45" s="57">
        <v>102</v>
      </c>
      <c r="J45" s="57">
        <v>111</v>
      </c>
      <c r="K45" s="57">
        <v>60</v>
      </c>
      <c r="L45" s="66"/>
      <c r="M45" s="18" t="s">
        <v>13</v>
      </c>
      <c r="N45" s="56">
        <v>140</v>
      </c>
      <c r="O45" s="56">
        <v>130</v>
      </c>
      <c r="P45" s="56">
        <v>128</v>
      </c>
      <c r="Q45" s="56">
        <v>139</v>
      </c>
      <c r="R45" s="56">
        <v>150</v>
      </c>
      <c r="S45" s="56">
        <v>148</v>
      </c>
      <c r="T45" s="56">
        <v>127</v>
      </c>
      <c r="U45" s="56">
        <v>126</v>
      </c>
      <c r="V45" s="57">
        <v>121</v>
      </c>
      <c r="W45" s="57">
        <v>85</v>
      </c>
      <c r="X45" s="57">
        <v>108</v>
      </c>
      <c r="Y45" s="57">
        <v>116</v>
      </c>
      <c r="Z45" s="57">
        <v>114</v>
      </c>
      <c r="AA45" s="57">
        <v>120</v>
      </c>
      <c r="AB45" s="57">
        <v>127</v>
      </c>
      <c r="AC45" s="56">
        <v>123</v>
      </c>
      <c r="AD45" s="56">
        <v>98</v>
      </c>
      <c r="AE45" s="56"/>
      <c r="AF45" s="56">
        <v>103</v>
      </c>
      <c r="AG45" s="56">
        <v>21</v>
      </c>
      <c r="AH45" s="56">
        <v>142</v>
      </c>
      <c r="AI45" s="56">
        <v>127</v>
      </c>
      <c r="AJ45" s="66"/>
      <c r="AK45" s="18" t="s">
        <v>14</v>
      </c>
      <c r="AL45" s="56">
        <v>259</v>
      </c>
      <c r="AM45" s="56">
        <v>280</v>
      </c>
      <c r="AN45" s="56">
        <v>281</v>
      </c>
      <c r="AO45" s="56">
        <v>290</v>
      </c>
      <c r="AP45" s="56">
        <v>297</v>
      </c>
      <c r="AQ45" s="56"/>
    </row>
    <row r="46" spans="1:45" x14ac:dyDescent="0.25">
      <c r="A46" s="49"/>
      <c r="B46" s="20" t="s">
        <v>14</v>
      </c>
      <c r="C46" s="56">
        <v>304</v>
      </c>
      <c r="D46" s="57">
        <v>301</v>
      </c>
      <c r="E46" s="57">
        <v>248</v>
      </c>
      <c r="F46" s="57">
        <v>296</v>
      </c>
      <c r="G46" s="57">
        <v>309</v>
      </c>
      <c r="H46" s="57">
        <v>277</v>
      </c>
      <c r="I46" s="57">
        <v>289</v>
      </c>
      <c r="J46" s="57">
        <v>290</v>
      </c>
      <c r="K46" s="57">
        <v>299</v>
      </c>
      <c r="L46" s="66"/>
      <c r="M46" s="18" t="s">
        <v>14</v>
      </c>
      <c r="N46" s="56">
        <v>335</v>
      </c>
      <c r="O46" s="56">
        <v>351</v>
      </c>
      <c r="P46" s="56">
        <v>320</v>
      </c>
      <c r="Q46" s="56">
        <v>350</v>
      </c>
      <c r="R46" s="56">
        <v>350</v>
      </c>
      <c r="S46" s="56">
        <v>340</v>
      </c>
      <c r="T46" s="56">
        <v>291</v>
      </c>
      <c r="U46" s="56">
        <v>305</v>
      </c>
      <c r="V46" s="57">
        <v>306</v>
      </c>
      <c r="W46" s="57">
        <v>305</v>
      </c>
      <c r="X46" s="57">
        <v>289</v>
      </c>
      <c r="Y46" s="57">
        <v>306</v>
      </c>
      <c r="Z46" s="57">
        <v>294</v>
      </c>
      <c r="AA46" s="57">
        <v>292</v>
      </c>
      <c r="AB46" s="57">
        <v>302</v>
      </c>
      <c r="AC46" s="56">
        <v>295</v>
      </c>
      <c r="AD46" s="56">
        <v>305</v>
      </c>
      <c r="AE46" s="56">
        <v>299</v>
      </c>
      <c r="AF46" s="56">
        <v>270</v>
      </c>
      <c r="AG46" s="56">
        <v>180</v>
      </c>
      <c r="AH46" s="56">
        <v>350</v>
      </c>
      <c r="AI46" s="56">
        <v>330</v>
      </c>
      <c r="AJ46" s="61"/>
      <c r="AK46" s="16"/>
      <c r="AL46" s="56"/>
      <c r="AM46" s="56"/>
      <c r="AN46" s="56"/>
      <c r="AO46" s="56"/>
      <c r="AP46" s="56"/>
      <c r="AQ46" s="56"/>
    </row>
    <row r="47" spans="1:45" x14ac:dyDescent="0.25">
      <c r="A47" s="46">
        <f>A24+1</f>
        <v>46085</v>
      </c>
      <c r="B47" s="20" t="s">
        <v>2</v>
      </c>
      <c r="C47" s="56">
        <f t="shared" ref="C47:K47" si="23">(C56*100000)/(C57*60*8)</f>
        <v>87.033991228070178</v>
      </c>
      <c r="D47" s="56">
        <f t="shared" si="23"/>
        <v>66.168327796234777</v>
      </c>
      <c r="E47" s="56">
        <f t="shared" si="23"/>
        <v>92.405913978494624</v>
      </c>
      <c r="F47" s="56">
        <f t="shared" si="23"/>
        <v>90.090090090090087</v>
      </c>
      <c r="G47" s="56">
        <f t="shared" si="23"/>
        <v>80.029665587918018</v>
      </c>
      <c r="H47" s="56">
        <f t="shared" si="23"/>
        <v>74.157641395908541</v>
      </c>
      <c r="I47" s="56">
        <f t="shared" si="23"/>
        <v>75.692041522491351</v>
      </c>
      <c r="J47" s="56">
        <f t="shared" si="23"/>
        <v>62.931034482758619</v>
      </c>
      <c r="K47" s="62">
        <f t="shared" si="23"/>
        <v>80.128205128205124</v>
      </c>
      <c r="L47" s="65">
        <f>A47</f>
        <v>46085</v>
      </c>
      <c r="M47" s="18" t="s">
        <v>2</v>
      </c>
      <c r="N47" s="62">
        <f>(N56*100000)/(N57*60*8)</f>
        <v>90.174129353233837</v>
      </c>
      <c r="O47" s="62">
        <f t="shared" ref="O47:AI47" si="24">(O56*100000)/(O57*60*8)</f>
        <v>78.941120607787269</v>
      </c>
      <c r="P47" s="62">
        <f t="shared" si="24"/>
        <v>80.078125</v>
      </c>
      <c r="Q47" s="62">
        <f t="shared" si="24"/>
        <v>86.30952380952381</v>
      </c>
      <c r="R47" s="62">
        <f t="shared" si="24"/>
        <v>88.095238095238102</v>
      </c>
      <c r="S47" s="62">
        <f t="shared" si="24"/>
        <v>88.235294117647058</v>
      </c>
      <c r="T47" s="62">
        <f t="shared" si="24"/>
        <v>82.001718213058425</v>
      </c>
      <c r="U47" s="62">
        <f t="shared" si="24"/>
        <v>85.382513661202182</v>
      </c>
      <c r="V47" s="62">
        <f t="shared" si="24"/>
        <v>84.014161220043576</v>
      </c>
      <c r="W47" s="62">
        <f t="shared" si="24"/>
        <v>69.808743169398909</v>
      </c>
      <c r="X47" s="62">
        <f t="shared" si="24"/>
        <v>85.063437139561714</v>
      </c>
      <c r="Y47" s="62">
        <f t="shared" si="24"/>
        <v>94.635076252723309</v>
      </c>
      <c r="Z47" s="62">
        <f t="shared" si="24"/>
        <v>82.270408163265301</v>
      </c>
      <c r="AA47" s="62">
        <f t="shared" si="24"/>
        <v>70.776255707762559</v>
      </c>
      <c r="AB47" s="62">
        <f t="shared" si="24"/>
        <v>88.990066225165563</v>
      </c>
      <c r="AC47" s="62">
        <f t="shared" si="24"/>
        <v>53.672316384180789</v>
      </c>
      <c r="AD47" s="62">
        <f t="shared" si="24"/>
        <v>52.800546448087431</v>
      </c>
      <c r="AE47" s="62">
        <f t="shared" si="24"/>
        <v>23.759754738015609</v>
      </c>
      <c r="AF47" s="62">
        <f t="shared" si="24"/>
        <v>38.580246913580247</v>
      </c>
      <c r="AG47" s="62">
        <f t="shared" si="24"/>
        <v>92.361111111111114</v>
      </c>
      <c r="AH47" s="62">
        <f t="shared" si="24"/>
        <v>89.285714285714292</v>
      </c>
      <c r="AI47" s="62">
        <f t="shared" si="24"/>
        <v>82.070707070707073</v>
      </c>
      <c r="AJ47" s="65">
        <f>L47</f>
        <v>46085</v>
      </c>
      <c r="AK47" s="18" t="s">
        <v>2</v>
      </c>
      <c r="AL47" s="56">
        <f>(AL55*100000)/(AL56*60*8)</f>
        <v>61.936936936936938</v>
      </c>
      <c r="AM47" s="56">
        <f t="shared" ref="AM47:AP47" si="25">(AM55*100000)/(AM56*60*8)</f>
        <v>96.726190476190482</v>
      </c>
      <c r="AN47" s="56">
        <f t="shared" si="25"/>
        <v>72.657176749703439</v>
      </c>
      <c r="AO47" s="56">
        <f t="shared" si="25"/>
        <v>84.770114942528735</v>
      </c>
      <c r="AP47" s="56">
        <f t="shared" si="25"/>
        <v>86.279461279461273</v>
      </c>
      <c r="AQ47" s="56"/>
    </row>
    <row r="48" spans="1:45" x14ac:dyDescent="0.25">
      <c r="A48" s="46"/>
      <c r="B48" s="20" t="s">
        <v>3</v>
      </c>
      <c r="C48" s="56">
        <v>8</v>
      </c>
      <c r="D48" s="57">
        <v>12</v>
      </c>
      <c r="E48" s="57"/>
      <c r="F48" s="57">
        <v>23</v>
      </c>
      <c r="G48" s="57">
        <v>12</v>
      </c>
      <c r="H48" s="57">
        <v>2</v>
      </c>
      <c r="I48" s="57">
        <v>8</v>
      </c>
      <c r="J48" s="57">
        <v>1</v>
      </c>
      <c r="K48" s="57">
        <v>5</v>
      </c>
      <c r="L48" s="65"/>
      <c r="M48" s="18" t="s">
        <v>3</v>
      </c>
      <c r="N48" s="56">
        <v>6</v>
      </c>
      <c r="O48" s="56">
        <v>13</v>
      </c>
      <c r="P48" s="56">
        <v>6</v>
      </c>
      <c r="Q48" s="56">
        <v>1</v>
      </c>
      <c r="R48" s="56">
        <v>1</v>
      </c>
      <c r="S48" s="56">
        <v>3</v>
      </c>
      <c r="T48" s="57">
        <v>6</v>
      </c>
      <c r="U48" s="57">
        <v>22</v>
      </c>
      <c r="V48" s="57">
        <v>13</v>
      </c>
      <c r="W48" s="57">
        <v>8</v>
      </c>
      <c r="X48" s="57">
        <v>7</v>
      </c>
      <c r="Y48" s="57">
        <v>3</v>
      </c>
      <c r="Z48" s="57">
        <v>3</v>
      </c>
      <c r="AA48" s="57">
        <v>64</v>
      </c>
      <c r="AB48" s="57">
        <v>0</v>
      </c>
      <c r="AC48" s="57">
        <v>6</v>
      </c>
      <c r="AD48" s="57">
        <v>6</v>
      </c>
      <c r="AE48" s="56">
        <v>1</v>
      </c>
      <c r="AF48" s="56">
        <v>0</v>
      </c>
      <c r="AG48" s="56">
        <v>0</v>
      </c>
      <c r="AH48" s="56">
        <v>2</v>
      </c>
      <c r="AI48" s="56">
        <v>0</v>
      </c>
      <c r="AJ48" s="65"/>
      <c r="AK48" s="18" t="s">
        <v>3</v>
      </c>
      <c r="AL48" s="56">
        <v>6</v>
      </c>
      <c r="AM48" s="56">
        <v>8</v>
      </c>
      <c r="AN48" s="56">
        <v>12</v>
      </c>
      <c r="AO48" s="56">
        <v>0</v>
      </c>
      <c r="AP48" s="56">
        <v>1</v>
      </c>
      <c r="AQ48" s="56"/>
      <c r="AS48">
        <f t="shared" ref="AS48:AS53" si="26">SUM(N49:AI49)</f>
        <v>0</v>
      </c>
    </row>
    <row r="49" spans="1:45" x14ac:dyDescent="0.25">
      <c r="A49" s="46"/>
      <c r="B49" s="18" t="s">
        <v>4</v>
      </c>
      <c r="C49" s="56"/>
      <c r="D49" s="57"/>
      <c r="E49" s="57"/>
      <c r="F49" s="57"/>
      <c r="G49" s="57"/>
      <c r="H49" s="57"/>
      <c r="I49" s="57"/>
      <c r="J49" s="57"/>
      <c r="K49" s="57"/>
      <c r="L49" s="65"/>
      <c r="M49" s="18" t="s">
        <v>4</v>
      </c>
      <c r="N49" s="56"/>
      <c r="O49" s="56"/>
      <c r="P49" s="56"/>
      <c r="Q49" s="56"/>
      <c r="R49" s="56"/>
      <c r="S49" s="56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6"/>
      <c r="AF49" s="56"/>
      <c r="AG49" s="56"/>
      <c r="AH49" s="56"/>
      <c r="AI49" s="56"/>
      <c r="AJ49" s="65"/>
      <c r="AK49" s="18" t="s">
        <v>4</v>
      </c>
      <c r="AL49" s="56"/>
      <c r="AM49" s="56"/>
      <c r="AN49" s="56"/>
      <c r="AO49" s="56"/>
      <c r="AP49" s="56"/>
      <c r="AQ49" s="56"/>
      <c r="AS49">
        <f t="shared" si="26"/>
        <v>159</v>
      </c>
    </row>
    <row r="50" spans="1:45" x14ac:dyDescent="0.25">
      <c r="A50" s="46"/>
      <c r="B50" s="20" t="s">
        <v>5</v>
      </c>
      <c r="C50" s="56">
        <v>8</v>
      </c>
      <c r="D50" s="57">
        <v>29</v>
      </c>
      <c r="E50" s="57"/>
      <c r="F50" s="57">
        <v>0</v>
      </c>
      <c r="G50" s="57">
        <v>3</v>
      </c>
      <c r="H50" s="57">
        <v>25</v>
      </c>
      <c r="I50" s="57">
        <v>14</v>
      </c>
      <c r="J50" s="57">
        <v>4</v>
      </c>
      <c r="K50" s="57">
        <v>21</v>
      </c>
      <c r="L50" s="65"/>
      <c r="M50" s="18" t="s">
        <v>5</v>
      </c>
      <c r="N50" s="56">
        <v>1</v>
      </c>
      <c r="O50" s="56">
        <v>6</v>
      </c>
      <c r="P50" s="56">
        <v>5</v>
      </c>
      <c r="Q50" s="56">
        <v>9</v>
      </c>
      <c r="R50" s="56">
        <v>4</v>
      </c>
      <c r="S50" s="56">
        <v>8</v>
      </c>
      <c r="T50" s="57">
        <v>1</v>
      </c>
      <c r="U50" s="57">
        <v>1</v>
      </c>
      <c r="V50" s="57">
        <v>1</v>
      </c>
      <c r="W50" s="57">
        <v>20</v>
      </c>
      <c r="X50" s="57">
        <v>7</v>
      </c>
      <c r="Y50" s="57">
        <v>1</v>
      </c>
      <c r="Z50" s="57">
        <v>14</v>
      </c>
      <c r="AA50" s="57">
        <v>5</v>
      </c>
      <c r="AB50" s="57">
        <v>10</v>
      </c>
      <c r="AC50" s="57">
        <v>4</v>
      </c>
      <c r="AD50" s="57">
        <v>27</v>
      </c>
      <c r="AE50" s="56">
        <v>4</v>
      </c>
      <c r="AF50" s="56">
        <v>17</v>
      </c>
      <c r="AG50" s="56">
        <v>7</v>
      </c>
      <c r="AH50" s="56">
        <v>5</v>
      </c>
      <c r="AI50" s="56">
        <v>2</v>
      </c>
      <c r="AJ50" s="65"/>
      <c r="AK50" s="18" t="s">
        <v>5</v>
      </c>
      <c r="AL50" s="56">
        <v>7</v>
      </c>
      <c r="AM50" s="56">
        <v>8</v>
      </c>
      <c r="AN50" s="56">
        <v>10</v>
      </c>
      <c r="AO50" s="56">
        <v>2</v>
      </c>
      <c r="AP50" s="56">
        <v>3</v>
      </c>
      <c r="AQ50" s="56"/>
      <c r="AS50">
        <f t="shared" si="26"/>
        <v>0</v>
      </c>
    </row>
    <row r="51" spans="1:45" x14ac:dyDescent="0.25">
      <c r="A51" s="46"/>
      <c r="B51" s="20" t="s">
        <v>6</v>
      </c>
      <c r="C51" s="56"/>
      <c r="D51" s="57"/>
      <c r="E51" s="57"/>
      <c r="F51" s="57"/>
      <c r="G51" s="57"/>
      <c r="H51" s="57"/>
      <c r="I51" s="57"/>
      <c r="J51" s="57"/>
      <c r="K51" s="57"/>
      <c r="L51" s="65"/>
      <c r="M51" s="18" t="s">
        <v>6</v>
      </c>
      <c r="N51" s="56"/>
      <c r="O51" s="56"/>
      <c r="P51" s="56"/>
      <c r="Q51" s="56"/>
      <c r="R51" s="56"/>
      <c r="S51" s="56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6"/>
      <c r="AF51" s="56"/>
      <c r="AG51" s="56"/>
      <c r="AH51" s="56"/>
      <c r="AI51" s="56"/>
      <c r="AJ51" s="65"/>
      <c r="AK51" s="18" t="s">
        <v>7</v>
      </c>
      <c r="AL51" s="56">
        <v>7</v>
      </c>
      <c r="AM51" s="56">
        <v>2</v>
      </c>
      <c r="AN51" s="56">
        <v>5</v>
      </c>
      <c r="AO51" s="56">
        <v>9</v>
      </c>
      <c r="AP51" s="56">
        <v>3</v>
      </c>
      <c r="AQ51" s="56"/>
      <c r="AS51">
        <f t="shared" si="26"/>
        <v>142</v>
      </c>
    </row>
    <row r="52" spans="1:45" x14ac:dyDescent="0.25">
      <c r="A52" s="46"/>
      <c r="B52" s="20" t="s">
        <v>7</v>
      </c>
      <c r="C52" s="56">
        <v>3</v>
      </c>
      <c r="D52" s="57">
        <v>4</v>
      </c>
      <c r="E52" s="57"/>
      <c r="F52" s="57">
        <v>3</v>
      </c>
      <c r="G52" s="57">
        <v>7</v>
      </c>
      <c r="H52" s="57">
        <v>4</v>
      </c>
      <c r="I52" s="57">
        <v>53</v>
      </c>
      <c r="J52" s="57">
        <v>6</v>
      </c>
      <c r="K52" s="57">
        <v>1</v>
      </c>
      <c r="L52" s="65"/>
      <c r="M52" s="18" t="s">
        <v>7</v>
      </c>
      <c r="N52" s="56">
        <v>2</v>
      </c>
      <c r="O52" s="56">
        <v>2</v>
      </c>
      <c r="P52" s="56">
        <v>3</v>
      </c>
      <c r="Q52" s="56">
        <v>0</v>
      </c>
      <c r="R52" s="56">
        <v>6</v>
      </c>
      <c r="S52" s="56">
        <v>3</v>
      </c>
      <c r="T52" s="57">
        <v>10</v>
      </c>
      <c r="U52" s="57">
        <v>11</v>
      </c>
      <c r="V52" s="57">
        <v>4</v>
      </c>
      <c r="W52" s="57">
        <v>12</v>
      </c>
      <c r="X52" s="57">
        <v>9</v>
      </c>
      <c r="Y52" s="57">
        <v>3</v>
      </c>
      <c r="Z52" s="57">
        <v>16</v>
      </c>
      <c r="AA52" s="57">
        <v>1</v>
      </c>
      <c r="AB52" s="57">
        <v>4</v>
      </c>
      <c r="AC52" s="57">
        <v>15</v>
      </c>
      <c r="AD52" s="57">
        <v>9</v>
      </c>
      <c r="AE52" s="56">
        <v>6</v>
      </c>
      <c r="AF52" s="56">
        <v>5</v>
      </c>
      <c r="AG52" s="56">
        <v>1</v>
      </c>
      <c r="AH52" s="56">
        <v>1</v>
      </c>
      <c r="AI52" s="56">
        <v>19</v>
      </c>
      <c r="AJ52" s="65"/>
      <c r="AK52" s="18" t="s">
        <v>8</v>
      </c>
      <c r="AL52" s="56"/>
      <c r="AM52" s="56"/>
      <c r="AN52" s="56"/>
      <c r="AO52" s="56"/>
      <c r="AP52" s="56"/>
      <c r="AQ52" s="56"/>
      <c r="AS52">
        <f t="shared" si="26"/>
        <v>0</v>
      </c>
    </row>
    <row r="53" spans="1:45" x14ac:dyDescent="0.25">
      <c r="A53" s="49" t="s">
        <v>19</v>
      </c>
      <c r="B53" s="20" t="s">
        <v>10</v>
      </c>
      <c r="C53" s="56"/>
      <c r="D53" s="57"/>
      <c r="E53" s="57"/>
      <c r="F53" s="57"/>
      <c r="G53" s="57"/>
      <c r="H53" s="57"/>
      <c r="I53" s="57"/>
      <c r="J53" s="57"/>
      <c r="K53" s="57"/>
      <c r="L53" s="66" t="e">
        <f>+#REF!</f>
        <v>#REF!</v>
      </c>
      <c r="M53" s="18" t="s">
        <v>10</v>
      </c>
      <c r="N53" s="56"/>
      <c r="O53" s="56"/>
      <c r="P53" s="56"/>
      <c r="Q53" s="56"/>
      <c r="R53" s="56"/>
      <c r="S53" s="56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6"/>
      <c r="AF53" s="56"/>
      <c r="AG53" s="56"/>
      <c r="AH53" s="56"/>
      <c r="AI53" s="56"/>
      <c r="AJ53" s="66" t="e">
        <f>L53</f>
        <v>#REF!</v>
      </c>
      <c r="AK53" s="18" t="s">
        <v>11</v>
      </c>
      <c r="AL53" s="56">
        <v>2</v>
      </c>
      <c r="AM53" s="56">
        <v>5</v>
      </c>
      <c r="AN53" s="56">
        <v>2</v>
      </c>
      <c r="AO53" s="56">
        <v>3</v>
      </c>
      <c r="AP53" s="56">
        <v>9</v>
      </c>
      <c r="AQ53" s="56"/>
      <c r="AS53">
        <f t="shared" si="26"/>
        <v>144</v>
      </c>
    </row>
    <row r="54" spans="1:45" x14ac:dyDescent="0.25">
      <c r="A54" s="49"/>
      <c r="B54" s="20" t="s">
        <v>11</v>
      </c>
      <c r="C54" s="56">
        <v>4</v>
      </c>
      <c r="D54" s="57">
        <v>15</v>
      </c>
      <c r="E54" s="57"/>
      <c r="F54" s="57">
        <v>15</v>
      </c>
      <c r="G54" s="57">
        <v>18</v>
      </c>
      <c r="H54" s="57">
        <v>6</v>
      </c>
      <c r="I54" s="57">
        <v>9</v>
      </c>
      <c r="J54" s="57">
        <v>5</v>
      </c>
      <c r="K54" s="57">
        <v>5</v>
      </c>
      <c r="L54" s="66"/>
      <c r="M54" s="18" t="s">
        <v>11</v>
      </c>
      <c r="N54" s="56">
        <v>0</v>
      </c>
      <c r="O54" s="56">
        <v>3</v>
      </c>
      <c r="P54" s="56">
        <v>6</v>
      </c>
      <c r="Q54" s="56">
        <v>7</v>
      </c>
      <c r="R54" s="56">
        <v>5</v>
      </c>
      <c r="S54" s="56">
        <v>7</v>
      </c>
      <c r="T54" s="57">
        <v>9</v>
      </c>
      <c r="U54" s="57">
        <v>3</v>
      </c>
      <c r="V54" s="57">
        <v>12</v>
      </c>
      <c r="W54" s="57">
        <v>19</v>
      </c>
      <c r="X54" s="57">
        <v>6</v>
      </c>
      <c r="Y54" s="57">
        <v>4</v>
      </c>
      <c r="Z54" s="57">
        <v>2</v>
      </c>
      <c r="AA54" s="57">
        <v>16</v>
      </c>
      <c r="AB54" s="57">
        <v>5</v>
      </c>
      <c r="AC54" s="57">
        <v>5</v>
      </c>
      <c r="AD54" s="57">
        <v>9</v>
      </c>
      <c r="AE54" s="56">
        <v>5</v>
      </c>
      <c r="AF54" s="56">
        <v>5</v>
      </c>
      <c r="AG54" s="56">
        <v>5</v>
      </c>
      <c r="AH54" s="56">
        <v>4</v>
      </c>
      <c r="AI54" s="56">
        <v>7</v>
      </c>
      <c r="AJ54" s="66"/>
      <c r="AK54" s="18" t="s">
        <v>12</v>
      </c>
      <c r="AL54" s="56"/>
      <c r="AM54" s="56"/>
      <c r="AN54" s="56"/>
      <c r="AO54" s="56"/>
      <c r="AP54" s="56"/>
      <c r="AQ54" s="56"/>
    </row>
    <row r="55" spans="1:45" x14ac:dyDescent="0.25">
      <c r="A55" s="49"/>
      <c r="B55" s="20" t="s">
        <v>12</v>
      </c>
      <c r="C55" s="56"/>
      <c r="D55" s="57"/>
      <c r="E55" s="57"/>
      <c r="F55" s="57"/>
      <c r="G55" s="57"/>
      <c r="H55" s="57"/>
      <c r="I55" s="57"/>
      <c r="J55" s="57"/>
      <c r="K55" s="57"/>
      <c r="L55" s="66"/>
      <c r="M55" s="18" t="s">
        <v>12</v>
      </c>
      <c r="N55" s="56"/>
      <c r="O55" s="56"/>
      <c r="P55" s="56"/>
      <c r="Q55" s="56"/>
      <c r="R55" s="56"/>
      <c r="S55" s="56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6"/>
      <c r="AF55" s="56"/>
      <c r="AG55" s="56"/>
      <c r="AH55" s="56"/>
      <c r="AI55" s="56"/>
      <c r="AJ55" s="66"/>
      <c r="AK55" s="18" t="s">
        <v>13</v>
      </c>
      <c r="AL55" s="56">
        <v>77</v>
      </c>
      <c r="AM55" s="56">
        <v>130</v>
      </c>
      <c r="AN55" s="56">
        <v>98</v>
      </c>
      <c r="AO55" s="56">
        <v>118</v>
      </c>
      <c r="AP55" s="56">
        <v>123</v>
      </c>
      <c r="AQ55" s="56"/>
    </row>
    <row r="56" spans="1:45" x14ac:dyDescent="0.25">
      <c r="A56" s="49"/>
      <c r="B56" s="20" t="s">
        <v>13</v>
      </c>
      <c r="C56" s="56">
        <v>127</v>
      </c>
      <c r="D56" s="57">
        <v>95.6</v>
      </c>
      <c r="E56" s="57">
        <v>110</v>
      </c>
      <c r="F56" s="57">
        <v>128</v>
      </c>
      <c r="G56" s="57">
        <v>118.7</v>
      </c>
      <c r="H56" s="57">
        <v>98.6</v>
      </c>
      <c r="I56" s="57">
        <v>105</v>
      </c>
      <c r="J56" s="57">
        <v>87.6</v>
      </c>
      <c r="K56" s="57">
        <v>115</v>
      </c>
      <c r="L56" s="66"/>
      <c r="M56" s="18" t="s">
        <v>13</v>
      </c>
      <c r="N56" s="56">
        <v>145</v>
      </c>
      <c r="O56" s="56">
        <v>133</v>
      </c>
      <c r="P56" s="56">
        <v>123</v>
      </c>
      <c r="Q56" s="56">
        <v>145</v>
      </c>
      <c r="R56" s="56">
        <v>148</v>
      </c>
      <c r="S56" s="56">
        <v>144</v>
      </c>
      <c r="T56" s="57">
        <v>114.54</v>
      </c>
      <c r="U56" s="57">
        <v>125</v>
      </c>
      <c r="V56" s="57">
        <v>123.4</v>
      </c>
      <c r="W56" s="57">
        <v>102.2</v>
      </c>
      <c r="X56" s="57">
        <v>118</v>
      </c>
      <c r="Y56" s="57">
        <v>139</v>
      </c>
      <c r="Z56" s="57">
        <v>116.1</v>
      </c>
      <c r="AA56" s="57">
        <v>99.2</v>
      </c>
      <c r="AB56" s="57">
        <v>129</v>
      </c>
      <c r="AC56" s="57">
        <v>76</v>
      </c>
      <c r="AD56" s="57">
        <v>77.3</v>
      </c>
      <c r="AE56" s="56">
        <v>34.1</v>
      </c>
      <c r="AF56" s="56">
        <v>50</v>
      </c>
      <c r="AG56" s="56">
        <v>133</v>
      </c>
      <c r="AH56" s="56">
        <v>150</v>
      </c>
      <c r="AI56" s="56">
        <v>130</v>
      </c>
      <c r="AJ56" s="66"/>
      <c r="AK56" s="18" t="s">
        <v>14</v>
      </c>
      <c r="AL56" s="56">
        <v>259</v>
      </c>
      <c r="AM56" s="56">
        <v>280</v>
      </c>
      <c r="AN56" s="56">
        <v>281</v>
      </c>
      <c r="AO56" s="56">
        <v>290</v>
      </c>
      <c r="AP56" s="56">
        <v>297</v>
      </c>
      <c r="AQ56" s="56"/>
    </row>
    <row r="57" spans="1:45" x14ac:dyDescent="0.25">
      <c r="A57" s="49"/>
      <c r="B57" s="20" t="s">
        <v>14</v>
      </c>
      <c r="C57" s="56">
        <v>304</v>
      </c>
      <c r="D57" s="57">
        <v>301</v>
      </c>
      <c r="E57" s="57">
        <v>248</v>
      </c>
      <c r="F57" s="57">
        <v>296</v>
      </c>
      <c r="G57" s="57">
        <v>309</v>
      </c>
      <c r="H57" s="57">
        <v>277</v>
      </c>
      <c r="I57" s="57">
        <v>289</v>
      </c>
      <c r="J57" s="57">
        <v>290</v>
      </c>
      <c r="K57" s="57">
        <v>299</v>
      </c>
      <c r="L57" s="66"/>
      <c r="M57" s="18" t="s">
        <v>14</v>
      </c>
      <c r="N57" s="56">
        <v>335</v>
      </c>
      <c r="O57" s="56">
        <v>351</v>
      </c>
      <c r="P57" s="56">
        <v>320</v>
      </c>
      <c r="Q57" s="56">
        <v>350</v>
      </c>
      <c r="R57" s="56">
        <v>350</v>
      </c>
      <c r="S57" s="56">
        <v>340</v>
      </c>
      <c r="T57" s="57">
        <v>291</v>
      </c>
      <c r="U57" s="57">
        <v>305</v>
      </c>
      <c r="V57" s="57">
        <v>306</v>
      </c>
      <c r="W57" s="57">
        <v>305</v>
      </c>
      <c r="X57" s="57">
        <v>289</v>
      </c>
      <c r="Y57" s="57">
        <v>306</v>
      </c>
      <c r="Z57" s="57">
        <v>294</v>
      </c>
      <c r="AA57" s="57">
        <v>292</v>
      </c>
      <c r="AB57" s="57">
        <v>302</v>
      </c>
      <c r="AC57" s="57">
        <v>295</v>
      </c>
      <c r="AD57" s="57">
        <v>305</v>
      </c>
      <c r="AE57" s="56">
        <v>299</v>
      </c>
      <c r="AF57" s="56">
        <v>270</v>
      </c>
      <c r="AG57" s="56">
        <v>300</v>
      </c>
      <c r="AH57" s="56">
        <v>350</v>
      </c>
      <c r="AI57" s="56">
        <v>330</v>
      </c>
      <c r="AJ57" s="61"/>
      <c r="AK57" s="16"/>
      <c r="AL57" s="56"/>
      <c r="AM57" s="56"/>
      <c r="AN57" s="56"/>
      <c r="AO57" s="56"/>
      <c r="AP57" s="56"/>
      <c r="AQ57" s="56"/>
    </row>
    <row r="58" spans="1:45" x14ac:dyDescent="0.25">
      <c r="A58" s="46">
        <f>+A47</f>
        <v>46085</v>
      </c>
      <c r="B58" s="20" t="s">
        <v>2</v>
      </c>
      <c r="C58" s="56">
        <f t="shared" ref="C58:K58" si="27">(C67*100000)/(C68*60*8)</f>
        <v>88.40460526315789</v>
      </c>
      <c r="D58" s="56">
        <f t="shared" si="27"/>
        <v>83.333333333333329</v>
      </c>
      <c r="E58" s="56">
        <f t="shared" si="27"/>
        <v>71.40456989247312</v>
      </c>
      <c r="F58" s="56">
        <f t="shared" si="27"/>
        <v>81.64414414414415</v>
      </c>
      <c r="G58" s="56">
        <f t="shared" si="27"/>
        <v>82.92880258899676</v>
      </c>
      <c r="H58" s="56">
        <f t="shared" si="27"/>
        <v>74.295343137254903</v>
      </c>
      <c r="I58" s="56">
        <f t="shared" si="27"/>
        <v>69.925028835063443</v>
      </c>
      <c r="J58" s="56">
        <f t="shared" si="27"/>
        <v>75.692041522491351</v>
      </c>
      <c r="K58" s="62">
        <f t="shared" si="27"/>
        <v>91.973244147157189</v>
      </c>
      <c r="L58" s="65">
        <f>A58</f>
        <v>46085</v>
      </c>
      <c r="M58" s="18" t="s">
        <v>2</v>
      </c>
      <c r="N58" s="62">
        <f>(N67*100000)/(N68*60*8)</f>
        <v>89.905753968253961</v>
      </c>
      <c r="O58" s="62">
        <f t="shared" ref="O58:AI58" si="28">(O67*100000)/(O68*60*8)</f>
        <v>80.952380952380949</v>
      </c>
      <c r="P58" s="62">
        <f t="shared" si="28"/>
        <v>87.239583333333329</v>
      </c>
      <c r="Q58" s="62">
        <f t="shared" si="28"/>
        <v>82.142857142857139</v>
      </c>
      <c r="R58" s="62">
        <f t="shared" si="28"/>
        <v>82.738095238095241</v>
      </c>
      <c r="S58" s="62">
        <f t="shared" si="28"/>
        <v>92.524509803921575</v>
      </c>
      <c r="T58" s="62">
        <f t="shared" si="28"/>
        <v>76.149425287356323</v>
      </c>
      <c r="U58" s="62">
        <f t="shared" si="28"/>
        <v>91.145833333333329</v>
      </c>
      <c r="V58" s="62">
        <f t="shared" si="28"/>
        <v>78.295206971677558</v>
      </c>
      <c r="W58" s="62">
        <f t="shared" si="28"/>
        <v>77.868852459016395</v>
      </c>
      <c r="X58" s="62">
        <f t="shared" si="28"/>
        <v>87.94694348327566</v>
      </c>
      <c r="Y58" s="62">
        <f t="shared" si="28"/>
        <v>94.326818675352882</v>
      </c>
      <c r="Z58" s="62">
        <f t="shared" si="28"/>
        <v>85.74263038548753</v>
      </c>
      <c r="AA58" s="62">
        <f t="shared" si="28"/>
        <v>74.658703071672349</v>
      </c>
      <c r="AB58" s="62">
        <f t="shared" si="28"/>
        <v>92.980984340044742</v>
      </c>
      <c r="AC58" s="62">
        <f t="shared" si="28"/>
        <v>84.039548022598865</v>
      </c>
      <c r="AD58" s="62">
        <f t="shared" si="28"/>
        <v>74.944994499449948</v>
      </c>
      <c r="AE58" s="62">
        <f t="shared" si="28"/>
        <v>68.493150684931507</v>
      </c>
      <c r="AF58" s="62">
        <f t="shared" si="28"/>
        <v>55.28846153846154</v>
      </c>
      <c r="AG58" s="62">
        <f t="shared" si="28"/>
        <v>69.248826291079808</v>
      </c>
      <c r="AH58" s="62">
        <f t="shared" si="28"/>
        <v>95.040281973816718</v>
      </c>
      <c r="AI58" s="62">
        <f t="shared" si="28"/>
        <v>77.976190476190482</v>
      </c>
      <c r="AJ58" s="65">
        <f>L58</f>
        <v>46085</v>
      </c>
      <c r="AK58" s="18" t="s">
        <v>2</v>
      </c>
      <c r="AL58" s="56">
        <f>(AL66*100000)/(AL67*60*8)</f>
        <v>68.636950904392762</v>
      </c>
      <c r="AM58" s="56">
        <f t="shared" ref="AM58:AP58" si="29">(AM66*100000)/(AM67*60*8)</f>
        <v>90.029761904761898</v>
      </c>
      <c r="AN58" s="56">
        <f t="shared" si="29"/>
        <v>73.924731182795696</v>
      </c>
      <c r="AO58" s="56">
        <f t="shared" si="29"/>
        <v>89.080459770114942</v>
      </c>
      <c r="AP58" s="56">
        <f t="shared" si="29"/>
        <v>95.989761092150175</v>
      </c>
      <c r="AQ58" s="56"/>
      <c r="AS58">
        <f t="shared" ref="AS58:AS64" si="30">SUM(N59:AI59)</f>
        <v>168</v>
      </c>
    </row>
    <row r="59" spans="1:45" x14ac:dyDescent="0.25">
      <c r="A59" s="46"/>
      <c r="B59" s="20" t="s">
        <v>3</v>
      </c>
      <c r="C59" s="56">
        <v>8</v>
      </c>
      <c r="D59" s="57">
        <v>5</v>
      </c>
      <c r="E59" s="57">
        <v>6</v>
      </c>
      <c r="F59" s="57">
        <v>18</v>
      </c>
      <c r="G59" s="57">
        <v>3</v>
      </c>
      <c r="H59" s="57">
        <v>2</v>
      </c>
      <c r="I59" s="57">
        <v>6</v>
      </c>
      <c r="J59" s="57">
        <v>7</v>
      </c>
      <c r="K59" s="57">
        <v>2</v>
      </c>
      <c r="L59" s="65"/>
      <c r="M59" s="18" t="s">
        <v>3</v>
      </c>
      <c r="N59" s="57">
        <v>7</v>
      </c>
      <c r="O59" s="57">
        <v>20</v>
      </c>
      <c r="P59" s="57">
        <v>20</v>
      </c>
      <c r="Q59" s="57">
        <v>2</v>
      </c>
      <c r="R59" s="56">
        <v>1</v>
      </c>
      <c r="S59" s="56">
        <v>2</v>
      </c>
      <c r="T59" s="57">
        <v>3</v>
      </c>
      <c r="U59" s="57">
        <v>14</v>
      </c>
      <c r="V59" s="57">
        <v>3</v>
      </c>
      <c r="W59" s="57">
        <v>6</v>
      </c>
      <c r="X59" s="57">
        <v>1</v>
      </c>
      <c r="Y59" s="57">
        <v>3</v>
      </c>
      <c r="Z59" s="57">
        <v>5</v>
      </c>
      <c r="AA59" s="57">
        <v>30</v>
      </c>
      <c r="AB59" s="57">
        <v>0</v>
      </c>
      <c r="AC59" s="56">
        <v>13</v>
      </c>
      <c r="AD59" s="56">
        <v>8</v>
      </c>
      <c r="AE59" s="56">
        <v>16</v>
      </c>
      <c r="AF59" s="56">
        <v>0</v>
      </c>
      <c r="AG59" s="56">
        <v>1</v>
      </c>
      <c r="AH59" s="56">
        <v>11</v>
      </c>
      <c r="AI59" s="56">
        <v>2</v>
      </c>
      <c r="AJ59" s="65"/>
      <c r="AK59" s="18" t="s">
        <v>3</v>
      </c>
      <c r="AL59" s="56">
        <v>6</v>
      </c>
      <c r="AM59" s="56">
        <v>4</v>
      </c>
      <c r="AN59" s="56">
        <v>9</v>
      </c>
      <c r="AO59" s="56">
        <v>1</v>
      </c>
      <c r="AP59" s="56">
        <v>0</v>
      </c>
      <c r="AQ59" s="56"/>
      <c r="AS59">
        <f t="shared" si="30"/>
        <v>0</v>
      </c>
    </row>
    <row r="60" spans="1:45" x14ac:dyDescent="0.25">
      <c r="A60" s="46"/>
      <c r="B60" s="18" t="s">
        <v>4</v>
      </c>
      <c r="C60" s="56"/>
      <c r="D60" s="57"/>
      <c r="E60" s="57"/>
      <c r="F60" s="57"/>
      <c r="G60" s="57"/>
      <c r="H60" s="57"/>
      <c r="I60" s="57"/>
      <c r="J60" s="57"/>
      <c r="K60" s="57"/>
      <c r="L60" s="65"/>
      <c r="M60" s="18" t="s">
        <v>4</v>
      </c>
      <c r="N60" s="57"/>
      <c r="O60" s="57"/>
      <c r="P60" s="57"/>
      <c r="Q60" s="57"/>
      <c r="R60" s="56"/>
      <c r="S60" s="56"/>
      <c r="T60" s="57"/>
      <c r="U60" s="57"/>
      <c r="V60" s="57"/>
      <c r="W60" s="57"/>
      <c r="X60" s="57"/>
      <c r="Y60" s="57"/>
      <c r="Z60" s="57"/>
      <c r="AA60" s="57"/>
      <c r="AB60" s="57"/>
      <c r="AC60" s="56"/>
      <c r="AD60" s="56"/>
      <c r="AE60" s="56"/>
      <c r="AF60" s="56"/>
      <c r="AG60" s="56"/>
      <c r="AH60" s="56"/>
      <c r="AI60" s="56"/>
      <c r="AJ60" s="65"/>
      <c r="AK60" s="18" t="s">
        <v>4</v>
      </c>
      <c r="AL60" s="56"/>
      <c r="AM60" s="56"/>
      <c r="AN60" s="56"/>
      <c r="AO60" s="56"/>
      <c r="AP60" s="56"/>
      <c r="AQ60" s="56"/>
      <c r="AS60">
        <f t="shared" si="30"/>
        <v>144</v>
      </c>
    </row>
    <row r="61" spans="1:45" x14ac:dyDescent="0.25">
      <c r="A61" s="46"/>
      <c r="B61" s="20" t="s">
        <v>5</v>
      </c>
      <c r="C61" s="56">
        <v>11</v>
      </c>
      <c r="D61" s="57">
        <v>20</v>
      </c>
      <c r="E61" s="57">
        <v>31</v>
      </c>
      <c r="F61" s="57">
        <v>0</v>
      </c>
      <c r="G61" s="57">
        <v>10</v>
      </c>
      <c r="H61" s="57">
        <v>12</v>
      </c>
      <c r="I61" s="57">
        <v>21</v>
      </c>
      <c r="J61" s="57">
        <v>5</v>
      </c>
      <c r="K61" s="57">
        <v>5</v>
      </c>
      <c r="L61" s="65"/>
      <c r="M61" s="18" t="s">
        <v>5</v>
      </c>
      <c r="N61" s="57">
        <v>3</v>
      </c>
      <c r="O61" s="57">
        <v>6</v>
      </c>
      <c r="P61" s="57">
        <v>5</v>
      </c>
      <c r="Q61" s="57">
        <v>12</v>
      </c>
      <c r="R61" s="56">
        <v>7</v>
      </c>
      <c r="S61" s="56">
        <v>1</v>
      </c>
      <c r="T61" s="57">
        <v>6</v>
      </c>
      <c r="U61" s="57">
        <v>4</v>
      </c>
      <c r="V61" s="57">
        <v>3</v>
      </c>
      <c r="W61" s="57">
        <v>7</v>
      </c>
      <c r="X61" s="57">
        <v>9</v>
      </c>
      <c r="Y61" s="57">
        <v>2</v>
      </c>
      <c r="Z61" s="57">
        <v>6</v>
      </c>
      <c r="AA61" s="57">
        <v>5</v>
      </c>
      <c r="AB61" s="57">
        <v>5</v>
      </c>
      <c r="AC61" s="56">
        <v>14</v>
      </c>
      <c r="AD61" s="56">
        <v>12</v>
      </c>
      <c r="AE61" s="56">
        <v>9</v>
      </c>
      <c r="AF61" s="56">
        <v>13</v>
      </c>
      <c r="AG61" s="56">
        <v>13</v>
      </c>
      <c r="AH61" s="56">
        <v>1</v>
      </c>
      <c r="AI61" s="56">
        <v>1</v>
      </c>
      <c r="AJ61" s="65"/>
      <c r="AK61" s="18" t="s">
        <v>5</v>
      </c>
      <c r="AL61" s="56">
        <v>6</v>
      </c>
      <c r="AM61" s="56">
        <v>3</v>
      </c>
      <c r="AN61" s="56">
        <v>4</v>
      </c>
      <c r="AO61" s="56">
        <v>3</v>
      </c>
      <c r="AP61" s="56">
        <v>0</v>
      </c>
      <c r="AQ61" s="56"/>
      <c r="AS61">
        <f t="shared" si="30"/>
        <v>0</v>
      </c>
    </row>
    <row r="62" spans="1:45" x14ac:dyDescent="0.25">
      <c r="A62" s="46"/>
      <c r="B62" s="20" t="s">
        <v>6</v>
      </c>
      <c r="C62" s="56"/>
      <c r="D62" s="57"/>
      <c r="E62" s="57"/>
      <c r="F62" s="57"/>
      <c r="G62" s="57"/>
      <c r="H62" s="57"/>
      <c r="I62" s="57"/>
      <c r="J62" s="57"/>
      <c r="K62" s="57"/>
      <c r="L62" s="65"/>
      <c r="M62" s="18" t="s">
        <v>6</v>
      </c>
      <c r="N62" s="57"/>
      <c r="O62" s="57"/>
      <c r="P62" s="57"/>
      <c r="Q62" s="57"/>
      <c r="R62" s="56"/>
      <c r="S62" s="56"/>
      <c r="T62" s="57"/>
      <c r="U62" s="57"/>
      <c r="V62" s="57"/>
      <c r="W62" s="57"/>
      <c r="X62" s="57"/>
      <c r="Y62" s="57"/>
      <c r="Z62" s="57"/>
      <c r="AA62" s="57"/>
      <c r="AB62" s="57"/>
      <c r="AC62" s="56"/>
      <c r="AD62" s="56"/>
      <c r="AE62" s="56"/>
      <c r="AF62" s="56"/>
      <c r="AG62" s="56"/>
      <c r="AH62" s="56"/>
      <c r="AI62" s="56"/>
      <c r="AJ62" s="65"/>
      <c r="AK62" s="18" t="s">
        <v>7</v>
      </c>
      <c r="AL62" s="56">
        <v>1</v>
      </c>
      <c r="AM62" s="56">
        <v>5</v>
      </c>
      <c r="AN62" s="56">
        <v>4</v>
      </c>
      <c r="AO62" s="56">
        <v>11</v>
      </c>
      <c r="AP62" s="56">
        <v>4</v>
      </c>
      <c r="AQ62" s="56"/>
      <c r="AS62">
        <f t="shared" si="30"/>
        <v>145</v>
      </c>
    </row>
    <row r="63" spans="1:45" x14ac:dyDescent="0.25">
      <c r="A63" s="46"/>
      <c r="B63" s="20" t="s">
        <v>7</v>
      </c>
      <c r="C63" s="56">
        <v>7</v>
      </c>
      <c r="D63" s="57">
        <v>11</v>
      </c>
      <c r="E63" s="57">
        <v>11</v>
      </c>
      <c r="F63" s="57">
        <v>11</v>
      </c>
      <c r="G63" s="57">
        <v>7</v>
      </c>
      <c r="H63" s="57">
        <v>12</v>
      </c>
      <c r="I63" s="57">
        <v>23</v>
      </c>
      <c r="J63" s="57">
        <v>3</v>
      </c>
      <c r="K63" s="57">
        <v>9</v>
      </c>
      <c r="L63" s="65"/>
      <c r="M63" s="18" t="s">
        <v>7</v>
      </c>
      <c r="N63" s="56">
        <v>1</v>
      </c>
      <c r="O63" s="56">
        <v>1</v>
      </c>
      <c r="P63" s="56">
        <v>0</v>
      </c>
      <c r="Q63" s="56">
        <v>12</v>
      </c>
      <c r="R63" s="56">
        <v>4</v>
      </c>
      <c r="S63" s="56">
        <v>4</v>
      </c>
      <c r="T63" s="57">
        <v>28</v>
      </c>
      <c r="U63" s="57">
        <v>2</v>
      </c>
      <c r="V63" s="57">
        <v>29</v>
      </c>
      <c r="W63" s="57">
        <v>4</v>
      </c>
      <c r="X63" s="57">
        <v>3</v>
      </c>
      <c r="Y63" s="57">
        <v>4</v>
      </c>
      <c r="Z63" s="57">
        <v>9</v>
      </c>
      <c r="AA63" s="57">
        <v>1</v>
      </c>
      <c r="AB63" s="57">
        <v>2</v>
      </c>
      <c r="AC63" s="56">
        <v>1</v>
      </c>
      <c r="AD63" s="56">
        <v>6</v>
      </c>
      <c r="AE63" s="56">
        <v>9</v>
      </c>
      <c r="AF63" s="56">
        <v>11</v>
      </c>
      <c r="AG63" s="56">
        <v>3</v>
      </c>
      <c r="AH63" s="56">
        <v>0</v>
      </c>
      <c r="AI63" s="56">
        <v>11</v>
      </c>
      <c r="AJ63" s="65"/>
      <c r="AK63" s="18" t="s">
        <v>8</v>
      </c>
      <c r="AL63" s="56"/>
      <c r="AM63" s="56"/>
      <c r="AN63" s="56"/>
      <c r="AO63" s="56"/>
      <c r="AP63" s="56"/>
      <c r="AQ63" s="56"/>
      <c r="AS63">
        <f t="shared" si="30"/>
        <v>0</v>
      </c>
    </row>
    <row r="64" spans="1:45" x14ac:dyDescent="0.25">
      <c r="A64" s="49" t="s">
        <v>20</v>
      </c>
      <c r="B64" s="20" t="s">
        <v>10</v>
      </c>
      <c r="C64" s="56"/>
      <c r="D64" s="57"/>
      <c r="E64" s="57"/>
      <c r="F64" s="57"/>
      <c r="G64" s="57"/>
      <c r="H64" s="57"/>
      <c r="I64" s="57"/>
      <c r="J64" s="57"/>
      <c r="K64" s="57"/>
      <c r="L64" s="66" t="e">
        <f>+#REF!</f>
        <v>#REF!</v>
      </c>
      <c r="M64" s="18" t="s">
        <v>10</v>
      </c>
      <c r="N64" s="56"/>
      <c r="O64" s="56"/>
      <c r="P64" s="56"/>
      <c r="Q64" s="56"/>
      <c r="R64" s="56"/>
      <c r="S64" s="56"/>
      <c r="T64" s="57"/>
      <c r="U64" s="57"/>
      <c r="V64" s="57"/>
      <c r="W64" s="57"/>
      <c r="X64" s="57"/>
      <c r="Y64" s="57"/>
      <c r="Z64" s="57"/>
      <c r="AA64" s="57"/>
      <c r="AB64" s="57"/>
      <c r="AC64" s="56"/>
      <c r="AD64" s="56"/>
      <c r="AE64" s="56"/>
      <c r="AF64" s="56"/>
      <c r="AG64" s="56"/>
      <c r="AH64" s="56"/>
      <c r="AI64" s="56"/>
      <c r="AJ64" s="66" t="e">
        <f>+L64</f>
        <v>#REF!</v>
      </c>
      <c r="AK64" s="18" t="s">
        <v>11</v>
      </c>
      <c r="AL64" s="56">
        <v>7</v>
      </c>
      <c r="AM64" s="56">
        <v>7</v>
      </c>
      <c r="AN64" s="56">
        <v>10</v>
      </c>
      <c r="AO64" s="56">
        <v>2</v>
      </c>
      <c r="AP64" s="56">
        <v>5</v>
      </c>
      <c r="AQ64" s="56"/>
      <c r="AS64">
        <f t="shared" si="30"/>
        <v>140</v>
      </c>
    </row>
    <row r="65" spans="1:45" x14ac:dyDescent="0.25">
      <c r="A65" s="49"/>
      <c r="B65" s="20" t="s">
        <v>11</v>
      </c>
      <c r="C65" s="56">
        <v>3</v>
      </c>
      <c r="D65" s="57">
        <v>6</v>
      </c>
      <c r="E65" s="57">
        <v>12</v>
      </c>
      <c r="F65" s="57">
        <v>30</v>
      </c>
      <c r="G65" s="57">
        <v>5</v>
      </c>
      <c r="H65" s="57">
        <v>9</v>
      </c>
      <c r="I65" s="57">
        <v>4</v>
      </c>
      <c r="J65" s="57">
        <v>1</v>
      </c>
      <c r="K65" s="57">
        <v>4</v>
      </c>
      <c r="L65" s="66"/>
      <c r="M65" s="18" t="s">
        <v>11</v>
      </c>
      <c r="N65" s="56">
        <v>0</v>
      </c>
      <c r="O65" s="56">
        <v>2</v>
      </c>
      <c r="P65" s="56">
        <v>0</v>
      </c>
      <c r="Q65" s="56">
        <v>9</v>
      </c>
      <c r="R65" s="56">
        <v>8</v>
      </c>
      <c r="S65" s="56">
        <v>8</v>
      </c>
      <c r="T65" s="57">
        <v>1</v>
      </c>
      <c r="U65" s="57">
        <v>2</v>
      </c>
      <c r="V65" s="57">
        <v>9</v>
      </c>
      <c r="W65" s="57">
        <v>30</v>
      </c>
      <c r="X65" s="57">
        <v>6</v>
      </c>
      <c r="Y65" s="57">
        <v>4</v>
      </c>
      <c r="Z65" s="57">
        <v>3</v>
      </c>
      <c r="AA65" s="57">
        <v>12</v>
      </c>
      <c r="AB65" s="57">
        <v>4</v>
      </c>
      <c r="AC65" s="56">
        <v>8</v>
      </c>
      <c r="AD65" s="56">
        <v>2</v>
      </c>
      <c r="AE65" s="56">
        <v>11</v>
      </c>
      <c r="AF65" s="56">
        <v>5</v>
      </c>
      <c r="AG65" s="56">
        <v>6</v>
      </c>
      <c r="AH65" s="56">
        <v>4</v>
      </c>
      <c r="AI65" s="56">
        <v>6</v>
      </c>
      <c r="AJ65" s="66"/>
      <c r="AK65" s="18" t="s">
        <v>12</v>
      </c>
      <c r="AL65" s="56"/>
      <c r="AM65" s="56"/>
      <c r="AN65" s="56"/>
      <c r="AO65" s="56"/>
      <c r="AP65" s="56"/>
      <c r="AQ65" s="56"/>
    </row>
    <row r="66" spans="1:45" x14ac:dyDescent="0.25">
      <c r="A66" s="49"/>
      <c r="B66" s="20" t="s">
        <v>12</v>
      </c>
      <c r="C66" s="56"/>
      <c r="D66" s="57"/>
      <c r="E66" s="57"/>
      <c r="F66" s="57"/>
      <c r="G66" s="57"/>
      <c r="H66" s="57"/>
      <c r="I66" s="57"/>
      <c r="J66" s="57"/>
      <c r="K66" s="57"/>
      <c r="L66" s="66"/>
      <c r="M66" s="18" t="s">
        <v>12</v>
      </c>
      <c r="N66" s="56"/>
      <c r="O66" s="56"/>
      <c r="P66" s="56"/>
      <c r="Q66" s="56"/>
      <c r="R66" s="56"/>
      <c r="S66" s="56"/>
      <c r="T66" s="57"/>
      <c r="U66" s="57"/>
      <c r="V66" s="57"/>
      <c r="W66" s="57"/>
      <c r="X66" s="57"/>
      <c r="Y66" s="57"/>
      <c r="Z66" s="57"/>
      <c r="AA66" s="57"/>
      <c r="AB66" s="57"/>
      <c r="AC66" s="56"/>
      <c r="AD66" s="56"/>
      <c r="AE66" s="56"/>
      <c r="AF66" s="56"/>
      <c r="AG66" s="56"/>
      <c r="AH66" s="56"/>
      <c r="AI66" s="56"/>
      <c r="AJ66" s="66"/>
      <c r="AK66" s="18" t="s">
        <v>13</v>
      </c>
      <c r="AL66" s="56">
        <v>85</v>
      </c>
      <c r="AM66" s="56">
        <v>121</v>
      </c>
      <c r="AN66" s="56">
        <v>99</v>
      </c>
      <c r="AO66" s="56">
        <v>124</v>
      </c>
      <c r="AP66" s="56">
        <v>135</v>
      </c>
      <c r="AQ66" s="56"/>
    </row>
    <row r="67" spans="1:45" x14ac:dyDescent="0.25">
      <c r="A67" s="49"/>
      <c r="B67" s="20" t="s">
        <v>13</v>
      </c>
      <c r="C67" s="56">
        <v>129</v>
      </c>
      <c r="D67" s="57">
        <v>120</v>
      </c>
      <c r="E67" s="57">
        <v>85</v>
      </c>
      <c r="F67" s="57">
        <v>116</v>
      </c>
      <c r="G67" s="57">
        <v>123</v>
      </c>
      <c r="H67" s="57">
        <v>97</v>
      </c>
      <c r="I67" s="57">
        <v>97</v>
      </c>
      <c r="J67" s="57">
        <v>105</v>
      </c>
      <c r="K67" s="57">
        <v>132</v>
      </c>
      <c r="L67" s="66"/>
      <c r="M67" s="18" t="s">
        <v>13</v>
      </c>
      <c r="N67" s="56">
        <v>145</v>
      </c>
      <c r="O67" s="56">
        <v>136</v>
      </c>
      <c r="P67" s="56">
        <v>134</v>
      </c>
      <c r="Q67" s="56">
        <v>138</v>
      </c>
      <c r="R67" s="56">
        <v>139</v>
      </c>
      <c r="S67" s="56">
        <v>151</v>
      </c>
      <c r="T67" s="56">
        <v>106</v>
      </c>
      <c r="U67" s="56">
        <v>133</v>
      </c>
      <c r="V67" s="56">
        <v>115</v>
      </c>
      <c r="W67" s="56">
        <v>114</v>
      </c>
      <c r="X67" s="56">
        <v>122</v>
      </c>
      <c r="Y67" s="56">
        <v>139</v>
      </c>
      <c r="Z67" s="56">
        <v>121</v>
      </c>
      <c r="AA67" s="56">
        <v>105</v>
      </c>
      <c r="AB67" s="56">
        <v>133</v>
      </c>
      <c r="AC67" s="56">
        <v>119</v>
      </c>
      <c r="AD67" s="56">
        <v>109</v>
      </c>
      <c r="AE67" s="56">
        <v>96</v>
      </c>
      <c r="AF67" s="56">
        <v>69</v>
      </c>
      <c r="AG67" s="56">
        <v>118</v>
      </c>
      <c r="AH67" s="56">
        <v>151</v>
      </c>
      <c r="AI67" s="56">
        <v>131</v>
      </c>
      <c r="AJ67" s="66"/>
      <c r="AK67" s="18" t="s">
        <v>14</v>
      </c>
      <c r="AL67" s="56">
        <v>258</v>
      </c>
      <c r="AM67" s="56">
        <v>280</v>
      </c>
      <c r="AN67" s="56">
        <v>279</v>
      </c>
      <c r="AO67" s="56">
        <v>290</v>
      </c>
      <c r="AP67" s="56">
        <v>293</v>
      </c>
      <c r="AQ67" s="56"/>
    </row>
    <row r="68" spans="1:45" ht="15.75" thickBot="1" x14ac:dyDescent="0.3">
      <c r="A68" s="49"/>
      <c r="B68" s="20" t="s">
        <v>14</v>
      </c>
      <c r="C68" s="56">
        <v>304</v>
      </c>
      <c r="D68" s="57">
        <v>300</v>
      </c>
      <c r="E68" s="57">
        <v>248</v>
      </c>
      <c r="F68" s="57">
        <v>296</v>
      </c>
      <c r="G68" s="57">
        <v>309</v>
      </c>
      <c r="H68" s="57">
        <v>272</v>
      </c>
      <c r="I68" s="57">
        <v>289</v>
      </c>
      <c r="J68" s="57">
        <v>289</v>
      </c>
      <c r="K68" s="57">
        <v>299</v>
      </c>
      <c r="L68" s="66"/>
      <c r="M68" s="18" t="s">
        <v>14</v>
      </c>
      <c r="N68" s="56">
        <v>336</v>
      </c>
      <c r="O68" s="56">
        <v>350</v>
      </c>
      <c r="P68" s="56">
        <v>320</v>
      </c>
      <c r="Q68" s="56">
        <v>350</v>
      </c>
      <c r="R68" s="56">
        <v>350</v>
      </c>
      <c r="S68" s="56">
        <v>340</v>
      </c>
      <c r="T68" s="56">
        <v>290</v>
      </c>
      <c r="U68" s="56">
        <v>304</v>
      </c>
      <c r="V68" s="56">
        <v>306</v>
      </c>
      <c r="W68" s="56">
        <v>305</v>
      </c>
      <c r="X68" s="56">
        <v>289</v>
      </c>
      <c r="Y68" s="56">
        <v>307</v>
      </c>
      <c r="Z68" s="56">
        <v>294</v>
      </c>
      <c r="AA68" s="56">
        <v>293</v>
      </c>
      <c r="AB68" s="56">
        <v>298</v>
      </c>
      <c r="AC68" s="56">
        <v>295</v>
      </c>
      <c r="AD68" s="56">
        <v>303</v>
      </c>
      <c r="AE68" s="56">
        <v>292</v>
      </c>
      <c r="AF68" s="56">
        <v>260</v>
      </c>
      <c r="AG68" s="56">
        <v>355</v>
      </c>
      <c r="AH68" s="56">
        <v>331</v>
      </c>
      <c r="AI68" s="56">
        <v>350</v>
      </c>
      <c r="AJ68" s="77"/>
      <c r="AK68" s="29"/>
      <c r="AL68" s="56"/>
      <c r="AM68" s="56"/>
      <c r="AN68" s="56"/>
      <c r="AO68" s="56"/>
      <c r="AP68" s="56"/>
      <c r="AQ68" s="56"/>
    </row>
    <row r="69" spans="1:45" x14ac:dyDescent="0.25">
      <c r="A69" s="44">
        <f>A58+1</f>
        <v>46086</v>
      </c>
      <c r="B69" s="7" t="s">
        <v>1</v>
      </c>
      <c r="C69" s="74">
        <v>201</v>
      </c>
      <c r="D69" s="74">
        <f t="shared" ref="D69:H69" si="31">+C69+1</f>
        <v>202</v>
      </c>
      <c r="E69" s="74">
        <f t="shared" si="31"/>
        <v>203</v>
      </c>
      <c r="F69" s="74">
        <f t="shared" si="31"/>
        <v>204</v>
      </c>
      <c r="G69" s="74">
        <f t="shared" si="31"/>
        <v>205</v>
      </c>
      <c r="H69" s="74">
        <f t="shared" si="31"/>
        <v>206</v>
      </c>
      <c r="I69" s="74">
        <v>213</v>
      </c>
      <c r="J69" s="74">
        <f>+I69+1</f>
        <v>214</v>
      </c>
      <c r="K69" s="74">
        <f>+J69+1</f>
        <v>215</v>
      </c>
      <c r="L69" s="59">
        <f>A69</f>
        <v>46086</v>
      </c>
      <c r="M69" s="7" t="s">
        <v>1</v>
      </c>
      <c r="N69" s="74">
        <v>299</v>
      </c>
      <c r="O69" s="74">
        <f t="shared" ref="O69:X69" si="32">+N69+1</f>
        <v>300</v>
      </c>
      <c r="P69" s="74">
        <f t="shared" si="32"/>
        <v>301</v>
      </c>
      <c r="Q69" s="74">
        <f t="shared" si="32"/>
        <v>302</v>
      </c>
      <c r="R69" s="74">
        <f t="shared" si="32"/>
        <v>303</v>
      </c>
      <c r="S69" s="74">
        <f t="shared" si="32"/>
        <v>304</v>
      </c>
      <c r="T69" s="74">
        <f t="shared" si="32"/>
        <v>305</v>
      </c>
      <c r="U69" s="74">
        <f t="shared" si="32"/>
        <v>306</v>
      </c>
      <c r="V69" s="74">
        <f t="shared" si="32"/>
        <v>307</v>
      </c>
      <c r="W69" s="74">
        <f t="shared" si="32"/>
        <v>308</v>
      </c>
      <c r="X69" s="74">
        <f t="shared" si="32"/>
        <v>309</v>
      </c>
      <c r="Y69" s="74">
        <f>+X69+1</f>
        <v>310</v>
      </c>
      <c r="Z69" s="74">
        <f t="shared" ref="Z69:AB69" si="33">+Y69+1</f>
        <v>311</v>
      </c>
      <c r="AA69" s="74">
        <f t="shared" si="33"/>
        <v>312</v>
      </c>
      <c r="AB69" s="74">
        <f t="shared" si="33"/>
        <v>313</v>
      </c>
      <c r="AC69" s="74">
        <f>+AB69+1</f>
        <v>314</v>
      </c>
      <c r="AD69" s="74">
        <f t="shared" ref="AD69:AI69" si="34">+AC69+1</f>
        <v>315</v>
      </c>
      <c r="AE69" s="74">
        <f t="shared" si="34"/>
        <v>316</v>
      </c>
      <c r="AF69" s="74">
        <f t="shared" si="34"/>
        <v>317</v>
      </c>
      <c r="AG69" s="74">
        <f t="shared" si="34"/>
        <v>318</v>
      </c>
      <c r="AH69" s="74">
        <f t="shared" si="34"/>
        <v>319</v>
      </c>
      <c r="AI69" s="74">
        <f t="shared" si="34"/>
        <v>320</v>
      </c>
      <c r="AJ69" s="59">
        <f>L69</f>
        <v>46086</v>
      </c>
      <c r="AK69" s="11" t="s">
        <v>1</v>
      </c>
      <c r="AL69" s="74">
        <v>207</v>
      </c>
      <c r="AM69" s="74">
        <f>+AL69+1</f>
        <v>208</v>
      </c>
      <c r="AN69" s="74">
        <f>+AM69+1</f>
        <v>209</v>
      </c>
      <c r="AO69" s="74">
        <f>+AN69+1</f>
        <v>210</v>
      </c>
      <c r="AP69" s="74">
        <f>+AO69+1</f>
        <v>211</v>
      </c>
      <c r="AQ69" s="74">
        <f>+AP69+1</f>
        <v>212</v>
      </c>
    </row>
    <row r="70" spans="1:45" x14ac:dyDescent="0.25">
      <c r="A70" s="41"/>
      <c r="B70" s="20" t="s">
        <v>2</v>
      </c>
      <c r="C70" s="56">
        <f t="shared" ref="C70:K70" si="35">(C79*100000)/(C80*60*8)</f>
        <v>94.57236842105263</v>
      </c>
      <c r="D70" s="56">
        <f t="shared" si="35"/>
        <v>87.5</v>
      </c>
      <c r="E70" s="56">
        <f t="shared" si="35"/>
        <v>96.606182795698928</v>
      </c>
      <c r="F70" s="56">
        <f t="shared" si="35"/>
        <v>80.940315315315317</v>
      </c>
      <c r="G70" s="56">
        <f t="shared" si="35"/>
        <v>76.860841423948216</v>
      </c>
      <c r="H70" s="56">
        <f t="shared" si="35"/>
        <v>78.125</v>
      </c>
      <c r="I70" s="56">
        <f t="shared" si="35"/>
        <v>62.716262975778548</v>
      </c>
      <c r="J70" s="56">
        <f t="shared" si="35"/>
        <v>59.832756632064587</v>
      </c>
      <c r="K70" s="62">
        <f t="shared" si="35"/>
        <v>86.399108138238574</v>
      </c>
      <c r="L70" s="54"/>
      <c r="M70" s="18" t="s">
        <v>2</v>
      </c>
      <c r="N70" s="62">
        <f>(N79*100000)/(N80*60*8)</f>
        <v>92.385912698412696</v>
      </c>
      <c r="O70" s="62">
        <f t="shared" ref="O70:S70" si="36">(O79*100000)/(O80*60*8)</f>
        <v>77.38095238095238</v>
      </c>
      <c r="P70" s="62">
        <f t="shared" si="36"/>
        <v>82.03125</v>
      </c>
      <c r="Q70" s="62">
        <f t="shared" si="36"/>
        <v>77.38095238095238</v>
      </c>
      <c r="R70" s="62">
        <f t="shared" si="36"/>
        <v>87.5</v>
      </c>
      <c r="S70" s="62">
        <f t="shared" si="36"/>
        <v>93.137254901960787</v>
      </c>
      <c r="T70" s="62">
        <f>(T79*100000)/(T80*60*8)</f>
        <v>82.614942528735625</v>
      </c>
      <c r="U70" s="62">
        <f>(U79*100000)/(U80*60*8)</f>
        <v>60.307017543859651</v>
      </c>
      <c r="V70" s="62">
        <f t="shared" ref="V70:AI70" si="37">(V79*100000)/(V80*60*8)</f>
        <v>83.061002178649233</v>
      </c>
      <c r="W70" s="62">
        <f t="shared" si="37"/>
        <v>88.797814207650276</v>
      </c>
      <c r="X70" s="62">
        <f t="shared" si="37"/>
        <v>85.784313725490193</v>
      </c>
      <c r="Y70" s="62">
        <f t="shared" si="37"/>
        <v>68.539630836047778</v>
      </c>
      <c r="Z70" s="62">
        <f t="shared" si="37"/>
        <v>86.451247165532877</v>
      </c>
      <c r="AA70" s="62">
        <f t="shared" si="37"/>
        <v>85.324232081911262</v>
      </c>
      <c r="AB70" s="62">
        <f t="shared" si="37"/>
        <v>83.892617449664428</v>
      </c>
      <c r="AC70" s="62">
        <f t="shared" si="37"/>
        <v>86.86440677966101</v>
      </c>
      <c r="AD70" s="62">
        <f t="shared" si="37"/>
        <v>59.130913091309132</v>
      </c>
      <c r="AE70" s="62">
        <f t="shared" si="37"/>
        <v>75.62785388127854</v>
      </c>
      <c r="AF70" s="62">
        <f t="shared" si="37"/>
        <v>10.416666666666666</v>
      </c>
      <c r="AG70" s="62">
        <f t="shared" si="37"/>
        <v>72.769953051643199</v>
      </c>
      <c r="AH70" s="62">
        <f t="shared" si="37"/>
        <v>96.299093655589118</v>
      </c>
      <c r="AI70" s="62">
        <f t="shared" si="37"/>
        <v>83.928571428571431</v>
      </c>
      <c r="AJ70" s="54"/>
      <c r="AK70" s="18" t="s">
        <v>2</v>
      </c>
      <c r="AL70" s="56">
        <f>(AL78*100000)/(AL79*60*8)</f>
        <v>74.289405684754527</v>
      </c>
      <c r="AM70" s="56">
        <f t="shared" ref="AM70:AP70" si="38">(AM78*100000)/(AM79*60*8)</f>
        <v>89.285714285714292</v>
      </c>
      <c r="AN70" s="56">
        <f t="shared" si="38"/>
        <v>77.658303464755079</v>
      </c>
      <c r="AO70" s="56">
        <f t="shared" si="38"/>
        <v>91.954022988505741</v>
      </c>
      <c r="AP70" s="56">
        <f t="shared" si="38"/>
        <v>86.035267349260522</v>
      </c>
      <c r="AQ70" s="56"/>
      <c r="AS70" s="30">
        <f>SUM(N71:AI71)</f>
        <v>243</v>
      </c>
    </row>
    <row r="71" spans="1:45" x14ac:dyDescent="0.25">
      <c r="A71" s="41"/>
      <c r="B71" s="20" t="s">
        <v>3</v>
      </c>
      <c r="C71" s="56">
        <v>8</v>
      </c>
      <c r="D71" s="56">
        <v>6</v>
      </c>
      <c r="E71" s="57">
        <v>5</v>
      </c>
      <c r="F71" s="57">
        <v>21</v>
      </c>
      <c r="G71" s="57">
        <v>10</v>
      </c>
      <c r="H71" s="57">
        <v>1</v>
      </c>
      <c r="I71" s="57">
        <v>8</v>
      </c>
      <c r="J71" s="57">
        <v>0</v>
      </c>
      <c r="K71" s="57">
        <v>2</v>
      </c>
      <c r="L71" s="54"/>
      <c r="M71" s="18" t="s">
        <v>3</v>
      </c>
      <c r="N71" s="57">
        <v>3</v>
      </c>
      <c r="O71" s="57">
        <v>30</v>
      </c>
      <c r="P71" s="57">
        <v>45</v>
      </c>
      <c r="Q71" s="57">
        <v>2</v>
      </c>
      <c r="R71" s="57">
        <v>1</v>
      </c>
      <c r="S71" s="57">
        <v>4</v>
      </c>
      <c r="T71" s="57">
        <v>3</v>
      </c>
      <c r="U71" s="57">
        <v>10</v>
      </c>
      <c r="V71" s="57">
        <v>9</v>
      </c>
      <c r="W71" s="57"/>
      <c r="X71" s="57">
        <v>12</v>
      </c>
      <c r="Y71" s="57">
        <v>65</v>
      </c>
      <c r="Z71" s="57">
        <v>3</v>
      </c>
      <c r="AA71" s="57">
        <v>21</v>
      </c>
      <c r="AB71" s="57">
        <v>2</v>
      </c>
      <c r="AC71" s="57">
        <v>4</v>
      </c>
      <c r="AD71" s="57">
        <v>8</v>
      </c>
      <c r="AE71" s="57">
        <v>13</v>
      </c>
      <c r="AF71" s="57">
        <v>0</v>
      </c>
      <c r="AG71" s="56">
        <v>2</v>
      </c>
      <c r="AH71" s="56">
        <v>4</v>
      </c>
      <c r="AI71" s="56">
        <v>2</v>
      </c>
      <c r="AJ71" s="54"/>
      <c r="AK71" s="18" t="s">
        <v>3</v>
      </c>
      <c r="AL71" s="56">
        <v>16</v>
      </c>
      <c r="AM71" s="56">
        <v>2</v>
      </c>
      <c r="AN71" s="56">
        <v>17</v>
      </c>
      <c r="AO71" s="56">
        <v>5</v>
      </c>
      <c r="AP71" s="56">
        <v>5</v>
      </c>
      <c r="AQ71" s="56"/>
      <c r="AS71" s="30">
        <f t="shared" ref="AS71:AS76" si="39">SUM(N72:AI72)</f>
        <v>0</v>
      </c>
    </row>
    <row r="72" spans="1:45" x14ac:dyDescent="0.25">
      <c r="A72" s="41"/>
      <c r="B72" s="18" t="s">
        <v>4</v>
      </c>
      <c r="C72" s="56"/>
      <c r="D72" s="56"/>
      <c r="E72" s="57"/>
      <c r="F72" s="57"/>
      <c r="G72" s="57"/>
      <c r="H72" s="57"/>
      <c r="I72" s="57"/>
      <c r="J72" s="57"/>
      <c r="K72" s="57"/>
      <c r="L72" s="54"/>
      <c r="M72" s="18" t="s">
        <v>4</v>
      </c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6"/>
      <c r="AH72" s="56"/>
      <c r="AI72" s="56"/>
      <c r="AJ72" s="54"/>
      <c r="AK72" s="18" t="s">
        <v>4</v>
      </c>
      <c r="AL72" s="56"/>
      <c r="AM72" s="56"/>
      <c r="AN72" s="56"/>
      <c r="AO72" s="56"/>
      <c r="AP72" s="56"/>
      <c r="AQ72" s="56"/>
      <c r="AS72" s="30">
        <f t="shared" si="39"/>
        <v>171</v>
      </c>
    </row>
    <row r="73" spans="1:45" x14ac:dyDescent="0.25">
      <c r="A73" s="41"/>
      <c r="B73" s="20" t="s">
        <v>5</v>
      </c>
      <c r="C73" s="56">
        <v>10</v>
      </c>
      <c r="D73" s="56">
        <v>12</v>
      </c>
      <c r="E73" s="57">
        <v>11</v>
      </c>
      <c r="F73" s="57">
        <v>6</v>
      </c>
      <c r="G73" s="57">
        <v>11</v>
      </c>
      <c r="H73" s="57">
        <v>9</v>
      </c>
      <c r="I73" s="57">
        <v>19</v>
      </c>
      <c r="J73" s="57">
        <v>1</v>
      </c>
      <c r="K73" s="57">
        <v>9</v>
      </c>
      <c r="L73" s="54"/>
      <c r="M73" s="18" t="s">
        <v>5</v>
      </c>
      <c r="N73" s="57">
        <v>2</v>
      </c>
      <c r="O73" s="57">
        <v>4</v>
      </c>
      <c r="P73" s="57">
        <v>1</v>
      </c>
      <c r="Q73" s="57">
        <v>44</v>
      </c>
      <c r="R73" s="57">
        <v>4</v>
      </c>
      <c r="S73" s="57">
        <v>1</v>
      </c>
      <c r="T73" s="57">
        <v>2</v>
      </c>
      <c r="U73" s="57">
        <v>2</v>
      </c>
      <c r="V73" s="57">
        <v>12</v>
      </c>
      <c r="W73" s="57"/>
      <c r="X73" s="57">
        <v>8</v>
      </c>
      <c r="Y73" s="57">
        <v>9</v>
      </c>
      <c r="Z73" s="57">
        <v>13</v>
      </c>
      <c r="AA73" s="57">
        <v>17</v>
      </c>
      <c r="AB73" s="57">
        <v>6</v>
      </c>
      <c r="AC73" s="57">
        <v>4</v>
      </c>
      <c r="AD73" s="57">
        <v>22</v>
      </c>
      <c r="AE73" s="57">
        <v>2</v>
      </c>
      <c r="AF73" s="57">
        <v>1</v>
      </c>
      <c r="AG73" s="56">
        <v>11</v>
      </c>
      <c r="AH73" s="56">
        <v>2</v>
      </c>
      <c r="AI73" s="56">
        <v>4</v>
      </c>
      <c r="AJ73" s="54"/>
      <c r="AK73" s="18" t="s">
        <v>5</v>
      </c>
      <c r="AL73" s="56">
        <v>1</v>
      </c>
      <c r="AM73" s="56">
        <v>2</v>
      </c>
      <c r="AN73" s="56">
        <v>1</v>
      </c>
      <c r="AO73" s="56">
        <v>0</v>
      </c>
      <c r="AP73" s="56">
        <v>2</v>
      </c>
      <c r="AQ73" s="56"/>
      <c r="AS73" s="30">
        <f t="shared" si="39"/>
        <v>0</v>
      </c>
    </row>
    <row r="74" spans="1:45" x14ac:dyDescent="0.25">
      <c r="A74" s="41"/>
      <c r="B74" s="20" t="s">
        <v>6</v>
      </c>
      <c r="C74" s="56"/>
      <c r="D74" s="56"/>
      <c r="E74" s="57"/>
      <c r="F74" s="57"/>
      <c r="G74" s="57"/>
      <c r="H74" s="57"/>
      <c r="I74" s="57"/>
      <c r="J74" s="57"/>
      <c r="K74" s="57"/>
      <c r="L74" s="54"/>
      <c r="M74" s="18" t="s">
        <v>6</v>
      </c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6"/>
      <c r="AH74" s="56"/>
      <c r="AI74" s="56"/>
      <c r="AJ74" s="54"/>
      <c r="AK74" s="18" t="s">
        <v>7</v>
      </c>
      <c r="AL74" s="56">
        <v>3</v>
      </c>
      <c r="AM74" s="56">
        <v>4</v>
      </c>
      <c r="AN74" s="56">
        <v>4</v>
      </c>
      <c r="AO74" s="56">
        <v>1</v>
      </c>
      <c r="AP74" s="56">
        <v>2</v>
      </c>
      <c r="AQ74" s="56"/>
      <c r="AS74" s="30">
        <f t="shared" si="39"/>
        <v>136</v>
      </c>
    </row>
    <row r="75" spans="1:45" x14ac:dyDescent="0.25">
      <c r="A75" s="41"/>
      <c r="B75" s="20" t="s">
        <v>7</v>
      </c>
      <c r="C75" s="56">
        <v>4</v>
      </c>
      <c r="D75" s="56">
        <v>7</v>
      </c>
      <c r="E75" s="57">
        <v>7</v>
      </c>
      <c r="F75" s="57">
        <v>14</v>
      </c>
      <c r="G75" s="57">
        <v>12</v>
      </c>
      <c r="H75" s="57">
        <v>24</v>
      </c>
      <c r="I75" s="57">
        <v>15</v>
      </c>
      <c r="J75" s="57">
        <v>3</v>
      </c>
      <c r="K75" s="57">
        <v>3</v>
      </c>
      <c r="L75" s="54"/>
      <c r="M75" s="18" t="s">
        <v>7</v>
      </c>
      <c r="N75" s="56">
        <v>1</v>
      </c>
      <c r="O75" s="56">
        <v>1</v>
      </c>
      <c r="P75" s="57">
        <v>1</v>
      </c>
      <c r="Q75" s="57">
        <v>9</v>
      </c>
      <c r="R75" s="57">
        <v>3</v>
      </c>
      <c r="S75" s="57">
        <v>4</v>
      </c>
      <c r="T75" s="57">
        <v>27</v>
      </c>
      <c r="U75" s="57">
        <v>20</v>
      </c>
      <c r="V75" s="57">
        <v>14</v>
      </c>
      <c r="W75" s="57"/>
      <c r="X75" s="57">
        <v>3</v>
      </c>
      <c r="Y75" s="57">
        <v>4</v>
      </c>
      <c r="Z75" s="57">
        <v>2</v>
      </c>
      <c r="AA75" s="57">
        <v>4</v>
      </c>
      <c r="AB75" s="57">
        <v>3</v>
      </c>
      <c r="AC75" s="57">
        <v>8</v>
      </c>
      <c r="AD75" s="57">
        <v>8</v>
      </c>
      <c r="AE75" s="57">
        <v>10</v>
      </c>
      <c r="AF75" s="57">
        <v>1</v>
      </c>
      <c r="AG75" s="56">
        <v>5</v>
      </c>
      <c r="AH75" s="56">
        <v>3</v>
      </c>
      <c r="AI75" s="56">
        <v>5</v>
      </c>
      <c r="AJ75" s="78"/>
      <c r="AK75" s="18" t="s">
        <v>8</v>
      </c>
      <c r="AL75" s="56"/>
      <c r="AM75" s="56"/>
      <c r="AN75" s="56"/>
      <c r="AO75" s="56"/>
      <c r="AP75" s="56"/>
      <c r="AQ75" s="56"/>
      <c r="AS75" s="30">
        <f t="shared" si="39"/>
        <v>0</v>
      </c>
    </row>
    <row r="76" spans="1:45" x14ac:dyDescent="0.25">
      <c r="A76" s="40" t="s">
        <v>21</v>
      </c>
      <c r="B76" s="20" t="s">
        <v>10</v>
      </c>
      <c r="C76" s="56"/>
      <c r="D76" s="56"/>
      <c r="E76" s="57"/>
      <c r="F76" s="57"/>
      <c r="G76" s="57"/>
      <c r="H76" s="57"/>
      <c r="I76" s="57"/>
      <c r="J76" s="57"/>
      <c r="K76" s="57"/>
      <c r="L76" s="55" t="str">
        <f>A76</f>
        <v>JU1T</v>
      </c>
      <c r="M76" s="18" t="s">
        <v>10</v>
      </c>
      <c r="N76" s="56"/>
      <c r="O76" s="56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6"/>
      <c r="AH76" s="56"/>
      <c r="AI76" s="56"/>
      <c r="AJ76" s="55" t="str">
        <f>+L76</f>
        <v>JU1T</v>
      </c>
      <c r="AK76" s="18" t="s">
        <v>11</v>
      </c>
      <c r="AL76" s="56">
        <v>4</v>
      </c>
      <c r="AM76" s="56">
        <v>1</v>
      </c>
      <c r="AN76" s="56">
        <v>4</v>
      </c>
      <c r="AO76" s="56">
        <v>2</v>
      </c>
      <c r="AP76" s="56">
        <v>3</v>
      </c>
      <c r="AQ76" s="56"/>
      <c r="AS76" s="30">
        <f t="shared" si="39"/>
        <v>111</v>
      </c>
    </row>
    <row r="77" spans="1:45" x14ac:dyDescent="0.25">
      <c r="A77" s="40"/>
      <c r="B77" s="20" t="s">
        <v>11</v>
      </c>
      <c r="C77" s="56">
        <v>5</v>
      </c>
      <c r="D77" s="56">
        <v>12</v>
      </c>
      <c r="E77" s="57">
        <v>9</v>
      </c>
      <c r="F77" s="57">
        <v>21</v>
      </c>
      <c r="G77" s="57">
        <v>13</v>
      </c>
      <c r="H77" s="57">
        <v>2</v>
      </c>
      <c r="I77" s="57">
        <v>4</v>
      </c>
      <c r="J77" s="57">
        <v>9</v>
      </c>
      <c r="K77" s="57">
        <v>4</v>
      </c>
      <c r="L77" s="55"/>
      <c r="M77" s="18" t="s">
        <v>11</v>
      </c>
      <c r="N77" s="56">
        <v>2</v>
      </c>
      <c r="O77" s="56">
        <v>1</v>
      </c>
      <c r="P77" s="57">
        <v>8</v>
      </c>
      <c r="Q77" s="57">
        <v>6</v>
      </c>
      <c r="R77" s="57">
        <v>14</v>
      </c>
      <c r="S77" s="57">
        <v>6</v>
      </c>
      <c r="T77" s="57">
        <v>16</v>
      </c>
      <c r="U77" s="57">
        <v>7</v>
      </c>
      <c r="V77" s="57">
        <v>11</v>
      </c>
      <c r="W77" s="57"/>
      <c r="X77" s="57">
        <v>5</v>
      </c>
      <c r="Y77" s="57">
        <v>5</v>
      </c>
      <c r="Z77" s="57">
        <v>3</v>
      </c>
      <c r="AA77" s="57">
        <v>3</v>
      </c>
      <c r="AB77" s="57">
        <v>2</v>
      </c>
      <c r="AC77" s="57">
        <v>3</v>
      </c>
      <c r="AD77" s="57">
        <v>1</v>
      </c>
      <c r="AE77" s="57">
        <v>7</v>
      </c>
      <c r="AF77" s="57">
        <v>2</v>
      </c>
      <c r="AG77" s="56">
        <v>2</v>
      </c>
      <c r="AH77" s="56">
        <v>3</v>
      </c>
      <c r="AI77" s="56">
        <v>4</v>
      </c>
      <c r="AJ77" s="55"/>
      <c r="AK77" s="18" t="s">
        <v>12</v>
      </c>
      <c r="AL77" s="56"/>
      <c r="AM77" s="56"/>
      <c r="AN77" s="56"/>
      <c r="AO77" s="56"/>
      <c r="AP77" s="56"/>
      <c r="AQ77" s="56"/>
    </row>
    <row r="78" spans="1:45" x14ac:dyDescent="0.25">
      <c r="A78" s="40"/>
      <c r="B78" s="20" t="s">
        <v>12</v>
      </c>
      <c r="C78" s="56"/>
      <c r="D78" s="56"/>
      <c r="E78" s="57"/>
      <c r="F78" s="57"/>
      <c r="G78" s="57"/>
      <c r="H78" s="57"/>
      <c r="I78" s="57"/>
      <c r="J78" s="57"/>
      <c r="K78" s="57"/>
      <c r="L78" s="55"/>
      <c r="M78" s="18" t="s">
        <v>12</v>
      </c>
      <c r="N78" s="56"/>
      <c r="O78" s="56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6"/>
      <c r="AH78" s="56"/>
      <c r="AI78" s="56"/>
      <c r="AJ78" s="55"/>
      <c r="AK78" s="18" t="s">
        <v>13</v>
      </c>
      <c r="AL78" s="56">
        <v>92</v>
      </c>
      <c r="AM78" s="56">
        <v>120</v>
      </c>
      <c r="AN78" s="56">
        <v>104</v>
      </c>
      <c r="AO78" s="56">
        <v>128</v>
      </c>
      <c r="AP78" s="56">
        <v>121</v>
      </c>
      <c r="AQ78" s="56"/>
    </row>
    <row r="79" spans="1:45" x14ac:dyDescent="0.25">
      <c r="A79" s="40"/>
      <c r="B79" s="20" t="s">
        <v>13</v>
      </c>
      <c r="C79" s="56">
        <v>138</v>
      </c>
      <c r="D79" s="56">
        <v>126</v>
      </c>
      <c r="E79" s="56">
        <v>115</v>
      </c>
      <c r="F79" s="56">
        <v>115</v>
      </c>
      <c r="G79" s="56">
        <v>114</v>
      </c>
      <c r="H79" s="56">
        <v>102</v>
      </c>
      <c r="I79" s="56">
        <v>87</v>
      </c>
      <c r="J79" s="56">
        <v>83</v>
      </c>
      <c r="K79" s="56">
        <v>124</v>
      </c>
      <c r="L79" s="55"/>
      <c r="M79" s="18" t="s">
        <v>13</v>
      </c>
      <c r="N79" s="56">
        <v>149</v>
      </c>
      <c r="O79" s="56">
        <v>130</v>
      </c>
      <c r="P79" s="56">
        <v>126</v>
      </c>
      <c r="Q79" s="56">
        <v>130</v>
      </c>
      <c r="R79" s="56">
        <v>147</v>
      </c>
      <c r="S79" s="56">
        <v>152</v>
      </c>
      <c r="T79" s="56">
        <v>115</v>
      </c>
      <c r="U79" s="56">
        <v>88</v>
      </c>
      <c r="V79" s="56">
        <v>122</v>
      </c>
      <c r="W79" s="56">
        <v>130</v>
      </c>
      <c r="X79" s="56">
        <v>119</v>
      </c>
      <c r="Y79" s="56">
        <v>101</v>
      </c>
      <c r="Z79" s="56">
        <v>122</v>
      </c>
      <c r="AA79" s="56">
        <v>120</v>
      </c>
      <c r="AB79" s="56">
        <v>120</v>
      </c>
      <c r="AC79" s="56">
        <v>123</v>
      </c>
      <c r="AD79" s="56">
        <v>86</v>
      </c>
      <c r="AE79" s="56">
        <v>106</v>
      </c>
      <c r="AF79" s="56">
        <v>13</v>
      </c>
      <c r="AG79" s="56">
        <v>124</v>
      </c>
      <c r="AH79" s="56">
        <v>153</v>
      </c>
      <c r="AI79" s="56">
        <v>141</v>
      </c>
      <c r="AJ79" s="55"/>
      <c r="AK79" s="18" t="s">
        <v>14</v>
      </c>
      <c r="AL79" s="56">
        <v>258</v>
      </c>
      <c r="AM79" s="56">
        <v>280</v>
      </c>
      <c r="AN79" s="56">
        <v>279</v>
      </c>
      <c r="AO79" s="56">
        <v>290</v>
      </c>
      <c r="AP79" s="56">
        <v>293</v>
      </c>
      <c r="AQ79" s="56"/>
    </row>
    <row r="80" spans="1:45" x14ac:dyDescent="0.25">
      <c r="A80" s="40"/>
      <c r="B80" s="20" t="s">
        <v>14</v>
      </c>
      <c r="C80" s="56">
        <v>304</v>
      </c>
      <c r="D80" s="56">
        <v>300</v>
      </c>
      <c r="E80" s="56">
        <v>248</v>
      </c>
      <c r="F80" s="56">
        <v>296</v>
      </c>
      <c r="G80" s="56">
        <v>309</v>
      </c>
      <c r="H80" s="56">
        <v>272</v>
      </c>
      <c r="I80" s="56">
        <v>289</v>
      </c>
      <c r="J80" s="56">
        <v>289</v>
      </c>
      <c r="K80" s="56">
        <v>299</v>
      </c>
      <c r="L80" s="55"/>
      <c r="M80" s="18" t="s">
        <v>14</v>
      </c>
      <c r="N80" s="56">
        <v>336</v>
      </c>
      <c r="O80" s="56">
        <v>350</v>
      </c>
      <c r="P80" s="56">
        <v>320</v>
      </c>
      <c r="Q80" s="56">
        <v>350</v>
      </c>
      <c r="R80" s="56">
        <v>350</v>
      </c>
      <c r="S80" s="56">
        <v>340</v>
      </c>
      <c r="T80" s="56">
        <v>290</v>
      </c>
      <c r="U80" s="56">
        <v>304</v>
      </c>
      <c r="V80" s="56">
        <v>306</v>
      </c>
      <c r="W80" s="56">
        <v>305</v>
      </c>
      <c r="X80" s="56">
        <v>289</v>
      </c>
      <c r="Y80" s="56">
        <v>307</v>
      </c>
      <c r="Z80" s="56">
        <v>294</v>
      </c>
      <c r="AA80" s="56">
        <v>293</v>
      </c>
      <c r="AB80" s="56">
        <v>298</v>
      </c>
      <c r="AC80" s="56">
        <v>295</v>
      </c>
      <c r="AD80" s="56">
        <v>303</v>
      </c>
      <c r="AE80" s="56">
        <v>292</v>
      </c>
      <c r="AF80" s="56">
        <v>260</v>
      </c>
      <c r="AG80" s="56">
        <v>355</v>
      </c>
      <c r="AH80" s="56">
        <v>331</v>
      </c>
      <c r="AI80" s="56">
        <v>350</v>
      </c>
      <c r="AJ80" s="61"/>
      <c r="AK80" s="16"/>
      <c r="AL80" s="56"/>
      <c r="AM80" s="56"/>
      <c r="AN80" s="56"/>
      <c r="AO80" s="56"/>
      <c r="AP80" s="56"/>
      <c r="AQ80" s="56"/>
    </row>
    <row r="81" spans="1:45" x14ac:dyDescent="0.25">
      <c r="A81" s="41">
        <f>A69</f>
        <v>46086</v>
      </c>
      <c r="B81" s="20" t="s">
        <v>2</v>
      </c>
      <c r="C81" s="56">
        <f t="shared" ref="C81:K81" si="40">(C90*100000)/(C91*60*8)</f>
        <v>85.800438596491233</v>
      </c>
      <c r="D81" s="56">
        <f t="shared" si="40"/>
        <v>80.555555555555557</v>
      </c>
      <c r="E81" s="56">
        <f t="shared" si="40"/>
        <v>26.881720430107528</v>
      </c>
      <c r="F81" s="56">
        <f t="shared" si="40"/>
        <v>84.459459459459453</v>
      </c>
      <c r="G81" s="56">
        <f t="shared" si="40"/>
        <v>82.92880258899676</v>
      </c>
      <c r="H81" s="56">
        <f t="shared" si="40"/>
        <v>80.805759803921575</v>
      </c>
      <c r="I81" s="56">
        <f t="shared" si="40"/>
        <v>65.383506343713961</v>
      </c>
      <c r="J81" s="56">
        <f t="shared" si="40"/>
        <v>75.692041522491351</v>
      </c>
      <c r="K81" s="62">
        <f t="shared" si="40"/>
        <v>90.579710144927532</v>
      </c>
      <c r="L81" s="54">
        <f>A81</f>
        <v>46086</v>
      </c>
      <c r="M81" s="18" t="s">
        <v>2</v>
      </c>
      <c r="N81" s="62">
        <f>(N90*100000)/(N91*60*8)</f>
        <v>89.905753968253961</v>
      </c>
      <c r="O81" s="62">
        <f t="shared" ref="O81:AI81" si="41">(O90*100000)/(O91*60*8)</f>
        <v>83.333333333333329</v>
      </c>
      <c r="P81" s="62">
        <f t="shared" si="41"/>
        <v>79.427083333333329</v>
      </c>
      <c r="Q81" s="62">
        <f t="shared" si="41"/>
        <v>82.142857142857139</v>
      </c>
      <c r="R81" s="62">
        <f t="shared" si="41"/>
        <v>85.11904761904762</v>
      </c>
      <c r="S81" s="62">
        <f t="shared" si="41"/>
        <v>75.980392156862749</v>
      </c>
      <c r="T81" s="62">
        <f t="shared" si="41"/>
        <v>81.537356321839084</v>
      </c>
      <c r="U81" s="62">
        <f t="shared" si="41"/>
        <v>62.774122807017541</v>
      </c>
      <c r="V81" s="62">
        <f t="shared" si="41"/>
        <v>86.737472766884537</v>
      </c>
      <c r="W81" s="62">
        <f t="shared" si="41"/>
        <v>76.502732240437155</v>
      </c>
      <c r="X81" s="62">
        <f t="shared" si="41"/>
        <v>89.532871972318333</v>
      </c>
      <c r="Y81" s="62">
        <f t="shared" si="41"/>
        <v>67.861020629750271</v>
      </c>
      <c r="Z81" s="62">
        <f t="shared" si="41"/>
        <v>87.159863945578238</v>
      </c>
      <c r="AA81" s="62">
        <f t="shared" si="41"/>
        <v>85.324232081911262</v>
      </c>
      <c r="AB81" s="62">
        <f t="shared" si="41"/>
        <v>94.519015659955244</v>
      </c>
      <c r="AC81" s="62">
        <f t="shared" si="41"/>
        <v>89.548022598870062</v>
      </c>
      <c r="AD81" s="62">
        <f t="shared" si="41"/>
        <v>34.378437843784376</v>
      </c>
      <c r="AE81" s="62">
        <f t="shared" si="41"/>
        <v>89.897260273972606</v>
      </c>
      <c r="AF81" s="62">
        <f t="shared" si="41"/>
        <v>96.15384615384616</v>
      </c>
      <c r="AG81" s="62">
        <f t="shared" si="41"/>
        <v>76.291079812206576</v>
      </c>
      <c r="AH81" s="62">
        <f t="shared" si="41"/>
        <v>96.299093655589118</v>
      </c>
      <c r="AI81" s="62">
        <f t="shared" si="41"/>
        <v>85.714285714285708</v>
      </c>
      <c r="AJ81" s="54">
        <f>L81</f>
        <v>46086</v>
      </c>
      <c r="AK81" s="18" t="s">
        <v>2</v>
      </c>
      <c r="AL81" s="56">
        <f>(AL89*100000)/(AL90*60*8)</f>
        <v>76.711886304909555</v>
      </c>
      <c r="AM81" s="56">
        <f t="shared" ref="AM81:AP81" si="42">(AM89*100000)/(AM90*60*8)</f>
        <v>96.726190476190482</v>
      </c>
      <c r="AN81" s="56">
        <f t="shared" si="42"/>
        <v>70.937873357228199</v>
      </c>
      <c r="AO81" s="56">
        <f t="shared" si="42"/>
        <v>80.459770114942529</v>
      </c>
      <c r="AP81" s="56">
        <f t="shared" si="42"/>
        <v>34.129692832764505</v>
      </c>
      <c r="AQ81" s="56"/>
      <c r="AS81" s="30">
        <f t="shared" ref="AS81:AS87" si="43">SUM(N82:AI82)</f>
        <v>171</v>
      </c>
    </row>
    <row r="82" spans="1:45" x14ac:dyDescent="0.25">
      <c r="A82" s="41"/>
      <c r="B82" s="20" t="s">
        <v>3</v>
      </c>
      <c r="C82" s="57">
        <v>13</v>
      </c>
      <c r="D82" s="57">
        <v>13</v>
      </c>
      <c r="E82" s="57">
        <v>4</v>
      </c>
      <c r="F82" s="57">
        <v>14</v>
      </c>
      <c r="G82" s="57">
        <v>10</v>
      </c>
      <c r="H82" s="57">
        <v>4</v>
      </c>
      <c r="I82" s="57">
        <v>21</v>
      </c>
      <c r="J82" s="57">
        <v>8</v>
      </c>
      <c r="K82" s="57">
        <v>2</v>
      </c>
      <c r="L82" s="54"/>
      <c r="M82" s="18" t="s">
        <v>3</v>
      </c>
      <c r="N82" s="56">
        <v>8</v>
      </c>
      <c r="O82" s="56">
        <v>17</v>
      </c>
      <c r="P82" s="56">
        <v>17</v>
      </c>
      <c r="Q82" s="56">
        <v>5</v>
      </c>
      <c r="R82" s="56">
        <v>5</v>
      </c>
      <c r="S82" s="56">
        <v>2</v>
      </c>
      <c r="T82" s="56">
        <v>6</v>
      </c>
      <c r="U82" s="56">
        <v>10</v>
      </c>
      <c r="V82" s="56">
        <v>3</v>
      </c>
      <c r="W82" s="56">
        <v>1</v>
      </c>
      <c r="X82" s="57">
        <v>9</v>
      </c>
      <c r="Y82" s="57">
        <v>44</v>
      </c>
      <c r="Z82" s="57">
        <v>4</v>
      </c>
      <c r="AA82" s="57">
        <v>9</v>
      </c>
      <c r="AB82" s="57">
        <v>1</v>
      </c>
      <c r="AC82" s="56">
        <v>4</v>
      </c>
      <c r="AD82" s="56">
        <v>3</v>
      </c>
      <c r="AE82" s="56">
        <v>12</v>
      </c>
      <c r="AF82" s="56">
        <v>0</v>
      </c>
      <c r="AG82" s="56">
        <v>1</v>
      </c>
      <c r="AH82" s="56">
        <v>4</v>
      </c>
      <c r="AI82" s="56">
        <v>6</v>
      </c>
      <c r="AJ82" s="54"/>
      <c r="AK82" s="18" t="s">
        <v>3</v>
      </c>
      <c r="AL82" s="56">
        <v>8</v>
      </c>
      <c r="AM82" s="56">
        <v>1</v>
      </c>
      <c r="AN82" s="56">
        <v>13</v>
      </c>
      <c r="AO82" s="56">
        <v>3</v>
      </c>
      <c r="AP82" s="56">
        <v>2</v>
      </c>
      <c r="AQ82" s="56"/>
      <c r="AS82" s="30">
        <f t="shared" si="43"/>
        <v>0</v>
      </c>
    </row>
    <row r="83" spans="1:45" x14ac:dyDescent="0.25">
      <c r="A83" s="41"/>
      <c r="B83" s="18" t="s">
        <v>4</v>
      </c>
      <c r="C83" s="57"/>
      <c r="D83" s="57"/>
      <c r="E83" s="57"/>
      <c r="F83" s="57"/>
      <c r="G83" s="57"/>
      <c r="H83" s="57"/>
      <c r="I83" s="57"/>
      <c r="J83" s="57"/>
      <c r="K83" s="57"/>
      <c r="L83" s="54"/>
      <c r="M83" s="18" t="s">
        <v>4</v>
      </c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7"/>
      <c r="Y83" s="57"/>
      <c r="Z83" s="57"/>
      <c r="AA83" s="57"/>
      <c r="AB83" s="57"/>
      <c r="AC83" s="56"/>
      <c r="AD83" s="56"/>
      <c r="AE83" s="56"/>
      <c r="AF83" s="56"/>
      <c r="AG83" s="56"/>
      <c r="AH83" s="56"/>
      <c r="AI83" s="56"/>
      <c r="AJ83" s="54"/>
      <c r="AK83" s="18" t="s">
        <v>4</v>
      </c>
      <c r="AL83" s="56"/>
      <c r="AM83" s="56"/>
      <c r="AN83" s="56"/>
      <c r="AO83" s="56"/>
      <c r="AP83" s="56"/>
      <c r="AQ83" s="56"/>
      <c r="AS83" s="30">
        <f t="shared" si="43"/>
        <v>125</v>
      </c>
    </row>
    <row r="84" spans="1:45" x14ac:dyDescent="0.25">
      <c r="A84" s="41"/>
      <c r="B84" s="20" t="s">
        <v>5</v>
      </c>
      <c r="C84" s="57">
        <v>9</v>
      </c>
      <c r="D84" s="57">
        <v>8</v>
      </c>
      <c r="E84" s="57">
        <v>16</v>
      </c>
      <c r="F84" s="57">
        <v>10</v>
      </c>
      <c r="G84" s="57">
        <v>2</v>
      </c>
      <c r="H84" s="57">
        <v>8</v>
      </c>
      <c r="I84" s="57">
        <v>13</v>
      </c>
      <c r="J84" s="57">
        <v>16</v>
      </c>
      <c r="K84" s="57">
        <v>5</v>
      </c>
      <c r="L84" s="54"/>
      <c r="M84" s="18" t="s">
        <v>5</v>
      </c>
      <c r="N84" s="56">
        <v>1</v>
      </c>
      <c r="O84" s="56">
        <v>2</v>
      </c>
      <c r="P84" s="56">
        <v>6</v>
      </c>
      <c r="Q84" s="56">
        <v>16</v>
      </c>
      <c r="R84" s="56">
        <v>1</v>
      </c>
      <c r="S84" s="56">
        <v>11</v>
      </c>
      <c r="T84" s="56">
        <v>1</v>
      </c>
      <c r="U84" s="56">
        <v>1</v>
      </c>
      <c r="V84" s="56">
        <v>16</v>
      </c>
      <c r="W84" s="56">
        <v>1</v>
      </c>
      <c r="X84" s="57">
        <v>4</v>
      </c>
      <c r="Y84" s="57">
        <v>2</v>
      </c>
      <c r="Z84" s="57">
        <v>19</v>
      </c>
      <c r="AA84" s="57">
        <v>5</v>
      </c>
      <c r="AB84" s="57">
        <v>5</v>
      </c>
      <c r="AC84" s="56">
        <v>3</v>
      </c>
      <c r="AD84" s="56">
        <v>9</v>
      </c>
      <c r="AE84" s="56">
        <v>4</v>
      </c>
      <c r="AF84" s="56">
        <v>0</v>
      </c>
      <c r="AG84" s="56">
        <v>14</v>
      </c>
      <c r="AH84" s="56">
        <v>2</v>
      </c>
      <c r="AI84" s="56">
        <v>2</v>
      </c>
      <c r="AJ84" s="54"/>
      <c r="AK84" s="18" t="s">
        <v>5</v>
      </c>
      <c r="AL84" s="56">
        <v>14</v>
      </c>
      <c r="AM84" s="56">
        <v>0</v>
      </c>
      <c r="AN84" s="56">
        <v>8</v>
      </c>
      <c r="AO84" s="56">
        <v>1</v>
      </c>
      <c r="AP84" s="56">
        <v>1</v>
      </c>
      <c r="AQ84" s="56"/>
      <c r="AS84" s="30">
        <f t="shared" si="43"/>
        <v>0</v>
      </c>
    </row>
    <row r="85" spans="1:45" x14ac:dyDescent="0.25">
      <c r="A85" s="41"/>
      <c r="B85" s="20" t="s">
        <v>6</v>
      </c>
      <c r="C85" s="57"/>
      <c r="D85" s="57"/>
      <c r="E85" s="57"/>
      <c r="F85" s="57"/>
      <c r="G85" s="57"/>
      <c r="H85" s="57"/>
      <c r="I85" s="57"/>
      <c r="J85" s="57"/>
      <c r="K85" s="57"/>
      <c r="L85" s="54"/>
      <c r="M85" s="18" t="s">
        <v>6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7"/>
      <c r="Y85" s="57"/>
      <c r="Z85" s="57"/>
      <c r="AA85" s="57"/>
      <c r="AB85" s="57"/>
      <c r="AC85" s="56"/>
      <c r="AD85" s="56"/>
      <c r="AE85" s="56"/>
      <c r="AF85" s="56"/>
      <c r="AG85" s="56"/>
      <c r="AH85" s="56"/>
      <c r="AI85" s="56"/>
      <c r="AJ85" s="54"/>
      <c r="AK85" s="18" t="s">
        <v>7</v>
      </c>
      <c r="AL85" s="56">
        <v>3</v>
      </c>
      <c r="AM85" s="56">
        <v>3</v>
      </c>
      <c r="AN85" s="56">
        <v>16</v>
      </c>
      <c r="AO85" s="56">
        <v>4</v>
      </c>
      <c r="AP85" s="56">
        <v>1</v>
      </c>
      <c r="AQ85" s="56"/>
      <c r="AS85" s="30">
        <f t="shared" si="43"/>
        <v>130</v>
      </c>
    </row>
    <row r="86" spans="1:45" x14ac:dyDescent="0.25">
      <c r="A86" s="41"/>
      <c r="B86" s="20" t="s">
        <v>7</v>
      </c>
      <c r="C86" s="57">
        <v>7</v>
      </c>
      <c r="D86" s="57">
        <v>8</v>
      </c>
      <c r="E86" s="57">
        <v>16</v>
      </c>
      <c r="F86" s="57">
        <v>4</v>
      </c>
      <c r="G86" s="57">
        <v>18</v>
      </c>
      <c r="H86" s="57">
        <v>15</v>
      </c>
      <c r="I86" s="57">
        <v>15</v>
      </c>
      <c r="J86" s="57">
        <v>10</v>
      </c>
      <c r="K86" s="57">
        <v>6</v>
      </c>
      <c r="L86" s="54"/>
      <c r="M86" s="18" t="s">
        <v>7</v>
      </c>
      <c r="N86" s="56">
        <v>0</v>
      </c>
      <c r="O86" s="56">
        <v>0</v>
      </c>
      <c r="P86" s="56">
        <v>5</v>
      </c>
      <c r="Q86" s="56">
        <v>8</v>
      </c>
      <c r="R86" s="56">
        <v>5</v>
      </c>
      <c r="S86" s="56">
        <v>4</v>
      </c>
      <c r="T86" s="56">
        <v>17</v>
      </c>
      <c r="U86" s="56">
        <v>6</v>
      </c>
      <c r="V86" s="56">
        <v>9</v>
      </c>
      <c r="W86" s="56">
        <v>0</v>
      </c>
      <c r="X86" s="57">
        <v>4</v>
      </c>
      <c r="Y86" s="57">
        <v>3</v>
      </c>
      <c r="Z86" s="57">
        <v>22</v>
      </c>
      <c r="AA86" s="57">
        <v>0</v>
      </c>
      <c r="AB86" s="57">
        <v>4</v>
      </c>
      <c r="AC86" s="56">
        <v>13</v>
      </c>
      <c r="AD86" s="56">
        <v>9</v>
      </c>
      <c r="AE86" s="56">
        <v>3</v>
      </c>
      <c r="AF86" s="56">
        <v>4</v>
      </c>
      <c r="AG86" s="56">
        <v>4</v>
      </c>
      <c r="AH86" s="56">
        <v>0</v>
      </c>
      <c r="AI86" s="56">
        <v>10</v>
      </c>
      <c r="AJ86" s="54"/>
      <c r="AK86" s="18" t="s">
        <v>8</v>
      </c>
      <c r="AL86" s="56"/>
      <c r="AM86" s="56"/>
      <c r="AN86" s="56"/>
      <c r="AO86" s="56"/>
      <c r="AP86" s="56"/>
      <c r="AQ86" s="56"/>
      <c r="AS86" s="30">
        <f t="shared" si="43"/>
        <v>0</v>
      </c>
    </row>
    <row r="87" spans="1:45" x14ac:dyDescent="0.25">
      <c r="A87" s="43" t="s">
        <v>22</v>
      </c>
      <c r="B87" s="20" t="s">
        <v>10</v>
      </c>
      <c r="C87" s="57"/>
      <c r="D87" s="57"/>
      <c r="E87" s="57"/>
      <c r="F87" s="57"/>
      <c r="G87" s="57"/>
      <c r="H87" s="57"/>
      <c r="I87" s="57"/>
      <c r="J87" s="57"/>
      <c r="K87" s="57"/>
      <c r="L87" s="55" t="str">
        <f>A87</f>
        <v>JU2T</v>
      </c>
      <c r="M87" s="18" t="s">
        <v>10</v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7"/>
      <c r="Y87" s="57"/>
      <c r="Z87" s="57"/>
      <c r="AA87" s="57"/>
      <c r="AB87" s="57"/>
      <c r="AC87" s="56"/>
      <c r="AD87" s="56"/>
      <c r="AE87" s="56"/>
      <c r="AF87" s="56"/>
      <c r="AG87" s="56"/>
      <c r="AH87" s="56"/>
      <c r="AI87" s="56"/>
      <c r="AJ87" s="55" t="str">
        <f>+L87</f>
        <v>JU2T</v>
      </c>
      <c r="AK87" s="18" t="s">
        <v>11</v>
      </c>
      <c r="AL87" s="56">
        <v>2</v>
      </c>
      <c r="AM87" s="56">
        <v>3</v>
      </c>
      <c r="AN87" s="56">
        <v>0</v>
      </c>
      <c r="AO87" s="56">
        <v>2</v>
      </c>
      <c r="AP87" s="56">
        <v>2</v>
      </c>
      <c r="AQ87" s="56"/>
      <c r="AS87" s="30">
        <f t="shared" si="43"/>
        <v>105</v>
      </c>
    </row>
    <row r="88" spans="1:45" x14ac:dyDescent="0.25">
      <c r="A88" s="43"/>
      <c r="B88" s="20" t="s">
        <v>11</v>
      </c>
      <c r="C88" s="57">
        <v>2</v>
      </c>
      <c r="D88" s="57">
        <v>23</v>
      </c>
      <c r="E88" s="57">
        <v>12</v>
      </c>
      <c r="F88" s="57">
        <v>28</v>
      </c>
      <c r="G88" s="57">
        <v>5</v>
      </c>
      <c r="H88" s="57">
        <v>1</v>
      </c>
      <c r="I88" s="57">
        <v>7</v>
      </c>
      <c r="J88" s="57">
        <v>6</v>
      </c>
      <c r="K88" s="57">
        <v>5</v>
      </c>
      <c r="L88" s="55"/>
      <c r="M88" s="18" t="s">
        <v>11</v>
      </c>
      <c r="N88" s="56">
        <v>2</v>
      </c>
      <c r="O88" s="56">
        <v>1</v>
      </c>
      <c r="P88" s="56">
        <v>6</v>
      </c>
      <c r="Q88" s="56">
        <v>8</v>
      </c>
      <c r="R88" s="56">
        <v>6</v>
      </c>
      <c r="S88" s="56">
        <v>6</v>
      </c>
      <c r="T88" s="56">
        <v>2</v>
      </c>
      <c r="U88" s="56">
        <v>15</v>
      </c>
      <c r="V88" s="56">
        <v>5</v>
      </c>
      <c r="W88" s="56">
        <v>3</v>
      </c>
      <c r="X88" s="57">
        <v>3</v>
      </c>
      <c r="Y88" s="57">
        <v>14</v>
      </c>
      <c r="Z88" s="57">
        <v>4</v>
      </c>
      <c r="AA88" s="57">
        <v>3</v>
      </c>
      <c r="AB88" s="57">
        <v>2</v>
      </c>
      <c r="AC88" s="56">
        <v>3</v>
      </c>
      <c r="AD88" s="56">
        <v>8</v>
      </c>
      <c r="AE88" s="56">
        <v>5</v>
      </c>
      <c r="AF88" s="56">
        <v>1</v>
      </c>
      <c r="AG88" s="56">
        <v>2</v>
      </c>
      <c r="AH88" s="56">
        <v>3</v>
      </c>
      <c r="AI88" s="56">
        <v>3</v>
      </c>
      <c r="AJ88" s="55"/>
      <c r="AK88" s="18" t="s">
        <v>12</v>
      </c>
      <c r="AL88" s="56"/>
      <c r="AM88" s="56"/>
      <c r="AN88" s="56"/>
      <c r="AO88" s="56"/>
      <c r="AP88" s="56"/>
      <c r="AQ88" s="56"/>
    </row>
    <row r="89" spans="1:45" x14ac:dyDescent="0.25">
      <c r="A89" s="43"/>
      <c r="B89" s="20" t="s">
        <v>12</v>
      </c>
      <c r="C89" s="57"/>
      <c r="D89" s="57"/>
      <c r="E89" s="57"/>
      <c r="F89" s="57"/>
      <c r="G89" s="57"/>
      <c r="H89" s="57"/>
      <c r="I89" s="57"/>
      <c r="J89" s="57"/>
      <c r="K89" s="57"/>
      <c r="L89" s="55"/>
      <c r="M89" s="18" t="s">
        <v>12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7"/>
      <c r="Y89" s="57"/>
      <c r="Z89" s="57"/>
      <c r="AA89" s="57"/>
      <c r="AB89" s="57"/>
      <c r="AC89" s="56"/>
      <c r="AD89" s="56"/>
      <c r="AE89" s="56"/>
      <c r="AF89" s="56"/>
      <c r="AG89" s="56"/>
      <c r="AH89" s="56"/>
      <c r="AI89" s="56"/>
      <c r="AJ89" s="55"/>
      <c r="AK89" s="18" t="s">
        <v>13</v>
      </c>
      <c r="AL89" s="56">
        <v>95</v>
      </c>
      <c r="AM89" s="56">
        <v>130</v>
      </c>
      <c r="AN89" s="56">
        <v>95</v>
      </c>
      <c r="AO89" s="56">
        <v>112</v>
      </c>
      <c r="AP89" s="56">
        <v>48</v>
      </c>
      <c r="AQ89" s="56"/>
    </row>
    <row r="90" spans="1:45" x14ac:dyDescent="0.25">
      <c r="A90" s="43"/>
      <c r="B90" s="20" t="s">
        <v>13</v>
      </c>
      <c r="C90" s="57">
        <v>125.2</v>
      </c>
      <c r="D90" s="57">
        <v>116</v>
      </c>
      <c r="E90" s="57">
        <v>32</v>
      </c>
      <c r="F90" s="57">
        <v>120</v>
      </c>
      <c r="G90" s="57">
        <v>123</v>
      </c>
      <c r="H90" s="57">
        <v>105.5</v>
      </c>
      <c r="I90" s="57">
        <v>90.7</v>
      </c>
      <c r="J90" s="57">
        <v>105</v>
      </c>
      <c r="K90" s="57">
        <v>130</v>
      </c>
      <c r="L90" s="55"/>
      <c r="M90" s="18" t="s">
        <v>13</v>
      </c>
      <c r="N90" s="56">
        <v>145</v>
      </c>
      <c r="O90" s="56">
        <v>140</v>
      </c>
      <c r="P90" s="56">
        <v>122</v>
      </c>
      <c r="Q90" s="56">
        <v>138</v>
      </c>
      <c r="R90" s="56">
        <v>143</v>
      </c>
      <c r="S90" s="56">
        <v>124</v>
      </c>
      <c r="T90" s="56">
        <v>113.5</v>
      </c>
      <c r="U90" s="56">
        <v>91.6</v>
      </c>
      <c r="V90" s="56">
        <v>127.4</v>
      </c>
      <c r="W90" s="56">
        <v>112</v>
      </c>
      <c r="X90" s="57">
        <v>124.2</v>
      </c>
      <c r="Y90" s="57">
        <v>100</v>
      </c>
      <c r="Z90" s="57">
        <v>123</v>
      </c>
      <c r="AA90" s="57">
        <v>120</v>
      </c>
      <c r="AB90" s="57">
        <v>135.19999999999999</v>
      </c>
      <c r="AC90" s="56">
        <v>126.8</v>
      </c>
      <c r="AD90" s="56">
        <v>50</v>
      </c>
      <c r="AE90" s="56">
        <v>126</v>
      </c>
      <c r="AF90" s="56">
        <v>120</v>
      </c>
      <c r="AG90" s="56">
        <v>130</v>
      </c>
      <c r="AH90" s="56">
        <v>153</v>
      </c>
      <c r="AI90" s="56">
        <v>144</v>
      </c>
      <c r="AJ90" s="55"/>
      <c r="AK90" s="18" t="s">
        <v>14</v>
      </c>
      <c r="AL90" s="56">
        <v>258</v>
      </c>
      <c r="AM90" s="56">
        <v>280</v>
      </c>
      <c r="AN90" s="56">
        <v>279</v>
      </c>
      <c r="AO90" s="56">
        <v>290</v>
      </c>
      <c r="AP90" s="56">
        <v>293</v>
      </c>
      <c r="AQ90" s="56"/>
    </row>
    <row r="91" spans="1:45" x14ac:dyDescent="0.25">
      <c r="A91" s="43"/>
      <c r="B91" s="20" t="s">
        <v>14</v>
      </c>
      <c r="C91" s="57">
        <v>304</v>
      </c>
      <c r="D91" s="57">
        <v>300</v>
      </c>
      <c r="E91" s="57">
        <v>248</v>
      </c>
      <c r="F91" s="57">
        <v>296</v>
      </c>
      <c r="G91" s="57">
        <v>309</v>
      </c>
      <c r="H91" s="57">
        <v>272</v>
      </c>
      <c r="I91" s="57">
        <v>289</v>
      </c>
      <c r="J91" s="57">
        <v>289</v>
      </c>
      <c r="K91" s="57">
        <v>299</v>
      </c>
      <c r="L91" s="55"/>
      <c r="M91" s="18" t="s">
        <v>14</v>
      </c>
      <c r="N91" s="56">
        <v>336</v>
      </c>
      <c r="O91" s="56">
        <v>350</v>
      </c>
      <c r="P91" s="56">
        <v>320</v>
      </c>
      <c r="Q91" s="56">
        <v>350</v>
      </c>
      <c r="R91" s="56">
        <v>350</v>
      </c>
      <c r="S91" s="56">
        <v>340</v>
      </c>
      <c r="T91" s="56">
        <v>290</v>
      </c>
      <c r="U91" s="56">
        <v>304</v>
      </c>
      <c r="V91" s="56">
        <v>306</v>
      </c>
      <c r="W91" s="56">
        <v>305</v>
      </c>
      <c r="X91" s="57">
        <v>289</v>
      </c>
      <c r="Y91" s="57">
        <v>307</v>
      </c>
      <c r="Z91" s="57">
        <v>294</v>
      </c>
      <c r="AA91" s="57">
        <v>293</v>
      </c>
      <c r="AB91" s="57">
        <v>298</v>
      </c>
      <c r="AC91" s="56">
        <v>295</v>
      </c>
      <c r="AD91" s="56">
        <v>303</v>
      </c>
      <c r="AE91" s="56">
        <v>292</v>
      </c>
      <c r="AF91" s="56">
        <v>260</v>
      </c>
      <c r="AG91" s="56">
        <v>355</v>
      </c>
      <c r="AH91" s="56">
        <v>331</v>
      </c>
      <c r="AI91" s="56">
        <v>350</v>
      </c>
      <c r="AJ91" s="61"/>
      <c r="AK91" s="16"/>
      <c r="AL91" s="56"/>
      <c r="AM91" s="56"/>
      <c r="AN91" s="56"/>
      <c r="AO91" s="56"/>
      <c r="AP91" s="56"/>
      <c r="AQ91" s="56"/>
    </row>
    <row r="92" spans="1:45" x14ac:dyDescent="0.25">
      <c r="A92" s="41">
        <f>A81</f>
        <v>46086</v>
      </c>
      <c r="B92" s="20" t="s">
        <v>2</v>
      </c>
      <c r="C92" s="56">
        <f t="shared" ref="C92:K92" si="44">(C101*100000)/(C102*60*8)</f>
        <v>81.551535087719301</v>
      </c>
      <c r="D92" s="56">
        <f t="shared" si="44"/>
        <v>83.748615725359912</v>
      </c>
      <c r="E92" s="56">
        <f t="shared" si="44"/>
        <v>47.043010752688176</v>
      </c>
      <c r="F92" s="56">
        <f t="shared" si="44"/>
        <v>84.039548022598865</v>
      </c>
      <c r="G92" s="56">
        <f t="shared" si="44"/>
        <v>87.754555198285104</v>
      </c>
      <c r="H92" s="56">
        <f t="shared" si="44"/>
        <v>81.954656862745097</v>
      </c>
      <c r="I92" s="56">
        <f t="shared" si="44"/>
        <v>74.971164936562857</v>
      </c>
      <c r="J92" s="56">
        <f t="shared" si="44"/>
        <v>75.692041522491351</v>
      </c>
      <c r="K92" s="62">
        <f t="shared" si="44"/>
        <v>83.892617449664428</v>
      </c>
      <c r="L92" s="54">
        <f>A92</f>
        <v>46086</v>
      </c>
      <c r="M92" s="18" t="s">
        <v>2</v>
      </c>
      <c r="N92" s="62">
        <f>(N101*100000)/(N102*60*8)</f>
        <v>93.28358208955224</v>
      </c>
      <c r="O92" s="62">
        <f t="shared" ref="O92:AI92" si="45">(O101*100000)/(O102*60*8)</f>
        <v>91.666666666666671</v>
      </c>
      <c r="P92" s="62">
        <f t="shared" si="45"/>
        <v>89.84375</v>
      </c>
      <c r="Q92" s="62">
        <f t="shared" si="45"/>
        <v>78.125</v>
      </c>
      <c r="R92" s="62">
        <f t="shared" si="45"/>
        <v>94.047619047619051</v>
      </c>
      <c r="S92" s="62">
        <f t="shared" si="45"/>
        <v>91.299019607843135</v>
      </c>
      <c r="T92" s="62">
        <f t="shared" si="45"/>
        <v>88.470319634703202</v>
      </c>
      <c r="U92" s="62">
        <f t="shared" si="45"/>
        <v>87.719298245614041</v>
      </c>
      <c r="V92" s="62">
        <f t="shared" si="45"/>
        <v>78.976034858387806</v>
      </c>
      <c r="W92" s="62">
        <f t="shared" si="45"/>
        <v>79.234972677595621</v>
      </c>
      <c r="X92" s="62">
        <f t="shared" si="45"/>
        <v>70.575461454940282</v>
      </c>
      <c r="Y92" s="62">
        <f t="shared" si="45"/>
        <v>81.018518518518519</v>
      </c>
      <c r="Z92" s="62">
        <f t="shared" si="45"/>
        <v>69.209039548022602</v>
      </c>
      <c r="AA92" s="62">
        <f t="shared" si="45"/>
        <v>71.347031963470315</v>
      </c>
      <c r="AB92" s="62">
        <f t="shared" si="45"/>
        <v>85.258525852585265</v>
      </c>
      <c r="AC92" s="62">
        <f t="shared" si="45"/>
        <v>87.570621468926561</v>
      </c>
      <c r="AD92" s="62">
        <f t="shared" si="45"/>
        <v>84.29276315789474</v>
      </c>
      <c r="AE92" s="62">
        <f t="shared" si="45"/>
        <v>82.465277777777771</v>
      </c>
      <c r="AF92" s="62">
        <f t="shared" si="45"/>
        <v>90.029761904761898</v>
      </c>
      <c r="AG92" s="62">
        <f t="shared" si="45"/>
        <v>84.005376344086017</v>
      </c>
      <c r="AH92" s="62">
        <f t="shared" si="45"/>
        <v>88.6150234741784</v>
      </c>
      <c r="AI92" s="62">
        <f t="shared" si="45"/>
        <v>84.595959595959599</v>
      </c>
      <c r="AJ92" s="54">
        <f>L92</f>
        <v>46086</v>
      </c>
      <c r="AK92" s="18" t="s">
        <v>2</v>
      </c>
      <c r="AL92" s="56">
        <f>(AL100*100000)/(AL101*60*8)</f>
        <v>93.75</v>
      </c>
      <c r="AM92" s="56">
        <f t="shared" ref="AM92:AP92" si="46">(AM100*100000)/(AM101*60*8)</f>
        <v>93.00595238095238</v>
      </c>
      <c r="AN92" s="56">
        <f t="shared" si="46"/>
        <v>81.845238095238102</v>
      </c>
      <c r="AO92" s="56">
        <f t="shared" si="46"/>
        <v>96.982758620689651</v>
      </c>
      <c r="AP92" s="56">
        <f t="shared" si="46"/>
        <v>88.087248322147644</v>
      </c>
      <c r="AQ92" s="56"/>
      <c r="AS92" s="30">
        <f>SUM(N93:AI93)</f>
        <v>134</v>
      </c>
    </row>
    <row r="93" spans="1:45" x14ac:dyDescent="0.25">
      <c r="A93" s="41"/>
      <c r="B93" s="20" t="s">
        <v>3</v>
      </c>
      <c r="C93" s="56">
        <v>8</v>
      </c>
      <c r="D93" s="57">
        <v>14</v>
      </c>
      <c r="E93" s="57">
        <v>22</v>
      </c>
      <c r="F93" s="57">
        <v>12</v>
      </c>
      <c r="G93" s="57">
        <v>12</v>
      </c>
      <c r="H93" s="57">
        <v>4</v>
      </c>
      <c r="I93" s="57">
        <v>16</v>
      </c>
      <c r="J93" s="57">
        <v>29</v>
      </c>
      <c r="K93" s="57">
        <v>0</v>
      </c>
      <c r="L93" s="54"/>
      <c r="M93" s="18" t="s">
        <v>3</v>
      </c>
      <c r="N93" s="56">
        <v>6</v>
      </c>
      <c r="O93" s="56">
        <v>9</v>
      </c>
      <c r="P93" s="57">
        <v>2</v>
      </c>
      <c r="Q93" s="57">
        <v>4</v>
      </c>
      <c r="R93" s="57">
        <v>2</v>
      </c>
      <c r="S93" s="57">
        <v>1</v>
      </c>
      <c r="T93" s="57">
        <v>7</v>
      </c>
      <c r="U93" s="57">
        <v>16</v>
      </c>
      <c r="V93" s="57">
        <v>4</v>
      </c>
      <c r="W93" s="57">
        <v>8</v>
      </c>
      <c r="X93" s="57">
        <v>17</v>
      </c>
      <c r="Y93" s="57">
        <v>1</v>
      </c>
      <c r="Z93" s="57">
        <v>10</v>
      </c>
      <c r="AA93" s="57">
        <v>3</v>
      </c>
      <c r="AB93" s="57">
        <v>2</v>
      </c>
      <c r="AC93" s="57">
        <v>5</v>
      </c>
      <c r="AD93" s="57">
        <v>4</v>
      </c>
      <c r="AE93" s="57">
        <v>20</v>
      </c>
      <c r="AF93" s="57">
        <v>0</v>
      </c>
      <c r="AG93" s="56">
        <v>3</v>
      </c>
      <c r="AH93" s="56">
        <v>6</v>
      </c>
      <c r="AI93" s="56">
        <v>4</v>
      </c>
      <c r="AJ93" s="54"/>
      <c r="AK93" s="18" t="s">
        <v>3</v>
      </c>
      <c r="AL93" s="56">
        <v>9</v>
      </c>
      <c r="AM93" s="56">
        <v>5</v>
      </c>
      <c r="AN93" s="56">
        <v>7</v>
      </c>
      <c r="AO93" s="56">
        <v>1</v>
      </c>
      <c r="AP93" s="56">
        <v>5</v>
      </c>
      <c r="AQ93" s="56"/>
      <c r="AS93" s="30">
        <f t="shared" ref="AS93:AS98" si="47">SUM(N94:AI94)</f>
        <v>0</v>
      </c>
    </row>
    <row r="94" spans="1:45" x14ac:dyDescent="0.25">
      <c r="A94" s="41"/>
      <c r="B94" s="18" t="s">
        <v>4</v>
      </c>
      <c r="C94" s="56"/>
      <c r="D94" s="57"/>
      <c r="E94" s="57"/>
      <c r="F94" s="57"/>
      <c r="G94" s="57"/>
      <c r="H94" s="57"/>
      <c r="I94" s="57"/>
      <c r="J94" s="57"/>
      <c r="K94" s="57"/>
      <c r="L94" s="54"/>
      <c r="M94" s="18" t="s">
        <v>4</v>
      </c>
      <c r="N94" s="56"/>
      <c r="O94" s="56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6"/>
      <c r="AH94" s="56"/>
      <c r="AI94" s="56"/>
      <c r="AJ94" s="54"/>
      <c r="AK94" s="18" t="s">
        <v>4</v>
      </c>
      <c r="AL94" s="56"/>
      <c r="AM94" s="56"/>
      <c r="AN94" s="56"/>
      <c r="AO94" s="56"/>
      <c r="AP94" s="56"/>
      <c r="AQ94" s="56"/>
      <c r="AS94" s="30">
        <f t="shared" si="47"/>
        <v>135</v>
      </c>
    </row>
    <row r="95" spans="1:45" x14ac:dyDescent="0.25">
      <c r="A95" s="41"/>
      <c r="B95" s="18" t="s">
        <v>5</v>
      </c>
      <c r="C95" s="56">
        <v>15</v>
      </c>
      <c r="D95" s="57">
        <v>15</v>
      </c>
      <c r="E95" s="57">
        <v>10</v>
      </c>
      <c r="F95" s="57">
        <v>4</v>
      </c>
      <c r="G95" s="57">
        <v>0</v>
      </c>
      <c r="H95" s="57">
        <v>10</v>
      </c>
      <c r="I95" s="57">
        <v>11</v>
      </c>
      <c r="J95" s="57">
        <v>15</v>
      </c>
      <c r="K95" s="57">
        <v>0</v>
      </c>
      <c r="L95" s="54"/>
      <c r="M95" s="18" t="s">
        <v>5</v>
      </c>
      <c r="N95" s="56">
        <v>0</v>
      </c>
      <c r="O95" s="56">
        <v>1</v>
      </c>
      <c r="P95" s="57">
        <v>4</v>
      </c>
      <c r="Q95" s="57">
        <v>27</v>
      </c>
      <c r="R95" s="57">
        <v>0</v>
      </c>
      <c r="S95" s="57">
        <v>3</v>
      </c>
      <c r="T95" s="57">
        <v>1</v>
      </c>
      <c r="U95" s="57">
        <v>7</v>
      </c>
      <c r="V95" s="57">
        <v>3</v>
      </c>
      <c r="W95" s="57">
        <v>13</v>
      </c>
      <c r="X95" s="57">
        <v>3</v>
      </c>
      <c r="Y95" s="57">
        <v>13</v>
      </c>
      <c r="Z95" s="57">
        <v>10</v>
      </c>
      <c r="AA95" s="57">
        <v>4</v>
      </c>
      <c r="AB95" s="57">
        <v>3</v>
      </c>
      <c r="AC95" s="57">
        <v>6</v>
      </c>
      <c r="AD95" s="57">
        <v>15</v>
      </c>
      <c r="AE95" s="57">
        <v>7</v>
      </c>
      <c r="AF95" s="57">
        <v>3</v>
      </c>
      <c r="AG95" s="56">
        <v>9</v>
      </c>
      <c r="AH95" s="56">
        <v>2</v>
      </c>
      <c r="AI95" s="56">
        <v>1</v>
      </c>
      <c r="AJ95" s="54"/>
      <c r="AK95" s="18" t="s">
        <v>5</v>
      </c>
      <c r="AL95" s="56">
        <v>2</v>
      </c>
      <c r="AM95" s="56">
        <v>3</v>
      </c>
      <c r="AN95" s="56">
        <v>4</v>
      </c>
      <c r="AO95" s="56">
        <v>0</v>
      </c>
      <c r="AP95" s="56">
        <v>6</v>
      </c>
      <c r="AQ95" s="56"/>
      <c r="AS95" s="30">
        <f t="shared" si="47"/>
        <v>0</v>
      </c>
    </row>
    <row r="96" spans="1:45" x14ac:dyDescent="0.25">
      <c r="A96" s="41"/>
      <c r="B96" s="20" t="s">
        <v>6</v>
      </c>
      <c r="C96" s="56"/>
      <c r="D96" s="57"/>
      <c r="E96" s="57"/>
      <c r="F96" s="57"/>
      <c r="G96" s="57"/>
      <c r="H96" s="57"/>
      <c r="I96" s="57"/>
      <c r="J96" s="57"/>
      <c r="K96" s="57"/>
      <c r="L96" s="54"/>
      <c r="M96" s="18" t="s">
        <v>6</v>
      </c>
      <c r="N96" s="56"/>
      <c r="O96" s="56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6"/>
      <c r="AH96" s="56"/>
      <c r="AI96" s="56"/>
      <c r="AJ96" s="54"/>
      <c r="AK96" s="18" t="s">
        <v>7</v>
      </c>
      <c r="AL96" s="56">
        <v>2</v>
      </c>
      <c r="AM96" s="56">
        <v>7</v>
      </c>
      <c r="AN96" s="56">
        <v>7</v>
      </c>
      <c r="AO96" s="56">
        <v>3</v>
      </c>
      <c r="AP96" s="56">
        <v>3</v>
      </c>
      <c r="AQ96" s="56"/>
      <c r="AS96" s="30">
        <f t="shared" si="47"/>
        <v>115</v>
      </c>
    </row>
    <row r="97" spans="1:45" x14ac:dyDescent="0.25">
      <c r="A97" s="41"/>
      <c r="B97" s="20" t="s">
        <v>7</v>
      </c>
      <c r="C97" s="56">
        <v>8</v>
      </c>
      <c r="D97" s="57">
        <v>30</v>
      </c>
      <c r="E97" s="57">
        <v>43</v>
      </c>
      <c r="F97" s="57">
        <v>14</v>
      </c>
      <c r="G97" s="57">
        <v>16</v>
      </c>
      <c r="H97" s="57">
        <v>8</v>
      </c>
      <c r="I97" s="57">
        <v>14</v>
      </c>
      <c r="J97" s="57">
        <v>7</v>
      </c>
      <c r="K97" s="57">
        <v>7</v>
      </c>
      <c r="L97" s="54"/>
      <c r="M97" s="18" t="s">
        <v>7</v>
      </c>
      <c r="N97" s="56">
        <v>0</v>
      </c>
      <c r="O97" s="56">
        <v>0</v>
      </c>
      <c r="P97" s="57">
        <v>7</v>
      </c>
      <c r="Q97" s="57">
        <v>7</v>
      </c>
      <c r="R97" s="57">
        <v>3</v>
      </c>
      <c r="S97" s="57">
        <v>8</v>
      </c>
      <c r="T97" s="57">
        <v>8</v>
      </c>
      <c r="U97" s="57">
        <v>5</v>
      </c>
      <c r="V97" s="57">
        <v>10</v>
      </c>
      <c r="W97" s="57">
        <v>2</v>
      </c>
      <c r="X97" s="57">
        <v>4</v>
      </c>
      <c r="Y97" s="57">
        <v>6</v>
      </c>
      <c r="Z97" s="57">
        <v>14</v>
      </c>
      <c r="AA97" s="57">
        <v>4</v>
      </c>
      <c r="AB97" s="57">
        <v>8</v>
      </c>
      <c r="AC97" s="57">
        <v>1</v>
      </c>
      <c r="AD97" s="57">
        <v>7</v>
      </c>
      <c r="AE97" s="57">
        <v>1</v>
      </c>
      <c r="AF97" s="57">
        <v>9</v>
      </c>
      <c r="AG97" s="56">
        <v>6</v>
      </c>
      <c r="AH97" s="56">
        <v>4</v>
      </c>
      <c r="AI97" s="56">
        <v>1</v>
      </c>
      <c r="AJ97" s="54"/>
      <c r="AK97" s="18" t="s">
        <v>8</v>
      </c>
      <c r="AL97" s="56"/>
      <c r="AM97" s="56"/>
      <c r="AN97" s="56"/>
      <c r="AO97" s="56"/>
      <c r="AP97" s="56"/>
      <c r="AQ97" s="56"/>
      <c r="AS97" s="30">
        <f t="shared" si="47"/>
        <v>0</v>
      </c>
    </row>
    <row r="98" spans="1:45" x14ac:dyDescent="0.25">
      <c r="A98" s="43" t="s">
        <v>23</v>
      </c>
      <c r="B98" s="20" t="s">
        <v>10</v>
      </c>
      <c r="C98" s="56"/>
      <c r="D98" s="57"/>
      <c r="E98" s="57"/>
      <c r="F98" s="57"/>
      <c r="G98" s="57"/>
      <c r="H98" s="57"/>
      <c r="I98" s="57"/>
      <c r="J98" s="57"/>
      <c r="K98" s="57"/>
      <c r="L98" s="55" t="str">
        <f>A98</f>
        <v>JU3T</v>
      </c>
      <c r="M98" s="18" t="s">
        <v>10</v>
      </c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5" t="str">
        <f>+L98</f>
        <v>JU3T</v>
      </c>
      <c r="AK98" s="18" t="s">
        <v>11</v>
      </c>
      <c r="AL98" s="56">
        <v>2</v>
      </c>
      <c r="AM98" s="56">
        <v>2</v>
      </c>
      <c r="AN98" s="56">
        <v>13</v>
      </c>
      <c r="AO98" s="56">
        <v>3</v>
      </c>
      <c r="AP98" s="56">
        <v>3</v>
      </c>
      <c r="AQ98" s="56"/>
      <c r="AS98" s="30">
        <f t="shared" si="47"/>
        <v>89</v>
      </c>
    </row>
    <row r="99" spans="1:45" x14ac:dyDescent="0.25">
      <c r="A99" s="43"/>
      <c r="B99" s="20" t="s">
        <v>11</v>
      </c>
      <c r="C99" s="56">
        <v>5</v>
      </c>
      <c r="D99" s="57">
        <v>6</v>
      </c>
      <c r="E99" s="57">
        <v>24</v>
      </c>
      <c r="F99" s="57">
        <v>20</v>
      </c>
      <c r="G99" s="57">
        <v>5</v>
      </c>
      <c r="H99" s="57">
        <v>3</v>
      </c>
      <c r="I99" s="57">
        <v>4</v>
      </c>
      <c r="J99" s="57">
        <v>11</v>
      </c>
      <c r="K99" s="57">
        <v>8</v>
      </c>
      <c r="L99" s="55"/>
      <c r="M99" s="18" t="s">
        <v>11</v>
      </c>
      <c r="N99" s="56">
        <v>1</v>
      </c>
      <c r="O99" s="56">
        <v>6</v>
      </c>
      <c r="P99" s="56">
        <v>4</v>
      </c>
      <c r="Q99" s="56">
        <v>3</v>
      </c>
      <c r="R99" s="56">
        <v>4</v>
      </c>
      <c r="S99" s="56">
        <v>2</v>
      </c>
      <c r="T99" s="56">
        <v>2</v>
      </c>
      <c r="U99" s="56">
        <v>3</v>
      </c>
      <c r="V99" s="56">
        <v>9</v>
      </c>
      <c r="W99" s="56">
        <v>3</v>
      </c>
      <c r="X99" s="56">
        <v>8</v>
      </c>
      <c r="Y99" s="56">
        <v>3</v>
      </c>
      <c r="Z99" s="56">
        <v>4</v>
      </c>
      <c r="AA99" s="56">
        <v>4</v>
      </c>
      <c r="AB99" s="56">
        <v>4</v>
      </c>
      <c r="AC99" s="56">
        <v>4</v>
      </c>
      <c r="AD99" s="56">
        <v>5</v>
      </c>
      <c r="AE99" s="56">
        <v>4</v>
      </c>
      <c r="AF99" s="56">
        <v>2</v>
      </c>
      <c r="AG99" s="56">
        <v>3</v>
      </c>
      <c r="AH99" s="56">
        <v>5</v>
      </c>
      <c r="AI99" s="56">
        <v>6</v>
      </c>
      <c r="AJ99" s="55"/>
      <c r="AK99" s="18" t="s">
        <v>12</v>
      </c>
      <c r="AL99" s="56"/>
      <c r="AM99" s="56"/>
      <c r="AN99" s="56"/>
      <c r="AO99" s="56"/>
      <c r="AP99" s="56"/>
      <c r="AQ99" s="56"/>
    </row>
    <row r="100" spans="1:45" x14ac:dyDescent="0.25">
      <c r="A100" s="43"/>
      <c r="B100" s="20" t="s">
        <v>12</v>
      </c>
      <c r="C100" s="56"/>
      <c r="D100" s="57"/>
      <c r="E100" s="57"/>
      <c r="F100" s="57"/>
      <c r="G100" s="57"/>
      <c r="H100" s="57"/>
      <c r="I100" s="57"/>
      <c r="J100" s="57"/>
      <c r="K100" s="57"/>
      <c r="L100" s="55"/>
      <c r="M100" s="18" t="s">
        <v>12</v>
      </c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5"/>
      <c r="AK100" s="18" t="s">
        <v>13</v>
      </c>
      <c r="AL100" s="56">
        <v>117</v>
      </c>
      <c r="AM100" s="56">
        <v>125</v>
      </c>
      <c r="AN100" s="56">
        <v>110</v>
      </c>
      <c r="AO100" s="56">
        <v>135</v>
      </c>
      <c r="AP100" s="56">
        <v>126</v>
      </c>
      <c r="AQ100" s="56"/>
    </row>
    <row r="101" spans="1:45" x14ac:dyDescent="0.25">
      <c r="A101" s="43"/>
      <c r="B101" s="20" t="s">
        <v>13</v>
      </c>
      <c r="C101" s="56">
        <v>119</v>
      </c>
      <c r="D101" s="57">
        <v>121</v>
      </c>
      <c r="E101" s="57">
        <v>56</v>
      </c>
      <c r="F101" s="57">
        <v>119</v>
      </c>
      <c r="G101" s="57">
        <v>131</v>
      </c>
      <c r="H101" s="57">
        <v>107</v>
      </c>
      <c r="I101" s="57">
        <v>104</v>
      </c>
      <c r="J101" s="57">
        <v>105</v>
      </c>
      <c r="K101" s="57">
        <v>120</v>
      </c>
      <c r="L101" s="55"/>
      <c r="M101" s="18" t="s">
        <v>13</v>
      </c>
      <c r="N101" s="56">
        <v>150</v>
      </c>
      <c r="O101" s="56">
        <v>154</v>
      </c>
      <c r="P101" s="56">
        <v>138</v>
      </c>
      <c r="Q101" s="56">
        <v>105</v>
      </c>
      <c r="R101" s="56">
        <v>158</v>
      </c>
      <c r="S101" s="56">
        <v>149</v>
      </c>
      <c r="T101" s="56">
        <v>124</v>
      </c>
      <c r="U101" s="56">
        <v>128</v>
      </c>
      <c r="V101" s="56">
        <v>116</v>
      </c>
      <c r="W101" s="56">
        <v>116</v>
      </c>
      <c r="X101" s="56">
        <v>104</v>
      </c>
      <c r="Y101" s="56">
        <v>119</v>
      </c>
      <c r="Z101" s="56">
        <v>98</v>
      </c>
      <c r="AA101" s="56">
        <v>100</v>
      </c>
      <c r="AB101" s="56">
        <v>124</v>
      </c>
      <c r="AC101" s="56">
        <v>124</v>
      </c>
      <c r="AD101" s="56">
        <v>123</v>
      </c>
      <c r="AE101" s="56">
        <v>114</v>
      </c>
      <c r="AF101" s="56">
        <v>121</v>
      </c>
      <c r="AG101" s="56">
        <v>125</v>
      </c>
      <c r="AH101" s="56">
        <v>151</v>
      </c>
      <c r="AI101" s="56">
        <v>134</v>
      </c>
      <c r="AJ101" s="55"/>
      <c r="AK101" s="18" t="s">
        <v>14</v>
      </c>
      <c r="AL101" s="56">
        <v>260</v>
      </c>
      <c r="AM101" s="56">
        <v>280</v>
      </c>
      <c r="AN101" s="56">
        <v>280</v>
      </c>
      <c r="AO101" s="56">
        <v>290</v>
      </c>
      <c r="AP101" s="56">
        <v>298</v>
      </c>
      <c r="AQ101" s="56"/>
    </row>
    <row r="102" spans="1:45" ht="15.75" thickBot="1" x14ac:dyDescent="0.3">
      <c r="A102" s="43"/>
      <c r="B102" s="20" t="s">
        <v>14</v>
      </c>
      <c r="C102" s="56">
        <v>304</v>
      </c>
      <c r="D102" s="57">
        <v>301</v>
      </c>
      <c r="E102" s="57">
        <v>248</v>
      </c>
      <c r="F102" s="57">
        <v>295</v>
      </c>
      <c r="G102" s="57">
        <v>311</v>
      </c>
      <c r="H102" s="57">
        <v>272</v>
      </c>
      <c r="I102" s="57">
        <v>289</v>
      </c>
      <c r="J102" s="57">
        <v>289</v>
      </c>
      <c r="K102" s="57">
        <v>298</v>
      </c>
      <c r="L102" s="55"/>
      <c r="M102" s="18" t="s">
        <v>14</v>
      </c>
      <c r="N102" s="56">
        <v>335</v>
      </c>
      <c r="O102" s="56">
        <v>350</v>
      </c>
      <c r="P102" s="56">
        <v>320</v>
      </c>
      <c r="Q102" s="56">
        <v>280</v>
      </c>
      <c r="R102" s="56">
        <v>350</v>
      </c>
      <c r="S102" s="56">
        <v>340</v>
      </c>
      <c r="T102" s="56">
        <v>292</v>
      </c>
      <c r="U102" s="56">
        <v>304</v>
      </c>
      <c r="V102" s="56">
        <v>306</v>
      </c>
      <c r="W102" s="56">
        <v>305</v>
      </c>
      <c r="X102" s="56">
        <v>307</v>
      </c>
      <c r="Y102" s="56">
        <v>306</v>
      </c>
      <c r="Z102" s="56">
        <v>295</v>
      </c>
      <c r="AA102" s="56">
        <v>292</v>
      </c>
      <c r="AB102" s="56">
        <v>303</v>
      </c>
      <c r="AC102" s="56">
        <v>295</v>
      </c>
      <c r="AD102" s="56">
        <v>304</v>
      </c>
      <c r="AE102" s="56">
        <v>288</v>
      </c>
      <c r="AF102" s="56">
        <v>280</v>
      </c>
      <c r="AG102" s="56">
        <v>310</v>
      </c>
      <c r="AH102" s="56">
        <v>355</v>
      </c>
      <c r="AI102" s="56">
        <v>330</v>
      </c>
      <c r="AJ102" s="61"/>
      <c r="AK102" s="16"/>
      <c r="AL102" s="56"/>
      <c r="AM102" s="56"/>
      <c r="AN102" s="56"/>
      <c r="AO102" s="56"/>
      <c r="AP102" s="56"/>
      <c r="AQ102" s="56"/>
    </row>
    <row r="103" spans="1:45" x14ac:dyDescent="0.25">
      <c r="A103" s="52">
        <f>A92+1</f>
        <v>46087</v>
      </c>
      <c r="B103" s="7" t="s">
        <v>1</v>
      </c>
      <c r="C103" s="74">
        <v>201</v>
      </c>
      <c r="D103" s="74">
        <f t="shared" ref="D103:H103" si="48">+C103+1</f>
        <v>202</v>
      </c>
      <c r="E103" s="74">
        <f t="shared" si="48"/>
        <v>203</v>
      </c>
      <c r="F103" s="74">
        <f t="shared" si="48"/>
        <v>204</v>
      </c>
      <c r="G103" s="74">
        <f t="shared" si="48"/>
        <v>205</v>
      </c>
      <c r="H103" s="74">
        <f t="shared" si="48"/>
        <v>206</v>
      </c>
      <c r="I103" s="74">
        <v>213</v>
      </c>
      <c r="J103" s="74">
        <f>+I103+1</f>
        <v>214</v>
      </c>
      <c r="K103" s="74">
        <f>+J103+1</f>
        <v>215</v>
      </c>
      <c r="L103" s="67">
        <f>A103</f>
        <v>46087</v>
      </c>
      <c r="M103" s="7" t="s">
        <v>1</v>
      </c>
      <c r="N103" s="74">
        <v>299</v>
      </c>
      <c r="O103" s="74">
        <f t="shared" ref="O103:X103" si="49">+N103+1</f>
        <v>300</v>
      </c>
      <c r="P103" s="74">
        <f t="shared" si="49"/>
        <v>301</v>
      </c>
      <c r="Q103" s="74">
        <f t="shared" si="49"/>
        <v>302</v>
      </c>
      <c r="R103" s="74">
        <f t="shared" si="49"/>
        <v>303</v>
      </c>
      <c r="S103" s="74">
        <f t="shared" si="49"/>
        <v>304</v>
      </c>
      <c r="T103" s="74">
        <f t="shared" si="49"/>
        <v>305</v>
      </c>
      <c r="U103" s="74">
        <f t="shared" si="49"/>
        <v>306</v>
      </c>
      <c r="V103" s="74">
        <f t="shared" si="49"/>
        <v>307</v>
      </c>
      <c r="W103" s="74">
        <f t="shared" si="49"/>
        <v>308</v>
      </c>
      <c r="X103" s="74">
        <f t="shared" si="49"/>
        <v>309</v>
      </c>
      <c r="Y103" s="74">
        <f>+X103+1</f>
        <v>310</v>
      </c>
      <c r="Z103" s="74">
        <f t="shared" ref="Z103:AB103" si="50">+Y103+1</f>
        <v>311</v>
      </c>
      <c r="AA103" s="74">
        <f t="shared" si="50"/>
        <v>312</v>
      </c>
      <c r="AB103" s="74">
        <f t="shared" si="50"/>
        <v>313</v>
      </c>
      <c r="AC103" s="74">
        <f>+AB103+1</f>
        <v>314</v>
      </c>
      <c r="AD103" s="74">
        <f t="shared" ref="AD103:AI103" si="51">+AC103+1</f>
        <v>315</v>
      </c>
      <c r="AE103" s="74">
        <f t="shared" si="51"/>
        <v>316</v>
      </c>
      <c r="AF103" s="74">
        <f t="shared" si="51"/>
        <v>317</v>
      </c>
      <c r="AG103" s="74">
        <f t="shared" si="51"/>
        <v>318</v>
      </c>
      <c r="AH103" s="74">
        <f t="shared" si="51"/>
        <v>319</v>
      </c>
      <c r="AI103" s="74">
        <f t="shared" si="51"/>
        <v>320</v>
      </c>
      <c r="AJ103" s="67">
        <f>L103</f>
        <v>46087</v>
      </c>
      <c r="AK103" s="11" t="s">
        <v>1</v>
      </c>
      <c r="AL103" s="74">
        <v>207</v>
      </c>
      <c r="AM103" s="74">
        <f>+AL103+1</f>
        <v>208</v>
      </c>
      <c r="AN103" s="74">
        <f>+AM103+1</f>
        <v>209</v>
      </c>
      <c r="AO103" s="74">
        <f>+AN103+1</f>
        <v>210</v>
      </c>
      <c r="AP103" s="74">
        <f>+AO103+1</f>
        <v>211</v>
      </c>
      <c r="AQ103" s="74">
        <f>+AP103+1</f>
        <v>212</v>
      </c>
    </row>
    <row r="104" spans="1:45" ht="15" customHeight="1" x14ac:dyDescent="0.25">
      <c r="A104" s="46"/>
      <c r="B104" s="20" t="s">
        <v>2</v>
      </c>
      <c r="C104" s="56">
        <f t="shared" ref="C104:K104" si="52">(C113*100000)/(C114*60*8)</f>
        <v>63.11074918566775</v>
      </c>
      <c r="D104" s="56">
        <f t="shared" si="52"/>
        <v>76.388888888888886</v>
      </c>
      <c r="E104" s="56">
        <f t="shared" si="52"/>
        <v>92.78002699055331</v>
      </c>
      <c r="F104" s="56">
        <f t="shared" si="52"/>
        <v>88.682432432432435</v>
      </c>
      <c r="G104" s="56">
        <f t="shared" si="52"/>
        <v>85.625674217907232</v>
      </c>
      <c r="H104" s="56">
        <f t="shared" si="52"/>
        <v>87.316176470588232</v>
      </c>
      <c r="I104" s="56">
        <f t="shared" si="52"/>
        <v>75.692041522491351</v>
      </c>
      <c r="J104" s="56">
        <f t="shared" si="52"/>
        <v>67.041522491349482</v>
      </c>
      <c r="K104" s="62">
        <f t="shared" si="52"/>
        <v>83.61204013377926</v>
      </c>
      <c r="L104" s="48"/>
      <c r="M104" s="18" t="s">
        <v>2</v>
      </c>
      <c r="N104" s="62">
        <f>(N113*100000)/(N114*60*8)</f>
        <v>90.174129353233837</v>
      </c>
      <c r="O104" s="62">
        <f t="shared" ref="O104:S104" si="53">(O113*100000)/(O114*60*8)</f>
        <v>83.333333333333329</v>
      </c>
      <c r="P104" s="62">
        <f t="shared" si="53"/>
        <v>91.145833333333329</v>
      </c>
      <c r="Q104" s="62">
        <f t="shared" si="53"/>
        <v>75.892857142857139</v>
      </c>
      <c r="R104" s="62">
        <f t="shared" si="53"/>
        <v>82.142857142857139</v>
      </c>
      <c r="S104" s="62">
        <f t="shared" si="53"/>
        <v>89.460784313725483</v>
      </c>
      <c r="T104" s="62">
        <f>(T113*100000)/(T114*60*8)</f>
        <v>93.390804597701148</v>
      </c>
      <c r="U104" s="62">
        <f>(U113*100000)/(U114*60*8)</f>
        <v>52.647412755716005</v>
      </c>
      <c r="V104" s="62">
        <f t="shared" ref="V104:AI104" si="54">(V113*100000)/(V114*60*8)</f>
        <v>91.230936819172115</v>
      </c>
      <c r="W104" s="62">
        <f t="shared" si="54"/>
        <v>86.06557377049181</v>
      </c>
      <c r="X104" s="62">
        <f t="shared" si="54"/>
        <v>86.082175925925924</v>
      </c>
      <c r="Y104" s="62">
        <f t="shared" si="54"/>
        <v>90.550108932461868</v>
      </c>
      <c r="Z104" s="62">
        <f t="shared" si="54"/>
        <v>85.74263038548753</v>
      </c>
      <c r="AA104" s="62">
        <f t="shared" si="54"/>
        <v>71.347031963470315</v>
      </c>
      <c r="AB104" s="62">
        <f t="shared" si="54"/>
        <v>80.445544554455452</v>
      </c>
      <c r="AC104" s="62">
        <f t="shared" si="54"/>
        <v>85.451977401129938</v>
      </c>
      <c r="AD104" s="79"/>
      <c r="AE104" s="62">
        <f t="shared" si="54"/>
        <v>91.283863368669017</v>
      </c>
      <c r="AF104" s="62">
        <f t="shared" si="54"/>
        <v>66.113161131611321</v>
      </c>
      <c r="AG104" s="62">
        <f t="shared" si="54"/>
        <v>91.397849462365585</v>
      </c>
      <c r="AH104" s="62">
        <f t="shared" si="54"/>
        <v>95.771144278606968</v>
      </c>
      <c r="AI104" s="62">
        <f t="shared" si="54"/>
        <v>82.702020202020208</v>
      </c>
      <c r="AJ104" s="48"/>
      <c r="AK104" s="18" t="s">
        <v>2</v>
      </c>
      <c r="AL104" s="56">
        <f>(AL112*100000)/(AL113*60*8)</f>
        <v>91.601815823605705</v>
      </c>
      <c r="AM104" s="56">
        <f t="shared" ref="AM104:AP104" si="55">(AM112*100000)/(AM113*60*8)</f>
        <v>96.899224806201545</v>
      </c>
      <c r="AN104" s="56">
        <f t="shared" si="55"/>
        <v>93.339307048984466</v>
      </c>
      <c r="AO104" s="56">
        <f t="shared" si="55"/>
        <v>78.575547866205312</v>
      </c>
      <c r="AP104" s="56">
        <f t="shared" si="55"/>
        <v>86.68903803131991</v>
      </c>
      <c r="AQ104" s="56"/>
      <c r="AS104" s="30">
        <f t="shared" ref="AS104:AS111" si="56">SUM(N105:AI105)</f>
        <v>130</v>
      </c>
    </row>
    <row r="105" spans="1:45" x14ac:dyDescent="0.25">
      <c r="A105" s="46"/>
      <c r="B105" s="20" t="s">
        <v>3</v>
      </c>
      <c r="C105" s="56">
        <v>4</v>
      </c>
      <c r="D105" s="57">
        <v>14</v>
      </c>
      <c r="E105" s="57">
        <v>17</v>
      </c>
      <c r="F105" s="57">
        <v>15</v>
      </c>
      <c r="G105" s="57">
        <v>9</v>
      </c>
      <c r="H105" s="57">
        <v>4</v>
      </c>
      <c r="I105" s="57">
        <v>13</v>
      </c>
      <c r="J105" s="57">
        <v>8</v>
      </c>
      <c r="K105" s="57">
        <v>4</v>
      </c>
      <c r="L105" s="48"/>
      <c r="M105" s="18" t="s">
        <v>3</v>
      </c>
      <c r="N105" s="57">
        <v>8</v>
      </c>
      <c r="O105" s="57">
        <v>28</v>
      </c>
      <c r="P105" s="57">
        <v>7</v>
      </c>
      <c r="Q105" s="57">
        <v>0</v>
      </c>
      <c r="R105" s="57">
        <v>2</v>
      </c>
      <c r="S105" s="56">
        <v>0</v>
      </c>
      <c r="T105" s="56">
        <v>8</v>
      </c>
      <c r="U105" s="56">
        <v>4</v>
      </c>
      <c r="V105" s="56">
        <v>3</v>
      </c>
      <c r="W105" s="56">
        <v>14</v>
      </c>
      <c r="X105" s="56">
        <v>11</v>
      </c>
      <c r="Y105" s="56">
        <v>3</v>
      </c>
      <c r="Z105" s="56">
        <v>3</v>
      </c>
      <c r="AA105" s="56">
        <v>1</v>
      </c>
      <c r="AB105" s="56">
        <v>1</v>
      </c>
      <c r="AC105" s="56">
        <v>11</v>
      </c>
      <c r="AD105" s="79"/>
      <c r="AE105" s="56">
        <v>7</v>
      </c>
      <c r="AF105" s="56">
        <v>3</v>
      </c>
      <c r="AG105" s="56">
        <v>2</v>
      </c>
      <c r="AH105" s="56">
        <v>2</v>
      </c>
      <c r="AI105" s="56">
        <v>12</v>
      </c>
      <c r="AJ105" s="48"/>
      <c r="AK105" s="18" t="s">
        <v>3</v>
      </c>
      <c r="AL105" s="56">
        <v>8</v>
      </c>
      <c r="AM105" s="56">
        <v>5</v>
      </c>
      <c r="AN105" s="56">
        <v>4</v>
      </c>
      <c r="AO105" s="56">
        <v>6</v>
      </c>
      <c r="AP105" s="56">
        <v>12</v>
      </c>
      <c r="AQ105" s="56"/>
      <c r="AS105" s="30">
        <f t="shared" si="56"/>
        <v>0</v>
      </c>
    </row>
    <row r="106" spans="1:45" x14ac:dyDescent="0.25">
      <c r="A106" s="46"/>
      <c r="B106" s="18" t="s">
        <v>4</v>
      </c>
      <c r="C106" s="56"/>
      <c r="D106" s="57"/>
      <c r="E106" s="57"/>
      <c r="F106" s="57"/>
      <c r="G106" s="57"/>
      <c r="H106" s="57"/>
      <c r="I106" s="57"/>
      <c r="J106" s="57"/>
      <c r="K106" s="57"/>
      <c r="L106" s="48"/>
      <c r="M106" s="18" t="s">
        <v>4</v>
      </c>
      <c r="N106" s="57"/>
      <c r="O106" s="57"/>
      <c r="P106" s="57"/>
      <c r="Q106" s="57"/>
      <c r="R106" s="57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79"/>
      <c r="AE106" s="56"/>
      <c r="AF106" s="56"/>
      <c r="AG106" s="56"/>
      <c r="AH106" s="56"/>
      <c r="AI106" s="56"/>
      <c r="AJ106" s="48"/>
      <c r="AK106" s="18" t="s">
        <v>4</v>
      </c>
      <c r="AL106" s="56"/>
      <c r="AM106" s="56"/>
      <c r="AN106" s="56"/>
      <c r="AO106" s="56"/>
      <c r="AP106" s="56"/>
      <c r="AQ106" s="56"/>
      <c r="AS106" s="30">
        <f>SUM(N107:AI107)</f>
        <v>149</v>
      </c>
    </row>
    <row r="107" spans="1:45" x14ac:dyDescent="0.25">
      <c r="A107" s="46"/>
      <c r="B107" s="20" t="s">
        <v>5</v>
      </c>
      <c r="C107" s="56">
        <v>11</v>
      </c>
      <c r="D107" s="57">
        <v>20</v>
      </c>
      <c r="E107" s="57">
        <v>7</v>
      </c>
      <c r="F107" s="57">
        <v>3</v>
      </c>
      <c r="G107" s="57">
        <v>3</v>
      </c>
      <c r="H107" s="57">
        <v>4</v>
      </c>
      <c r="I107" s="57">
        <v>13</v>
      </c>
      <c r="J107" s="57">
        <v>20</v>
      </c>
      <c r="K107" s="57">
        <v>4</v>
      </c>
      <c r="L107" s="48"/>
      <c r="M107" s="18" t="s">
        <v>5</v>
      </c>
      <c r="N107" s="57">
        <v>2</v>
      </c>
      <c r="O107" s="57">
        <v>7</v>
      </c>
      <c r="P107" s="57">
        <v>4</v>
      </c>
      <c r="Q107" s="57">
        <v>34</v>
      </c>
      <c r="R107" s="57">
        <v>7</v>
      </c>
      <c r="S107" s="56">
        <v>5</v>
      </c>
      <c r="T107" s="56">
        <v>3</v>
      </c>
      <c r="U107" s="56">
        <v>13</v>
      </c>
      <c r="V107" s="56">
        <v>4</v>
      </c>
      <c r="W107" s="56">
        <v>7</v>
      </c>
      <c r="X107" s="56">
        <v>10</v>
      </c>
      <c r="Y107" s="56">
        <v>4</v>
      </c>
      <c r="Z107" s="56">
        <v>12</v>
      </c>
      <c r="AA107" s="56">
        <v>4</v>
      </c>
      <c r="AB107" s="56">
        <v>16</v>
      </c>
      <c r="AC107" s="56">
        <v>0</v>
      </c>
      <c r="AD107" s="79"/>
      <c r="AE107" s="56">
        <v>3</v>
      </c>
      <c r="AF107" s="56">
        <v>4</v>
      </c>
      <c r="AG107" s="56">
        <v>4</v>
      </c>
      <c r="AH107" s="56">
        <v>2</v>
      </c>
      <c r="AI107" s="56">
        <v>4</v>
      </c>
      <c r="AJ107" s="48"/>
      <c r="AK107" s="18" t="s">
        <v>5</v>
      </c>
      <c r="AL107" s="56">
        <v>2</v>
      </c>
      <c r="AM107" s="56">
        <v>3</v>
      </c>
      <c r="AN107" s="56">
        <v>4</v>
      </c>
      <c r="AO107" s="56">
        <v>0</v>
      </c>
      <c r="AP107" s="56">
        <v>2</v>
      </c>
      <c r="AQ107" s="56"/>
      <c r="AS107" s="30">
        <f t="shared" si="56"/>
        <v>0</v>
      </c>
    </row>
    <row r="108" spans="1:45" x14ac:dyDescent="0.25">
      <c r="A108" s="46"/>
      <c r="B108" s="20" t="s">
        <v>6</v>
      </c>
      <c r="C108" s="56"/>
      <c r="D108" s="57"/>
      <c r="E108" s="57"/>
      <c r="F108" s="57"/>
      <c r="G108" s="57"/>
      <c r="H108" s="57"/>
      <c r="I108" s="57"/>
      <c r="J108" s="57"/>
      <c r="K108" s="57"/>
      <c r="L108" s="48"/>
      <c r="M108" s="18" t="s">
        <v>6</v>
      </c>
      <c r="N108" s="57"/>
      <c r="O108" s="57"/>
      <c r="P108" s="57"/>
      <c r="Q108" s="57"/>
      <c r="R108" s="57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79"/>
      <c r="AE108" s="56"/>
      <c r="AF108" s="56"/>
      <c r="AG108" s="56"/>
      <c r="AH108" s="56"/>
      <c r="AI108" s="56"/>
      <c r="AJ108" s="48"/>
      <c r="AK108" s="18" t="s">
        <v>7</v>
      </c>
      <c r="AL108" s="56">
        <v>1</v>
      </c>
      <c r="AM108" s="56">
        <v>7</v>
      </c>
      <c r="AN108" s="56">
        <v>9</v>
      </c>
      <c r="AO108" s="56">
        <v>12</v>
      </c>
      <c r="AP108" s="56">
        <v>2</v>
      </c>
      <c r="AQ108" s="56"/>
      <c r="AS108" s="30">
        <f>SUM(N109:AI109)</f>
        <v>101</v>
      </c>
    </row>
    <row r="109" spans="1:45" x14ac:dyDescent="0.25">
      <c r="A109" s="46"/>
      <c r="B109" s="20" t="s">
        <v>7</v>
      </c>
      <c r="C109" s="56">
        <v>6</v>
      </c>
      <c r="D109" s="57">
        <v>9</v>
      </c>
      <c r="E109" s="57">
        <v>6</v>
      </c>
      <c r="F109" s="57">
        <v>7</v>
      </c>
      <c r="G109" s="57">
        <v>23</v>
      </c>
      <c r="H109" s="57">
        <v>11</v>
      </c>
      <c r="I109" s="57">
        <v>24</v>
      </c>
      <c r="J109" s="57">
        <v>6</v>
      </c>
      <c r="K109" s="57">
        <v>8</v>
      </c>
      <c r="L109" s="48"/>
      <c r="M109" s="18" t="s">
        <v>7</v>
      </c>
      <c r="N109" s="57">
        <v>2</v>
      </c>
      <c r="O109" s="57">
        <v>3</v>
      </c>
      <c r="P109" s="57">
        <v>2</v>
      </c>
      <c r="Q109" s="57">
        <v>8</v>
      </c>
      <c r="R109" s="57">
        <v>3</v>
      </c>
      <c r="S109" s="56">
        <v>4</v>
      </c>
      <c r="T109" s="56">
        <v>6</v>
      </c>
      <c r="U109" s="56">
        <v>15</v>
      </c>
      <c r="V109" s="56">
        <v>4</v>
      </c>
      <c r="W109" s="56">
        <v>2</v>
      </c>
      <c r="X109" s="56">
        <v>1</v>
      </c>
      <c r="Y109" s="56">
        <v>6</v>
      </c>
      <c r="Z109" s="56">
        <v>8</v>
      </c>
      <c r="AA109" s="56">
        <v>1</v>
      </c>
      <c r="AB109" s="56">
        <v>2</v>
      </c>
      <c r="AC109" s="56">
        <v>7</v>
      </c>
      <c r="AD109" s="79"/>
      <c r="AE109" s="56">
        <v>1</v>
      </c>
      <c r="AF109" s="56">
        <v>18</v>
      </c>
      <c r="AG109" s="56">
        <v>1</v>
      </c>
      <c r="AH109" s="56">
        <v>2</v>
      </c>
      <c r="AI109" s="56">
        <v>5</v>
      </c>
      <c r="AJ109" s="53" t="str">
        <f>L110</f>
        <v>VI 1T</v>
      </c>
      <c r="AK109" s="18" t="s">
        <v>8</v>
      </c>
      <c r="AL109" s="56"/>
      <c r="AM109" s="56"/>
      <c r="AN109" s="56"/>
      <c r="AO109" s="56"/>
      <c r="AP109" s="56"/>
      <c r="AQ109" s="56"/>
      <c r="AS109" s="30">
        <f t="shared" si="56"/>
        <v>0</v>
      </c>
    </row>
    <row r="110" spans="1:45" x14ac:dyDescent="0.25">
      <c r="A110" s="49" t="s">
        <v>25</v>
      </c>
      <c r="B110" s="20" t="s">
        <v>10</v>
      </c>
      <c r="C110" s="56"/>
      <c r="D110" s="57"/>
      <c r="E110" s="57"/>
      <c r="F110" s="57"/>
      <c r="G110" s="57"/>
      <c r="H110" s="57"/>
      <c r="I110" s="57"/>
      <c r="J110" s="57"/>
      <c r="K110" s="57"/>
      <c r="L110" s="53" t="str">
        <f>A110</f>
        <v>VI 1T</v>
      </c>
      <c r="M110" s="18" t="s">
        <v>10</v>
      </c>
      <c r="N110" s="57"/>
      <c r="O110" s="57"/>
      <c r="P110" s="57"/>
      <c r="Q110" s="57"/>
      <c r="R110" s="57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79"/>
      <c r="AE110" s="56"/>
      <c r="AF110" s="56"/>
      <c r="AG110" s="56"/>
      <c r="AH110" s="56"/>
      <c r="AI110" s="56"/>
      <c r="AJ110" s="53"/>
      <c r="AK110" s="18" t="s">
        <v>11</v>
      </c>
      <c r="AL110" s="56">
        <v>3</v>
      </c>
      <c r="AM110" s="56">
        <v>2</v>
      </c>
      <c r="AN110" s="56">
        <v>1</v>
      </c>
      <c r="AO110" s="56">
        <v>3</v>
      </c>
      <c r="AP110" s="56">
        <v>3</v>
      </c>
      <c r="AQ110" s="56"/>
      <c r="AS110" s="30">
        <f>SUM(N111:AI111)</f>
        <v>113</v>
      </c>
    </row>
    <row r="111" spans="1:45" x14ac:dyDescent="0.25">
      <c r="A111" s="49"/>
      <c r="B111" s="20" t="s">
        <v>11</v>
      </c>
      <c r="C111" s="56">
        <v>3</v>
      </c>
      <c r="D111" s="57">
        <v>8</v>
      </c>
      <c r="E111" s="57">
        <v>36</v>
      </c>
      <c r="F111" s="57">
        <v>8</v>
      </c>
      <c r="G111" s="57">
        <v>3</v>
      </c>
      <c r="H111" s="57">
        <v>2</v>
      </c>
      <c r="I111" s="57">
        <v>14</v>
      </c>
      <c r="J111" s="57">
        <v>4</v>
      </c>
      <c r="K111" s="57">
        <v>5</v>
      </c>
      <c r="L111" s="53"/>
      <c r="M111" s="18" t="s">
        <v>11</v>
      </c>
      <c r="N111" s="56">
        <v>3</v>
      </c>
      <c r="O111" s="56">
        <v>11</v>
      </c>
      <c r="P111" s="56">
        <v>2</v>
      </c>
      <c r="Q111" s="56">
        <v>8</v>
      </c>
      <c r="R111" s="56">
        <v>10</v>
      </c>
      <c r="S111" s="56">
        <v>6</v>
      </c>
      <c r="T111" s="56">
        <v>4</v>
      </c>
      <c r="U111" s="56">
        <v>3</v>
      </c>
      <c r="V111" s="56">
        <v>4</v>
      </c>
      <c r="W111" s="56">
        <v>12</v>
      </c>
      <c r="X111" s="56">
        <v>4</v>
      </c>
      <c r="Y111" s="56">
        <v>5</v>
      </c>
      <c r="Z111" s="56">
        <v>2</v>
      </c>
      <c r="AA111" s="56">
        <v>2</v>
      </c>
      <c r="AB111" s="56">
        <v>10</v>
      </c>
      <c r="AC111" s="56">
        <v>3</v>
      </c>
      <c r="AD111" s="79"/>
      <c r="AE111" s="56">
        <v>4</v>
      </c>
      <c r="AF111" s="56">
        <v>3</v>
      </c>
      <c r="AG111" s="56">
        <v>5</v>
      </c>
      <c r="AH111" s="56">
        <v>4</v>
      </c>
      <c r="AI111" s="56">
        <v>8</v>
      </c>
      <c r="AJ111" s="53"/>
      <c r="AK111" s="18" t="s">
        <v>12</v>
      </c>
      <c r="AL111" s="56"/>
      <c r="AM111" s="56"/>
      <c r="AN111" s="56"/>
      <c r="AO111" s="56"/>
      <c r="AP111" s="56"/>
      <c r="AQ111" s="56"/>
      <c r="AS111" s="30">
        <f t="shared" si="56"/>
        <v>0</v>
      </c>
    </row>
    <row r="112" spans="1:45" x14ac:dyDescent="0.25">
      <c r="A112" s="49"/>
      <c r="B112" s="20" t="s">
        <v>12</v>
      </c>
      <c r="C112" s="56"/>
      <c r="D112" s="57"/>
      <c r="E112" s="57"/>
      <c r="F112" s="57"/>
      <c r="G112" s="57"/>
      <c r="H112" s="57"/>
      <c r="I112" s="57"/>
      <c r="J112" s="57"/>
      <c r="K112" s="57"/>
      <c r="L112" s="53"/>
      <c r="M112" s="18" t="s">
        <v>12</v>
      </c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79"/>
      <c r="AE112" s="56"/>
      <c r="AF112" s="56"/>
      <c r="AG112" s="56"/>
      <c r="AH112" s="56"/>
      <c r="AI112" s="56"/>
      <c r="AJ112" s="53"/>
      <c r="AK112" s="18" t="s">
        <v>13</v>
      </c>
      <c r="AL112" s="56">
        <v>113</v>
      </c>
      <c r="AM112" s="56">
        <v>120</v>
      </c>
      <c r="AN112" s="56">
        <v>125</v>
      </c>
      <c r="AO112" s="56">
        <v>109</v>
      </c>
      <c r="AP112" s="56">
        <v>124</v>
      </c>
      <c r="AQ112" s="56"/>
    </row>
    <row r="113" spans="1:45" x14ac:dyDescent="0.25">
      <c r="A113" s="49"/>
      <c r="B113" s="20" t="s">
        <v>13</v>
      </c>
      <c r="C113" s="56">
        <v>93</v>
      </c>
      <c r="D113" s="57">
        <v>110</v>
      </c>
      <c r="E113" s="57">
        <v>110</v>
      </c>
      <c r="F113" s="57">
        <v>126</v>
      </c>
      <c r="G113" s="57">
        <v>127</v>
      </c>
      <c r="H113" s="57">
        <v>114</v>
      </c>
      <c r="I113" s="57">
        <v>105</v>
      </c>
      <c r="J113" s="57">
        <v>93</v>
      </c>
      <c r="K113" s="57">
        <v>120</v>
      </c>
      <c r="L113" s="53"/>
      <c r="M113" s="18" t="s">
        <v>13</v>
      </c>
      <c r="N113" s="56">
        <v>145</v>
      </c>
      <c r="O113" s="56">
        <v>140</v>
      </c>
      <c r="P113" s="56">
        <v>140</v>
      </c>
      <c r="Q113" s="56">
        <v>102</v>
      </c>
      <c r="R113" s="56">
        <v>138</v>
      </c>
      <c r="S113" s="56">
        <v>146</v>
      </c>
      <c r="T113" s="56">
        <v>130</v>
      </c>
      <c r="U113" s="56">
        <v>70</v>
      </c>
      <c r="V113" s="56">
        <v>134</v>
      </c>
      <c r="W113" s="56">
        <v>126</v>
      </c>
      <c r="X113" s="56">
        <v>119</v>
      </c>
      <c r="Y113" s="56">
        <v>133</v>
      </c>
      <c r="Z113" s="56">
        <v>121</v>
      </c>
      <c r="AA113" s="56">
        <v>100</v>
      </c>
      <c r="AB113" s="56">
        <v>117</v>
      </c>
      <c r="AC113" s="56">
        <v>121</v>
      </c>
      <c r="AD113" s="79"/>
      <c r="AE113" s="56">
        <v>124</v>
      </c>
      <c r="AF113" s="56">
        <v>86</v>
      </c>
      <c r="AG113" s="56">
        <v>136</v>
      </c>
      <c r="AH113" s="56">
        <v>154</v>
      </c>
      <c r="AI113" s="56">
        <v>131</v>
      </c>
      <c r="AJ113" s="53"/>
      <c r="AK113" s="18" t="s">
        <v>14</v>
      </c>
      <c r="AL113" s="56">
        <v>257</v>
      </c>
      <c r="AM113" s="56">
        <v>258</v>
      </c>
      <c r="AN113" s="56">
        <v>279</v>
      </c>
      <c r="AO113" s="56">
        <v>289</v>
      </c>
      <c r="AP113" s="56">
        <v>298</v>
      </c>
      <c r="AQ113" s="56"/>
    </row>
    <row r="114" spans="1:45" x14ac:dyDescent="0.25">
      <c r="A114" s="49"/>
      <c r="B114" s="20" t="s">
        <v>14</v>
      </c>
      <c r="C114" s="56">
        <v>307</v>
      </c>
      <c r="D114" s="57">
        <v>300</v>
      </c>
      <c r="E114" s="57">
        <v>247</v>
      </c>
      <c r="F114" s="57">
        <v>296</v>
      </c>
      <c r="G114" s="57">
        <v>309</v>
      </c>
      <c r="H114" s="57">
        <v>272</v>
      </c>
      <c r="I114" s="57">
        <v>289</v>
      </c>
      <c r="J114" s="57">
        <v>289</v>
      </c>
      <c r="K114" s="57">
        <v>299</v>
      </c>
      <c r="L114" s="53"/>
      <c r="M114" s="18" t="s">
        <v>14</v>
      </c>
      <c r="N114" s="56">
        <v>335</v>
      </c>
      <c r="O114" s="56">
        <v>350</v>
      </c>
      <c r="P114" s="56">
        <v>320</v>
      </c>
      <c r="Q114" s="56">
        <v>280</v>
      </c>
      <c r="R114" s="56">
        <v>350</v>
      </c>
      <c r="S114" s="56">
        <v>340</v>
      </c>
      <c r="T114" s="56">
        <v>290</v>
      </c>
      <c r="U114" s="56">
        <v>277</v>
      </c>
      <c r="V114" s="56">
        <v>306</v>
      </c>
      <c r="W114" s="56">
        <v>305</v>
      </c>
      <c r="X114" s="56">
        <v>288</v>
      </c>
      <c r="Y114" s="56">
        <v>306</v>
      </c>
      <c r="Z114" s="56">
        <v>294</v>
      </c>
      <c r="AA114" s="56">
        <v>292</v>
      </c>
      <c r="AB114" s="56">
        <v>303</v>
      </c>
      <c r="AC114" s="56">
        <v>295</v>
      </c>
      <c r="AD114" s="79"/>
      <c r="AE114" s="56">
        <v>283</v>
      </c>
      <c r="AF114" s="56">
        <v>271</v>
      </c>
      <c r="AG114" s="56">
        <v>310</v>
      </c>
      <c r="AH114" s="56">
        <v>335</v>
      </c>
      <c r="AI114" s="56">
        <v>330</v>
      </c>
      <c r="AK114" s="16"/>
      <c r="AL114" s="56"/>
      <c r="AM114" s="56"/>
      <c r="AN114" s="56"/>
      <c r="AO114" s="56"/>
      <c r="AP114" s="56"/>
      <c r="AQ114" s="56"/>
    </row>
    <row r="115" spans="1:45" x14ac:dyDescent="0.25">
      <c r="A115" s="46">
        <f>A103</f>
        <v>46087</v>
      </c>
      <c r="B115" s="20" t="s">
        <v>2</v>
      </c>
      <c r="C115" s="56">
        <f t="shared" ref="C115:K115" si="57">(C124*100000)/(C125*60*8)</f>
        <v>77.439692982456137</v>
      </c>
      <c r="D115" s="56">
        <f t="shared" si="57"/>
        <v>76.82724252491694</v>
      </c>
      <c r="E115" s="56">
        <f t="shared" si="57"/>
        <v>83.165322580645167</v>
      </c>
      <c r="F115" s="56">
        <f t="shared" si="57"/>
        <v>86.86440677966101</v>
      </c>
      <c r="G115" s="56">
        <f t="shared" si="57"/>
        <v>85.744908896034303</v>
      </c>
      <c r="H115" s="56">
        <f t="shared" si="57"/>
        <v>83.486519607843135</v>
      </c>
      <c r="I115" s="56">
        <f t="shared" si="57"/>
        <v>78.575547866205312</v>
      </c>
      <c r="J115" s="56">
        <f t="shared" si="57"/>
        <v>74.250288350634378</v>
      </c>
      <c r="K115" s="62">
        <f t="shared" si="57"/>
        <v>88.087248322147644</v>
      </c>
      <c r="L115" s="48">
        <f>A115</f>
        <v>46087</v>
      </c>
      <c r="M115" s="18" t="s">
        <v>2</v>
      </c>
      <c r="N115" s="62">
        <f>(N124*100000)/(N125*60*8)</f>
        <v>87.68656716417911</v>
      </c>
      <c r="O115" s="62">
        <f t="shared" ref="O115:AI115" si="58">(O124*100000)/(O125*60*8)</f>
        <v>78.571428571428569</v>
      </c>
      <c r="P115" s="62">
        <f t="shared" si="58"/>
        <v>96.354166666666671</v>
      </c>
      <c r="Q115" s="62">
        <f t="shared" si="58"/>
        <v>68.452380952380949</v>
      </c>
      <c r="R115" s="62">
        <f t="shared" si="58"/>
        <v>89.285714285714292</v>
      </c>
      <c r="S115" s="62">
        <f t="shared" si="58"/>
        <v>83.333333333333329</v>
      </c>
      <c r="T115" s="62">
        <f t="shared" si="58"/>
        <v>86.329908675799089</v>
      </c>
      <c r="U115" s="62">
        <f t="shared" si="58"/>
        <v>73.327850877192986</v>
      </c>
      <c r="V115" s="62">
        <f t="shared" si="58"/>
        <v>83.061002178649233</v>
      </c>
      <c r="W115" s="62">
        <f t="shared" si="58"/>
        <v>83.333333333333329</v>
      </c>
      <c r="X115" s="62">
        <f t="shared" si="58"/>
        <v>84.826275787187839</v>
      </c>
      <c r="Y115" s="62">
        <f t="shared" si="58"/>
        <v>94.635076252723309</v>
      </c>
      <c r="Z115" s="62">
        <f t="shared" si="58"/>
        <v>89.68926553672317</v>
      </c>
      <c r="AA115" s="62">
        <f t="shared" si="58"/>
        <v>71.347031963470315</v>
      </c>
      <c r="AB115" s="62">
        <f t="shared" si="58"/>
        <v>86.633663366336634</v>
      </c>
      <c r="AC115" s="62">
        <f t="shared" si="58"/>
        <v>88.983050847457633</v>
      </c>
      <c r="AD115" s="62">
        <f t="shared" si="58"/>
        <v>85.663377192982452</v>
      </c>
      <c r="AE115" s="62">
        <f t="shared" si="58"/>
        <v>86.805555555555557</v>
      </c>
      <c r="AF115" s="62">
        <f t="shared" si="58"/>
        <v>95.982142857142861</v>
      </c>
      <c r="AG115" s="62">
        <f t="shared" si="58"/>
        <v>96.102150537634415</v>
      </c>
      <c r="AH115" s="62">
        <f t="shared" si="58"/>
        <v>93.896713615023472</v>
      </c>
      <c r="AI115" s="62">
        <f t="shared" si="58"/>
        <v>68.813131313131308</v>
      </c>
      <c r="AJ115" s="48">
        <f>L115</f>
        <v>46087</v>
      </c>
      <c r="AK115" s="18" t="s">
        <v>2</v>
      </c>
      <c r="AL115" s="56">
        <f>(AL123*100000)/(AL124*60*8)</f>
        <v>92.147435897435898</v>
      </c>
      <c r="AM115" s="56">
        <f t="shared" ref="AM115:AP115" si="59">(AM123*100000)/(AM124*60*8)</f>
        <v>95.982142857142861</v>
      </c>
      <c r="AN115" s="56">
        <f t="shared" si="59"/>
        <v>71.428571428571431</v>
      </c>
      <c r="AO115" s="56">
        <f t="shared" si="59"/>
        <v>81.896551724137936</v>
      </c>
      <c r="AP115" s="56">
        <f t="shared" si="59"/>
        <v>91.582774049217008</v>
      </c>
      <c r="AQ115" s="56"/>
      <c r="AS115">
        <f>SUM(N124:AI124)</f>
        <v>2800</v>
      </c>
    </row>
    <row r="116" spans="1:45" x14ac:dyDescent="0.25">
      <c r="A116" s="46"/>
      <c r="B116" s="20" t="s">
        <v>3</v>
      </c>
      <c r="C116" s="56">
        <v>3</v>
      </c>
      <c r="D116" s="56">
        <v>5</v>
      </c>
      <c r="E116" s="56">
        <v>6</v>
      </c>
      <c r="F116" s="56">
        <v>10</v>
      </c>
      <c r="G116" s="56">
        <v>3</v>
      </c>
      <c r="H116" s="56">
        <v>3</v>
      </c>
      <c r="I116" s="56">
        <v>2</v>
      </c>
      <c r="J116" s="56">
        <v>7</v>
      </c>
      <c r="K116" s="56">
        <v>3</v>
      </c>
      <c r="L116" s="48"/>
      <c r="M116" s="18" t="s">
        <v>3</v>
      </c>
      <c r="N116" s="56">
        <v>8</v>
      </c>
      <c r="O116" s="56">
        <v>10</v>
      </c>
      <c r="P116" s="56"/>
      <c r="Q116" s="56">
        <v>0</v>
      </c>
      <c r="R116" s="56">
        <v>1</v>
      </c>
      <c r="S116" s="56">
        <v>5</v>
      </c>
      <c r="T116" s="56">
        <v>5</v>
      </c>
      <c r="U116" s="56">
        <v>13</v>
      </c>
      <c r="V116" s="56">
        <v>11</v>
      </c>
      <c r="W116" s="57">
        <v>15</v>
      </c>
      <c r="X116" s="57">
        <v>7</v>
      </c>
      <c r="Y116" s="57">
        <v>0</v>
      </c>
      <c r="Z116" s="57">
        <v>4</v>
      </c>
      <c r="AA116" s="57">
        <v>1</v>
      </c>
      <c r="AB116" s="57">
        <v>1</v>
      </c>
      <c r="AC116" s="57">
        <v>6</v>
      </c>
      <c r="AD116" s="57">
        <v>1</v>
      </c>
      <c r="AE116" s="56">
        <v>6</v>
      </c>
      <c r="AF116" s="56">
        <v>0</v>
      </c>
      <c r="AG116" s="56">
        <v>2</v>
      </c>
      <c r="AH116" s="56">
        <v>1</v>
      </c>
      <c r="AI116" s="56">
        <v>7</v>
      </c>
      <c r="AJ116" s="48"/>
      <c r="AK116" s="18" t="s">
        <v>3</v>
      </c>
      <c r="AL116" s="56">
        <v>5</v>
      </c>
      <c r="AM116" s="56"/>
      <c r="AN116" s="56">
        <v>4</v>
      </c>
      <c r="AO116" s="56">
        <v>3</v>
      </c>
      <c r="AP116" s="56">
        <v>2</v>
      </c>
      <c r="AQ116" s="56"/>
      <c r="AS116">
        <f>SUM(N117:AI117)</f>
        <v>0</v>
      </c>
    </row>
    <row r="117" spans="1:45" x14ac:dyDescent="0.25">
      <c r="A117" s="46"/>
      <c r="B117" s="18" t="s">
        <v>4</v>
      </c>
      <c r="C117" s="57"/>
      <c r="D117" s="57"/>
      <c r="E117" s="57"/>
      <c r="F117" s="57"/>
      <c r="G117" s="57"/>
      <c r="H117" s="57"/>
      <c r="I117" s="57"/>
      <c r="J117" s="56"/>
      <c r="K117" s="56"/>
      <c r="L117" s="48"/>
      <c r="M117" s="18" t="s">
        <v>4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7"/>
      <c r="X117" s="57"/>
      <c r="Y117" s="57"/>
      <c r="Z117" s="57"/>
      <c r="AA117" s="57"/>
      <c r="AB117" s="57"/>
      <c r="AC117" s="57"/>
      <c r="AD117" s="57"/>
      <c r="AE117" s="56"/>
      <c r="AF117" s="56"/>
      <c r="AG117" s="56"/>
      <c r="AH117" s="56"/>
      <c r="AI117" s="56"/>
      <c r="AJ117" s="48"/>
      <c r="AK117" s="18" t="s">
        <v>4</v>
      </c>
      <c r="AL117" s="56"/>
      <c r="AM117" s="56"/>
      <c r="AN117" s="56"/>
      <c r="AO117" s="56"/>
      <c r="AP117" s="56"/>
      <c r="AQ117" s="56"/>
      <c r="AS117">
        <f>SUM(N118:AI118)</f>
        <v>124</v>
      </c>
    </row>
    <row r="118" spans="1:45" x14ac:dyDescent="0.25">
      <c r="A118" s="46"/>
      <c r="B118" s="20" t="s">
        <v>5</v>
      </c>
      <c r="C118" s="57">
        <v>20</v>
      </c>
      <c r="D118" s="57">
        <v>14</v>
      </c>
      <c r="E118" s="57">
        <v>8</v>
      </c>
      <c r="F118" s="57">
        <v>2</v>
      </c>
      <c r="G118" s="57">
        <v>7</v>
      </c>
      <c r="H118" s="57">
        <v>9</v>
      </c>
      <c r="I118" s="57">
        <v>28</v>
      </c>
      <c r="J118" s="56">
        <v>6</v>
      </c>
      <c r="K118" s="56">
        <v>11</v>
      </c>
      <c r="L118" s="48"/>
      <c r="M118" s="18" t="s">
        <v>5</v>
      </c>
      <c r="N118" s="56">
        <v>2</v>
      </c>
      <c r="O118" s="56">
        <v>3</v>
      </c>
      <c r="P118" s="56"/>
      <c r="Q118" s="56">
        <v>15</v>
      </c>
      <c r="R118" s="56">
        <v>4</v>
      </c>
      <c r="S118" s="56">
        <v>4</v>
      </c>
      <c r="T118" s="56">
        <v>4</v>
      </c>
      <c r="U118" s="56">
        <v>7</v>
      </c>
      <c r="V118" s="56">
        <v>8</v>
      </c>
      <c r="W118" s="57">
        <v>12</v>
      </c>
      <c r="X118" s="57">
        <v>8</v>
      </c>
      <c r="Y118" s="57">
        <v>1</v>
      </c>
      <c r="Z118" s="57">
        <v>4</v>
      </c>
      <c r="AA118" s="57">
        <v>4</v>
      </c>
      <c r="AB118" s="57">
        <v>21</v>
      </c>
      <c r="AC118" s="57">
        <v>2</v>
      </c>
      <c r="AD118" s="57">
        <v>3</v>
      </c>
      <c r="AE118" s="56">
        <v>10</v>
      </c>
      <c r="AF118" s="56">
        <v>3</v>
      </c>
      <c r="AG118" s="56">
        <v>1</v>
      </c>
      <c r="AH118" s="56">
        <v>4</v>
      </c>
      <c r="AI118" s="56">
        <v>4</v>
      </c>
      <c r="AJ118" s="48"/>
      <c r="AK118" s="18" t="s">
        <v>5</v>
      </c>
      <c r="AL118" s="56">
        <v>3</v>
      </c>
      <c r="AM118" s="56"/>
      <c r="AN118" s="56">
        <v>2</v>
      </c>
      <c r="AO118" s="56">
        <v>0</v>
      </c>
      <c r="AP118" s="56">
        <v>6</v>
      </c>
      <c r="AQ118" s="56"/>
    </row>
    <row r="119" spans="1:45" x14ac:dyDescent="0.25">
      <c r="A119" s="46"/>
      <c r="B119" s="20" t="s">
        <v>6</v>
      </c>
      <c r="C119" s="57"/>
      <c r="D119" s="57"/>
      <c r="E119" s="57"/>
      <c r="F119" s="57"/>
      <c r="G119" s="57"/>
      <c r="H119" s="57"/>
      <c r="I119" s="57"/>
      <c r="J119" s="56"/>
      <c r="K119" s="56"/>
      <c r="L119" s="48"/>
      <c r="M119" s="18" t="s">
        <v>6</v>
      </c>
      <c r="N119" s="56"/>
      <c r="O119" s="56"/>
      <c r="P119" s="56"/>
      <c r="Q119" s="56"/>
      <c r="R119" s="56"/>
      <c r="S119" s="56"/>
      <c r="T119" s="56"/>
      <c r="U119" s="56"/>
      <c r="V119" s="56"/>
      <c r="W119" s="57"/>
      <c r="X119" s="57"/>
      <c r="Y119" s="57"/>
      <c r="Z119" s="57"/>
      <c r="AA119" s="57"/>
      <c r="AB119" s="57"/>
      <c r="AC119" s="57"/>
      <c r="AD119" s="57"/>
      <c r="AE119" s="56"/>
      <c r="AF119" s="56"/>
      <c r="AG119" s="56"/>
      <c r="AH119" s="56"/>
      <c r="AI119" s="56"/>
      <c r="AJ119" s="48"/>
      <c r="AK119" s="18" t="s">
        <v>7</v>
      </c>
      <c r="AL119" s="56">
        <v>4</v>
      </c>
      <c r="AM119" s="56"/>
      <c r="AN119" s="56">
        <v>8</v>
      </c>
      <c r="AO119" s="56">
        <v>12</v>
      </c>
      <c r="AP119" s="56">
        <v>4</v>
      </c>
      <c r="AQ119" s="56"/>
      <c r="AS119">
        <f>SUM(N120:AI120)</f>
        <v>127</v>
      </c>
    </row>
    <row r="120" spans="1:45" x14ac:dyDescent="0.25">
      <c r="A120" s="46"/>
      <c r="B120" s="20" t="s">
        <v>7</v>
      </c>
      <c r="C120" s="57">
        <v>8</v>
      </c>
      <c r="D120" s="57">
        <v>12</v>
      </c>
      <c r="E120" s="57">
        <v>24</v>
      </c>
      <c r="F120" s="57">
        <v>9</v>
      </c>
      <c r="G120" s="57">
        <v>9</v>
      </c>
      <c r="H120" s="57">
        <v>9</v>
      </c>
      <c r="I120" s="57">
        <v>11</v>
      </c>
      <c r="J120" s="56">
        <v>9</v>
      </c>
      <c r="K120" s="56">
        <v>3</v>
      </c>
      <c r="L120" s="48"/>
      <c r="M120" s="18" t="s">
        <v>7</v>
      </c>
      <c r="N120" s="56">
        <v>2</v>
      </c>
      <c r="O120" s="56">
        <v>2</v>
      </c>
      <c r="P120" s="56"/>
      <c r="Q120" s="56">
        <v>7</v>
      </c>
      <c r="R120" s="56">
        <v>0</v>
      </c>
      <c r="S120" s="56">
        <v>6</v>
      </c>
      <c r="T120" s="56">
        <v>9</v>
      </c>
      <c r="U120" s="56">
        <v>18</v>
      </c>
      <c r="V120" s="56">
        <v>15</v>
      </c>
      <c r="W120" s="57">
        <v>13</v>
      </c>
      <c r="X120" s="57">
        <v>3</v>
      </c>
      <c r="Y120" s="57">
        <v>2</v>
      </c>
      <c r="Z120" s="57">
        <v>5</v>
      </c>
      <c r="AA120" s="57">
        <v>1</v>
      </c>
      <c r="AB120" s="57">
        <v>4</v>
      </c>
      <c r="AC120" s="57">
        <v>6</v>
      </c>
      <c r="AD120" s="57">
        <v>15</v>
      </c>
      <c r="AE120" s="56">
        <v>1</v>
      </c>
      <c r="AF120" s="56">
        <v>8</v>
      </c>
      <c r="AG120" s="56">
        <v>0</v>
      </c>
      <c r="AH120" s="56">
        <v>1</v>
      </c>
      <c r="AI120" s="56">
        <v>9</v>
      </c>
      <c r="AJ120" s="48"/>
      <c r="AK120" s="18" t="s">
        <v>8</v>
      </c>
      <c r="AL120" s="56"/>
      <c r="AM120" s="56"/>
      <c r="AN120" s="56"/>
      <c r="AO120" s="56"/>
      <c r="AP120" s="56"/>
      <c r="AQ120" s="56"/>
      <c r="AS120">
        <f>SUM(N121:AI121)</f>
        <v>0</v>
      </c>
    </row>
    <row r="121" spans="1:45" x14ac:dyDescent="0.25">
      <c r="A121" s="53" t="s">
        <v>26</v>
      </c>
      <c r="B121" s="20" t="s">
        <v>10</v>
      </c>
      <c r="C121" s="57"/>
      <c r="D121" s="57"/>
      <c r="E121" s="57"/>
      <c r="F121" s="57"/>
      <c r="G121" s="57"/>
      <c r="H121" s="57"/>
      <c r="I121" s="57"/>
      <c r="J121" s="56"/>
      <c r="K121" s="56"/>
      <c r="L121" s="53" t="str">
        <f>A121</f>
        <v>VI 2T</v>
      </c>
      <c r="M121" s="18" t="s">
        <v>10</v>
      </c>
      <c r="N121" s="56"/>
      <c r="O121" s="56"/>
      <c r="P121" s="56"/>
      <c r="Q121" s="56"/>
      <c r="R121" s="56"/>
      <c r="S121" s="56"/>
      <c r="T121" s="56"/>
      <c r="U121" s="56"/>
      <c r="V121" s="56"/>
      <c r="W121" s="57"/>
      <c r="X121" s="57"/>
      <c r="Y121" s="57"/>
      <c r="Z121" s="57"/>
      <c r="AA121" s="57"/>
      <c r="AB121" s="57"/>
      <c r="AC121" s="57"/>
      <c r="AD121" s="57"/>
      <c r="AE121" s="56"/>
      <c r="AF121" s="56"/>
      <c r="AG121" s="56"/>
      <c r="AH121" s="56"/>
      <c r="AI121" s="56"/>
      <c r="AJ121" s="53" t="str">
        <f>+L121</f>
        <v>VI 2T</v>
      </c>
      <c r="AK121" s="18" t="s">
        <v>11</v>
      </c>
      <c r="AL121" s="56">
        <v>3</v>
      </c>
      <c r="AM121" s="56">
        <v>9</v>
      </c>
      <c r="AN121" s="56">
        <v>1</v>
      </c>
      <c r="AO121" s="56">
        <v>2</v>
      </c>
      <c r="AP121" s="56">
        <v>7</v>
      </c>
      <c r="AQ121" s="56"/>
      <c r="AS121">
        <f>SUM(N122:AI122)</f>
        <v>99</v>
      </c>
    </row>
    <row r="122" spans="1:45" x14ac:dyDescent="0.25">
      <c r="A122" s="53"/>
      <c r="B122" s="20" t="s">
        <v>11</v>
      </c>
      <c r="C122" s="57">
        <v>3</v>
      </c>
      <c r="D122" s="57">
        <v>8</v>
      </c>
      <c r="E122" s="57">
        <v>7</v>
      </c>
      <c r="F122" s="57">
        <v>13</v>
      </c>
      <c r="G122" s="57">
        <v>6</v>
      </c>
      <c r="H122" s="57">
        <v>3</v>
      </c>
      <c r="I122" s="57">
        <v>8</v>
      </c>
      <c r="J122" s="56">
        <v>3</v>
      </c>
      <c r="K122" s="56">
        <v>5</v>
      </c>
      <c r="L122" s="53"/>
      <c r="M122" s="18" t="s">
        <v>11</v>
      </c>
      <c r="N122" s="56">
        <v>0</v>
      </c>
      <c r="O122" s="56">
        <v>2</v>
      </c>
      <c r="P122" s="56"/>
      <c r="Q122" s="56">
        <v>15</v>
      </c>
      <c r="R122" s="56">
        <v>7</v>
      </c>
      <c r="S122" s="56">
        <v>5</v>
      </c>
      <c r="T122" s="56">
        <v>2</v>
      </c>
      <c r="U122" s="56">
        <v>8</v>
      </c>
      <c r="V122" s="56">
        <v>11</v>
      </c>
      <c r="W122" s="57">
        <v>14</v>
      </c>
      <c r="X122" s="57">
        <v>2</v>
      </c>
      <c r="Y122" s="57">
        <v>2</v>
      </c>
      <c r="Z122" s="57">
        <v>2</v>
      </c>
      <c r="AA122" s="57">
        <v>2</v>
      </c>
      <c r="AB122" s="57">
        <v>5</v>
      </c>
      <c r="AC122" s="57">
        <v>1</v>
      </c>
      <c r="AD122" s="57">
        <v>4</v>
      </c>
      <c r="AE122" s="56">
        <v>3</v>
      </c>
      <c r="AF122" s="56">
        <v>2</v>
      </c>
      <c r="AG122" s="56">
        <v>2</v>
      </c>
      <c r="AH122" s="56">
        <v>2</v>
      </c>
      <c r="AI122" s="56">
        <v>8</v>
      </c>
      <c r="AJ122" s="53"/>
      <c r="AK122" s="18" t="s">
        <v>12</v>
      </c>
      <c r="AL122" s="56"/>
      <c r="AM122" s="56"/>
      <c r="AN122" s="56"/>
      <c r="AO122" s="56"/>
      <c r="AP122" s="56"/>
      <c r="AQ122" s="56"/>
    </row>
    <row r="123" spans="1:45" x14ac:dyDescent="0.25">
      <c r="A123" s="53"/>
      <c r="B123" s="20" t="s">
        <v>12</v>
      </c>
      <c r="C123" s="57"/>
      <c r="D123" s="57"/>
      <c r="E123" s="57"/>
      <c r="F123" s="57"/>
      <c r="G123" s="57"/>
      <c r="H123" s="57"/>
      <c r="I123" s="57"/>
      <c r="J123" s="56"/>
      <c r="K123" s="56"/>
      <c r="L123" s="53"/>
      <c r="M123" s="18" t="s">
        <v>12</v>
      </c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3"/>
      <c r="AK123" s="18" t="s">
        <v>13</v>
      </c>
      <c r="AL123" s="56">
        <v>115</v>
      </c>
      <c r="AM123" s="56">
        <v>129</v>
      </c>
      <c r="AN123" s="56">
        <v>96</v>
      </c>
      <c r="AO123" s="56">
        <v>114</v>
      </c>
      <c r="AP123" s="56">
        <v>131</v>
      </c>
      <c r="AQ123" s="56"/>
    </row>
    <row r="124" spans="1:45" x14ac:dyDescent="0.25">
      <c r="A124" s="53"/>
      <c r="B124" s="20" t="s">
        <v>13</v>
      </c>
      <c r="C124" s="57">
        <v>113</v>
      </c>
      <c r="D124" s="57">
        <v>111</v>
      </c>
      <c r="E124" s="57">
        <v>99</v>
      </c>
      <c r="F124" s="57">
        <v>123</v>
      </c>
      <c r="G124" s="57">
        <v>128</v>
      </c>
      <c r="H124" s="57">
        <v>109</v>
      </c>
      <c r="I124" s="57">
        <v>109</v>
      </c>
      <c r="J124" s="56">
        <v>103</v>
      </c>
      <c r="K124" s="56">
        <v>126</v>
      </c>
      <c r="L124" s="53"/>
      <c r="M124" s="18" t="s">
        <v>13</v>
      </c>
      <c r="N124" s="56">
        <v>141</v>
      </c>
      <c r="O124" s="56">
        <v>132</v>
      </c>
      <c r="P124" s="56">
        <v>148</v>
      </c>
      <c r="Q124" s="56">
        <v>92</v>
      </c>
      <c r="R124" s="56">
        <v>150</v>
      </c>
      <c r="S124" s="56">
        <v>136</v>
      </c>
      <c r="T124" s="56">
        <v>121</v>
      </c>
      <c r="U124" s="56">
        <v>107</v>
      </c>
      <c r="V124" s="56">
        <v>122</v>
      </c>
      <c r="W124" s="56">
        <v>122</v>
      </c>
      <c r="X124" s="56">
        <v>125</v>
      </c>
      <c r="Y124" s="56">
        <v>139</v>
      </c>
      <c r="Z124" s="56">
        <v>127</v>
      </c>
      <c r="AA124" s="56">
        <v>100</v>
      </c>
      <c r="AB124" s="56">
        <v>126</v>
      </c>
      <c r="AC124" s="56">
        <v>126</v>
      </c>
      <c r="AD124" s="56">
        <v>125</v>
      </c>
      <c r="AE124" s="56">
        <v>120</v>
      </c>
      <c r="AF124" s="56">
        <v>129</v>
      </c>
      <c r="AG124" s="56">
        <v>143</v>
      </c>
      <c r="AH124" s="56">
        <v>160</v>
      </c>
      <c r="AI124" s="56">
        <v>109</v>
      </c>
      <c r="AJ124" s="53"/>
      <c r="AK124" s="18" t="s">
        <v>14</v>
      </c>
      <c r="AL124" s="56">
        <v>260</v>
      </c>
      <c r="AM124" s="56">
        <v>280</v>
      </c>
      <c r="AN124" s="56">
        <v>280</v>
      </c>
      <c r="AO124" s="56">
        <v>290</v>
      </c>
      <c r="AP124" s="56">
        <v>298</v>
      </c>
      <c r="AQ124" s="56"/>
    </row>
    <row r="125" spans="1:45" x14ac:dyDescent="0.25">
      <c r="A125" s="53"/>
      <c r="B125" s="20" t="s">
        <v>14</v>
      </c>
      <c r="C125" s="57">
        <v>304</v>
      </c>
      <c r="D125" s="57">
        <v>301</v>
      </c>
      <c r="E125" s="57">
        <v>248</v>
      </c>
      <c r="F125" s="57">
        <v>295</v>
      </c>
      <c r="G125" s="57">
        <v>311</v>
      </c>
      <c r="H125" s="57">
        <v>272</v>
      </c>
      <c r="I125" s="57">
        <v>289</v>
      </c>
      <c r="J125" s="56">
        <v>289</v>
      </c>
      <c r="K125" s="56">
        <v>298</v>
      </c>
      <c r="L125" s="53"/>
      <c r="M125" s="18" t="s">
        <v>14</v>
      </c>
      <c r="N125" s="56">
        <v>335</v>
      </c>
      <c r="O125" s="56">
        <v>350</v>
      </c>
      <c r="P125" s="56">
        <v>320</v>
      </c>
      <c r="Q125" s="56">
        <v>280</v>
      </c>
      <c r="R125" s="56">
        <v>350</v>
      </c>
      <c r="S125" s="56">
        <v>340</v>
      </c>
      <c r="T125" s="56">
        <v>292</v>
      </c>
      <c r="U125" s="56">
        <v>304</v>
      </c>
      <c r="V125" s="56">
        <v>306</v>
      </c>
      <c r="W125" s="56">
        <v>305</v>
      </c>
      <c r="X125" s="56">
        <v>307</v>
      </c>
      <c r="Y125" s="56">
        <v>306</v>
      </c>
      <c r="Z125" s="56">
        <v>295</v>
      </c>
      <c r="AA125" s="56">
        <v>292</v>
      </c>
      <c r="AB125" s="56">
        <v>303</v>
      </c>
      <c r="AC125" s="56">
        <v>295</v>
      </c>
      <c r="AD125" s="56">
        <v>304</v>
      </c>
      <c r="AE125" s="56">
        <v>288</v>
      </c>
      <c r="AF125" s="56">
        <v>280</v>
      </c>
      <c r="AG125" s="56">
        <v>310</v>
      </c>
      <c r="AH125" s="56">
        <v>355</v>
      </c>
      <c r="AI125" s="56">
        <v>330</v>
      </c>
      <c r="AK125" s="16"/>
      <c r="AL125" s="56"/>
      <c r="AM125" s="56"/>
      <c r="AN125" s="56"/>
      <c r="AO125" s="56"/>
      <c r="AP125" s="56"/>
      <c r="AQ125" s="56"/>
    </row>
    <row r="126" spans="1:45" x14ac:dyDescent="0.25">
      <c r="A126" s="48">
        <f>A103</f>
        <v>46087</v>
      </c>
      <c r="B126" s="20" t="s">
        <v>2</v>
      </c>
      <c r="C126" s="56">
        <f t="shared" ref="C126:K126" si="60">(C135*100000)/(C136*60*8)</f>
        <v>85.663377192982452</v>
      </c>
      <c r="D126" s="56">
        <f t="shared" si="60"/>
        <v>75</v>
      </c>
      <c r="E126" s="56">
        <f t="shared" si="60"/>
        <v>96.606182795698928</v>
      </c>
      <c r="F126" s="56">
        <f t="shared" si="60"/>
        <v>90.883668903803127</v>
      </c>
      <c r="G126" s="56">
        <f t="shared" si="60"/>
        <v>73.968512486427798</v>
      </c>
      <c r="H126" s="56">
        <f t="shared" si="60"/>
        <v>89.61397058823529</v>
      </c>
      <c r="I126" s="56">
        <f t="shared" si="60"/>
        <v>86.505190311418687</v>
      </c>
      <c r="J126" s="56">
        <f t="shared" si="60"/>
        <v>88.667820069204154</v>
      </c>
      <c r="K126" s="62">
        <f t="shared" si="60"/>
        <v>96.15384615384616</v>
      </c>
      <c r="L126" s="65">
        <f>A126</f>
        <v>46087</v>
      </c>
      <c r="M126" s="18" t="s">
        <v>2</v>
      </c>
      <c r="N126" s="62">
        <f>(N135*100000)/(N136*60*8)</f>
        <v>87.68656716417911</v>
      </c>
      <c r="O126" s="62">
        <f t="shared" ref="O126:AI126" si="61">(O135*100000)/(O136*60*8)</f>
        <v>91.299019607843135</v>
      </c>
      <c r="P126" s="62">
        <f t="shared" si="61"/>
        <v>55.338541666666664</v>
      </c>
      <c r="Q126" s="62">
        <f t="shared" si="61"/>
        <v>72.172619047619051</v>
      </c>
      <c r="R126" s="62">
        <f t="shared" si="61"/>
        <v>95.833333333333329</v>
      </c>
      <c r="S126" s="62">
        <f t="shared" si="61"/>
        <v>94.975490196078425</v>
      </c>
      <c r="T126" s="62">
        <f t="shared" si="61"/>
        <v>94.827586206896555</v>
      </c>
      <c r="U126" s="62">
        <f t="shared" si="61"/>
        <v>94.1969196919692</v>
      </c>
      <c r="V126" s="62">
        <f t="shared" si="61"/>
        <v>89.188453159041401</v>
      </c>
      <c r="W126" s="62">
        <f t="shared" si="61"/>
        <v>59.42622950819672</v>
      </c>
      <c r="X126" s="62">
        <f t="shared" si="61"/>
        <v>83.621683967704726</v>
      </c>
      <c r="Y126" s="62">
        <f t="shared" si="61"/>
        <v>95.315904139433556</v>
      </c>
      <c r="Z126" s="62">
        <f t="shared" si="61"/>
        <v>85.034013605442183</v>
      </c>
      <c r="AA126" s="62">
        <f t="shared" si="61"/>
        <v>86.329908675799089</v>
      </c>
      <c r="AB126" s="62">
        <f t="shared" si="61"/>
        <v>95.138888888888886</v>
      </c>
      <c r="AC126" s="62">
        <f t="shared" si="61"/>
        <v>62.146892655367232</v>
      </c>
      <c r="AD126" s="62">
        <f t="shared" si="61"/>
        <v>82.78145695364239</v>
      </c>
      <c r="AE126" s="62">
        <f t="shared" si="61"/>
        <v>89.075382803297998</v>
      </c>
      <c r="AF126" s="62">
        <f t="shared" si="61"/>
        <v>72.115384615384613</v>
      </c>
      <c r="AG126" s="62">
        <f t="shared" si="61"/>
        <v>80.729166666666671</v>
      </c>
      <c r="AH126" s="62">
        <f t="shared" si="61"/>
        <v>81.547619047619051</v>
      </c>
      <c r="AI126" s="62">
        <f t="shared" si="61"/>
        <v>70.075757575757578</v>
      </c>
      <c r="AJ126" s="65">
        <f>L126</f>
        <v>46087</v>
      </c>
      <c r="AK126" s="18" t="s">
        <v>2</v>
      </c>
      <c r="AL126" s="56">
        <f>(AL134*100000)/(AL135*60*8)</f>
        <v>91.601815823605705</v>
      </c>
      <c r="AM126" s="56">
        <f t="shared" ref="AM126:AP126" si="62">(AM134*100000)/(AM135*60*8)</f>
        <v>89.285714285714292</v>
      </c>
      <c r="AN126" s="56">
        <f t="shared" si="62"/>
        <v>72.172619047619051</v>
      </c>
      <c r="AO126" s="56">
        <f t="shared" si="62"/>
        <v>91.551326412918115</v>
      </c>
      <c r="AP126" s="56">
        <f t="shared" si="62"/>
        <v>72.706935123042499</v>
      </c>
      <c r="AQ126" s="56"/>
      <c r="AS126" s="30">
        <f t="shared" ref="AS126:AS132" si="63">SUM(N127:AI127)</f>
        <v>82</v>
      </c>
    </row>
    <row r="127" spans="1:45" x14ac:dyDescent="0.25">
      <c r="A127" s="48"/>
      <c r="B127" s="18" t="s">
        <v>3</v>
      </c>
      <c r="C127" s="56">
        <v>2</v>
      </c>
      <c r="D127" s="57">
        <v>19</v>
      </c>
      <c r="E127" s="57">
        <v>0</v>
      </c>
      <c r="F127" s="57">
        <v>4</v>
      </c>
      <c r="G127" s="57">
        <v>6</v>
      </c>
      <c r="H127" s="57">
        <v>2</v>
      </c>
      <c r="I127" s="57">
        <v>2</v>
      </c>
      <c r="J127" s="57">
        <v>4</v>
      </c>
      <c r="K127" s="56">
        <v>0</v>
      </c>
      <c r="L127" s="65"/>
      <c r="M127" s="18" t="s">
        <v>3</v>
      </c>
      <c r="N127" s="56">
        <v>1</v>
      </c>
      <c r="O127" s="56">
        <v>5</v>
      </c>
      <c r="P127" s="56">
        <v>1</v>
      </c>
      <c r="Q127" s="57">
        <v>0</v>
      </c>
      <c r="R127" s="57">
        <v>1</v>
      </c>
      <c r="S127" s="57">
        <v>3</v>
      </c>
      <c r="T127" s="57">
        <v>3</v>
      </c>
      <c r="U127" s="57">
        <v>7</v>
      </c>
      <c r="V127" s="57">
        <v>3</v>
      </c>
      <c r="W127" s="57">
        <v>3</v>
      </c>
      <c r="X127" s="57">
        <v>5</v>
      </c>
      <c r="Y127" s="57">
        <v>1</v>
      </c>
      <c r="Z127" s="57">
        <v>6</v>
      </c>
      <c r="AA127" s="56">
        <v>1</v>
      </c>
      <c r="AB127" s="56">
        <v>0</v>
      </c>
      <c r="AC127" s="56">
        <v>4</v>
      </c>
      <c r="AD127" s="56"/>
      <c r="AE127" s="56">
        <v>12</v>
      </c>
      <c r="AF127" s="56">
        <v>0</v>
      </c>
      <c r="AG127" s="56">
        <v>12</v>
      </c>
      <c r="AH127" s="56">
        <v>3</v>
      </c>
      <c r="AI127" s="56">
        <v>11</v>
      </c>
      <c r="AJ127" s="65"/>
      <c r="AK127" s="18" t="s">
        <v>3</v>
      </c>
      <c r="AL127" s="56">
        <v>1</v>
      </c>
      <c r="AM127" s="56">
        <v>6</v>
      </c>
      <c r="AN127" s="56">
        <v>3</v>
      </c>
      <c r="AO127" s="56">
        <v>0</v>
      </c>
      <c r="AP127" s="56">
        <v>1</v>
      </c>
      <c r="AQ127" s="56"/>
      <c r="AS127" s="30">
        <f t="shared" si="63"/>
        <v>0</v>
      </c>
    </row>
    <row r="128" spans="1:45" x14ac:dyDescent="0.25">
      <c r="A128" s="48"/>
      <c r="B128" s="18" t="s">
        <v>4</v>
      </c>
      <c r="C128" s="56"/>
      <c r="D128" s="57"/>
      <c r="E128" s="57"/>
      <c r="F128" s="57"/>
      <c r="G128" s="57"/>
      <c r="H128" s="57"/>
      <c r="I128" s="57"/>
      <c r="J128" s="57"/>
      <c r="K128" s="56"/>
      <c r="L128" s="65"/>
      <c r="M128" s="18" t="s">
        <v>4</v>
      </c>
      <c r="N128" s="56"/>
      <c r="O128" s="56"/>
      <c r="P128" s="56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6"/>
      <c r="AB128" s="56"/>
      <c r="AC128" s="56"/>
      <c r="AD128" s="56"/>
      <c r="AE128" s="56"/>
      <c r="AF128" s="56"/>
      <c r="AG128" s="56"/>
      <c r="AH128" s="56"/>
      <c r="AI128" s="56"/>
      <c r="AJ128" s="65"/>
      <c r="AK128" s="18" t="s">
        <v>4</v>
      </c>
      <c r="AL128" s="56"/>
      <c r="AM128" s="56"/>
      <c r="AN128" s="56"/>
      <c r="AO128" s="56"/>
      <c r="AP128" s="56"/>
      <c r="AQ128" s="56"/>
      <c r="AS128" s="30">
        <f t="shared" si="63"/>
        <v>176</v>
      </c>
    </row>
    <row r="129" spans="1:45" x14ac:dyDescent="0.25">
      <c r="A129" s="48"/>
      <c r="B129" s="18" t="s">
        <v>5</v>
      </c>
      <c r="C129" s="56">
        <v>8</v>
      </c>
      <c r="D129" s="57">
        <v>23</v>
      </c>
      <c r="E129" s="57">
        <v>2</v>
      </c>
      <c r="F129" s="57">
        <v>1</v>
      </c>
      <c r="G129" s="57">
        <v>5</v>
      </c>
      <c r="H129" s="57">
        <v>7</v>
      </c>
      <c r="I129" s="57">
        <v>29</v>
      </c>
      <c r="J129" s="57">
        <v>1</v>
      </c>
      <c r="K129" s="56">
        <v>3</v>
      </c>
      <c r="L129" s="65"/>
      <c r="M129" s="18" t="s">
        <v>5</v>
      </c>
      <c r="N129" s="56">
        <v>2</v>
      </c>
      <c r="O129" s="56">
        <v>2</v>
      </c>
      <c r="P129" s="56">
        <v>5</v>
      </c>
      <c r="Q129" s="57">
        <v>25</v>
      </c>
      <c r="R129" s="57">
        <v>5</v>
      </c>
      <c r="S129" s="57">
        <v>4</v>
      </c>
      <c r="T129" s="57">
        <v>2</v>
      </c>
      <c r="U129" s="57">
        <v>2</v>
      </c>
      <c r="V129" s="57">
        <v>30</v>
      </c>
      <c r="W129" s="57">
        <v>10</v>
      </c>
      <c r="X129" s="57">
        <v>8</v>
      </c>
      <c r="Y129" s="57">
        <v>3</v>
      </c>
      <c r="Z129" s="57">
        <v>10</v>
      </c>
      <c r="AA129" s="56">
        <v>13</v>
      </c>
      <c r="AB129" s="56">
        <v>1</v>
      </c>
      <c r="AC129" s="56">
        <v>17</v>
      </c>
      <c r="AD129" s="56"/>
      <c r="AE129" s="56">
        <v>9</v>
      </c>
      <c r="AF129" s="56">
        <v>7</v>
      </c>
      <c r="AG129" s="56">
        <v>16</v>
      </c>
      <c r="AH129" s="56">
        <v>3</v>
      </c>
      <c r="AI129" s="56">
        <v>2</v>
      </c>
      <c r="AJ129" s="65"/>
      <c r="AK129" s="18" t="s">
        <v>5</v>
      </c>
      <c r="AL129" s="56">
        <v>17</v>
      </c>
      <c r="AM129" s="56">
        <v>3</v>
      </c>
      <c r="AN129" s="56">
        <v>5</v>
      </c>
      <c r="AO129" s="56">
        <v>0</v>
      </c>
      <c r="AP129" s="56">
        <v>1</v>
      </c>
      <c r="AQ129" s="56"/>
      <c r="AS129" s="30">
        <f t="shared" si="63"/>
        <v>0</v>
      </c>
    </row>
    <row r="130" spans="1:45" x14ac:dyDescent="0.25">
      <c r="A130" s="48"/>
      <c r="B130" s="18" t="s">
        <v>6</v>
      </c>
      <c r="C130" s="56"/>
      <c r="D130" s="57"/>
      <c r="E130" s="57"/>
      <c r="F130" s="57"/>
      <c r="G130" s="57"/>
      <c r="H130" s="57"/>
      <c r="I130" s="57"/>
      <c r="J130" s="57"/>
      <c r="K130" s="56"/>
      <c r="L130" s="65"/>
      <c r="M130" s="18" t="s">
        <v>6</v>
      </c>
      <c r="N130" s="56"/>
      <c r="O130" s="56"/>
      <c r="P130" s="56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6"/>
      <c r="AB130" s="56"/>
      <c r="AC130" s="56"/>
      <c r="AD130" s="56"/>
      <c r="AE130" s="56"/>
      <c r="AF130" s="56"/>
      <c r="AG130" s="56"/>
      <c r="AH130" s="56"/>
      <c r="AI130" s="56"/>
      <c r="AJ130" s="65"/>
      <c r="AK130" s="18" t="s">
        <v>7</v>
      </c>
      <c r="AL130" s="56">
        <v>2</v>
      </c>
      <c r="AM130" s="56">
        <v>10</v>
      </c>
      <c r="AN130" s="56">
        <v>2</v>
      </c>
      <c r="AO130" s="56">
        <v>0</v>
      </c>
      <c r="AP130" s="56">
        <v>3</v>
      </c>
      <c r="AQ130" s="56"/>
      <c r="AS130" s="30">
        <f t="shared" si="63"/>
        <v>146</v>
      </c>
    </row>
    <row r="131" spans="1:45" x14ac:dyDescent="0.25">
      <c r="A131" s="48"/>
      <c r="B131" s="18" t="s">
        <v>7</v>
      </c>
      <c r="C131" s="56">
        <v>16</v>
      </c>
      <c r="D131" s="57">
        <v>7</v>
      </c>
      <c r="E131" s="57">
        <v>0</v>
      </c>
      <c r="F131" s="57">
        <v>14</v>
      </c>
      <c r="G131" s="57">
        <v>12</v>
      </c>
      <c r="H131" s="57">
        <v>5</v>
      </c>
      <c r="I131" s="57">
        <v>14</v>
      </c>
      <c r="J131" s="57">
        <v>5</v>
      </c>
      <c r="K131" s="56">
        <v>3</v>
      </c>
      <c r="L131" s="65"/>
      <c r="M131" s="18" t="s">
        <v>7</v>
      </c>
      <c r="N131" s="56">
        <v>4</v>
      </c>
      <c r="O131" s="56">
        <v>2</v>
      </c>
      <c r="P131" s="56">
        <v>18</v>
      </c>
      <c r="Q131" s="57">
        <v>7</v>
      </c>
      <c r="R131" s="57">
        <v>6</v>
      </c>
      <c r="S131" s="57">
        <v>2</v>
      </c>
      <c r="T131" s="57">
        <v>6</v>
      </c>
      <c r="U131" s="57">
        <v>2</v>
      </c>
      <c r="V131" s="57">
        <v>9</v>
      </c>
      <c r="W131" s="57">
        <v>14</v>
      </c>
      <c r="X131" s="57">
        <v>10</v>
      </c>
      <c r="Y131" s="57">
        <v>2</v>
      </c>
      <c r="Z131" s="57">
        <v>10</v>
      </c>
      <c r="AA131" s="56">
        <v>4</v>
      </c>
      <c r="AB131" s="56">
        <v>3</v>
      </c>
      <c r="AC131" s="56">
        <v>17</v>
      </c>
      <c r="AD131" s="56"/>
      <c r="AE131" s="56">
        <v>1</v>
      </c>
      <c r="AF131" s="56">
        <v>17</v>
      </c>
      <c r="AG131" s="56">
        <v>2</v>
      </c>
      <c r="AH131" s="56">
        <v>4</v>
      </c>
      <c r="AI131" s="56">
        <v>6</v>
      </c>
      <c r="AJ131" s="65"/>
      <c r="AK131" s="18" t="s">
        <v>8</v>
      </c>
      <c r="AL131" s="56"/>
      <c r="AM131" s="56"/>
      <c r="AN131" s="56"/>
      <c r="AO131" s="56"/>
      <c r="AP131" s="56"/>
      <c r="AQ131" s="56"/>
      <c r="AS131" s="30">
        <f t="shared" si="63"/>
        <v>0</v>
      </c>
    </row>
    <row r="132" spans="1:45" x14ac:dyDescent="0.25">
      <c r="A132" s="49" t="s">
        <v>27</v>
      </c>
      <c r="B132" s="18" t="s">
        <v>10</v>
      </c>
      <c r="C132" s="56"/>
      <c r="D132" s="57"/>
      <c r="E132" s="57"/>
      <c r="F132" s="57"/>
      <c r="G132" s="57"/>
      <c r="H132" s="57"/>
      <c r="I132" s="57"/>
      <c r="J132" s="57"/>
      <c r="K132" s="56"/>
      <c r="L132" s="66" t="str">
        <f>A132</f>
        <v>VI 3T</v>
      </c>
      <c r="M132" s="18" t="s">
        <v>10</v>
      </c>
      <c r="N132" s="56"/>
      <c r="O132" s="56"/>
      <c r="P132" s="56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6"/>
      <c r="AB132" s="56"/>
      <c r="AC132" s="56"/>
      <c r="AD132" s="56"/>
      <c r="AE132" s="56"/>
      <c r="AF132" s="56"/>
      <c r="AG132" s="56"/>
      <c r="AH132" s="56"/>
      <c r="AI132" s="56"/>
      <c r="AJ132" s="66" t="str">
        <f>L132</f>
        <v>VI 3T</v>
      </c>
      <c r="AK132" s="18" t="s">
        <v>11</v>
      </c>
      <c r="AL132" s="56">
        <v>2</v>
      </c>
      <c r="AM132" s="56">
        <v>9</v>
      </c>
      <c r="AN132" s="56">
        <v>4</v>
      </c>
      <c r="AO132" s="56">
        <v>1</v>
      </c>
      <c r="AP132" s="56">
        <v>4</v>
      </c>
      <c r="AQ132" s="56"/>
      <c r="AS132" s="30">
        <f t="shared" si="63"/>
        <v>118</v>
      </c>
    </row>
    <row r="133" spans="1:45" x14ac:dyDescent="0.25">
      <c r="A133" s="49"/>
      <c r="B133" s="18" t="s">
        <v>11</v>
      </c>
      <c r="C133" s="56">
        <v>4</v>
      </c>
      <c r="D133" s="57">
        <v>21</v>
      </c>
      <c r="E133" s="57">
        <v>1</v>
      </c>
      <c r="F133" s="57">
        <v>18</v>
      </c>
      <c r="G133" s="57">
        <v>8</v>
      </c>
      <c r="H133" s="57">
        <v>2</v>
      </c>
      <c r="I133" s="57">
        <v>22</v>
      </c>
      <c r="J133" s="57">
        <v>2</v>
      </c>
      <c r="K133" s="56">
        <v>7</v>
      </c>
      <c r="L133" s="66"/>
      <c r="M133" s="18" t="s">
        <v>11</v>
      </c>
      <c r="N133" s="56">
        <v>1</v>
      </c>
      <c r="O133" s="56">
        <v>2</v>
      </c>
      <c r="P133" s="56">
        <v>1</v>
      </c>
      <c r="Q133" s="57">
        <v>2</v>
      </c>
      <c r="R133" s="57">
        <v>3</v>
      </c>
      <c r="S133" s="57">
        <v>2</v>
      </c>
      <c r="T133" s="57">
        <v>2</v>
      </c>
      <c r="U133" s="57">
        <v>5</v>
      </c>
      <c r="V133" s="57">
        <v>5</v>
      </c>
      <c r="W133" s="57">
        <v>31</v>
      </c>
      <c r="X133" s="57">
        <v>4</v>
      </c>
      <c r="Y133" s="57">
        <v>4</v>
      </c>
      <c r="Z133" s="57">
        <v>5</v>
      </c>
      <c r="AA133" s="56">
        <v>5</v>
      </c>
      <c r="AB133" s="56">
        <v>2</v>
      </c>
      <c r="AC133" s="56">
        <v>16</v>
      </c>
      <c r="AD133" s="56"/>
      <c r="AE133" s="56">
        <v>6</v>
      </c>
      <c r="AF133" s="56">
        <v>2</v>
      </c>
      <c r="AG133" s="56">
        <v>5</v>
      </c>
      <c r="AH133" s="56">
        <v>4</v>
      </c>
      <c r="AI133" s="56">
        <v>11</v>
      </c>
      <c r="AJ133" s="66"/>
      <c r="AK133" s="18" t="s">
        <v>12</v>
      </c>
      <c r="AL133" s="56"/>
      <c r="AM133" s="56"/>
      <c r="AN133" s="56"/>
      <c r="AO133" s="56"/>
      <c r="AP133" s="56"/>
      <c r="AQ133" s="56"/>
    </row>
    <row r="134" spans="1:45" x14ac:dyDescent="0.25">
      <c r="A134" s="49"/>
      <c r="B134" s="18" t="s">
        <v>12</v>
      </c>
      <c r="C134" s="56"/>
      <c r="D134" s="57"/>
      <c r="E134" s="57"/>
      <c r="F134" s="57"/>
      <c r="G134" s="57"/>
      <c r="H134" s="57"/>
      <c r="I134" s="57"/>
      <c r="J134" s="57"/>
      <c r="K134" s="56"/>
      <c r="L134" s="66"/>
      <c r="M134" s="18" t="s">
        <v>12</v>
      </c>
      <c r="N134" s="56"/>
      <c r="O134" s="56"/>
      <c r="P134" s="56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6"/>
      <c r="AB134" s="56"/>
      <c r="AC134" s="56"/>
      <c r="AD134" s="56"/>
      <c r="AE134" s="56"/>
      <c r="AF134" s="56"/>
      <c r="AG134" s="56"/>
      <c r="AH134" s="56"/>
      <c r="AI134" s="56"/>
      <c r="AJ134" s="66"/>
      <c r="AK134" s="18" t="s">
        <v>13</v>
      </c>
      <c r="AL134" s="56">
        <v>113</v>
      </c>
      <c r="AM134" s="56">
        <v>120</v>
      </c>
      <c r="AN134" s="56">
        <v>97</v>
      </c>
      <c r="AO134" s="56">
        <v>127</v>
      </c>
      <c r="AP134" s="56">
        <v>104</v>
      </c>
      <c r="AQ134" s="56"/>
    </row>
    <row r="135" spans="1:45" x14ac:dyDescent="0.25">
      <c r="A135" s="49"/>
      <c r="B135" s="18" t="s">
        <v>13</v>
      </c>
      <c r="C135" s="56">
        <v>125</v>
      </c>
      <c r="D135" s="57">
        <v>108</v>
      </c>
      <c r="E135" s="57">
        <v>115</v>
      </c>
      <c r="F135" s="57">
        <v>130</v>
      </c>
      <c r="G135" s="57">
        <v>109</v>
      </c>
      <c r="H135" s="57">
        <v>117</v>
      </c>
      <c r="I135" s="57">
        <v>120</v>
      </c>
      <c r="J135" s="57">
        <v>123</v>
      </c>
      <c r="K135" s="56">
        <v>138</v>
      </c>
      <c r="L135" s="66"/>
      <c r="M135" s="18" t="s">
        <v>13</v>
      </c>
      <c r="N135" s="56">
        <v>141</v>
      </c>
      <c r="O135" s="56">
        <v>149</v>
      </c>
      <c r="P135" s="56">
        <v>85</v>
      </c>
      <c r="Q135" s="57">
        <v>97</v>
      </c>
      <c r="R135" s="57">
        <v>115</v>
      </c>
      <c r="S135" s="57">
        <v>155</v>
      </c>
      <c r="T135" s="57">
        <v>132</v>
      </c>
      <c r="U135" s="57">
        <v>137</v>
      </c>
      <c r="V135" s="57">
        <v>131</v>
      </c>
      <c r="W135" s="57">
        <v>87</v>
      </c>
      <c r="X135" s="57">
        <v>116</v>
      </c>
      <c r="Y135" s="57">
        <v>140</v>
      </c>
      <c r="Z135" s="57">
        <v>120</v>
      </c>
      <c r="AA135" s="56">
        <v>121</v>
      </c>
      <c r="AB135" s="56">
        <v>137</v>
      </c>
      <c r="AC135" s="56">
        <v>88</v>
      </c>
      <c r="AD135" s="56">
        <v>120</v>
      </c>
      <c r="AE135" s="56">
        <v>121</v>
      </c>
      <c r="AF135" s="56">
        <v>90</v>
      </c>
      <c r="AG135" s="56">
        <v>124</v>
      </c>
      <c r="AH135" s="56">
        <v>137</v>
      </c>
      <c r="AI135" s="56">
        <v>111</v>
      </c>
      <c r="AJ135" s="66"/>
      <c r="AK135" s="18" t="s">
        <v>14</v>
      </c>
      <c r="AL135" s="56">
        <v>257</v>
      </c>
      <c r="AM135" s="56">
        <v>280</v>
      </c>
      <c r="AN135" s="56">
        <v>280</v>
      </c>
      <c r="AO135" s="56">
        <v>289</v>
      </c>
      <c r="AP135" s="56">
        <v>298</v>
      </c>
      <c r="AQ135" s="56"/>
    </row>
    <row r="136" spans="1:45" ht="15.75" thickBot="1" x14ac:dyDescent="0.3">
      <c r="A136" s="49"/>
      <c r="B136" s="20" t="s">
        <v>14</v>
      </c>
      <c r="C136" s="56">
        <v>304</v>
      </c>
      <c r="D136" s="56">
        <v>300</v>
      </c>
      <c r="E136" s="56">
        <v>248</v>
      </c>
      <c r="F136" s="56">
        <v>298</v>
      </c>
      <c r="G136" s="56">
        <v>307</v>
      </c>
      <c r="H136" s="56">
        <v>272</v>
      </c>
      <c r="I136" s="56">
        <v>289</v>
      </c>
      <c r="J136" s="56">
        <v>289</v>
      </c>
      <c r="K136" s="56">
        <v>299</v>
      </c>
      <c r="L136" s="66"/>
      <c r="M136" s="18" t="s">
        <v>14</v>
      </c>
      <c r="N136" s="56">
        <v>335</v>
      </c>
      <c r="O136" s="56">
        <v>340</v>
      </c>
      <c r="P136" s="56">
        <v>320</v>
      </c>
      <c r="Q136" s="56">
        <v>280</v>
      </c>
      <c r="R136" s="56">
        <v>250</v>
      </c>
      <c r="S136" s="56">
        <v>340</v>
      </c>
      <c r="T136" s="56">
        <v>290</v>
      </c>
      <c r="U136" s="56">
        <v>303</v>
      </c>
      <c r="V136" s="56">
        <v>306</v>
      </c>
      <c r="W136" s="56">
        <v>305</v>
      </c>
      <c r="X136" s="56">
        <v>289</v>
      </c>
      <c r="Y136" s="56">
        <v>306</v>
      </c>
      <c r="Z136" s="56">
        <v>294</v>
      </c>
      <c r="AA136" s="56">
        <v>292</v>
      </c>
      <c r="AB136" s="56">
        <v>300</v>
      </c>
      <c r="AC136" s="56">
        <v>295</v>
      </c>
      <c r="AD136" s="56">
        <v>302</v>
      </c>
      <c r="AE136" s="56">
        <v>283</v>
      </c>
      <c r="AF136" s="56">
        <v>260</v>
      </c>
      <c r="AG136" s="56">
        <v>320</v>
      </c>
      <c r="AH136" s="56">
        <v>350</v>
      </c>
      <c r="AI136" s="56">
        <v>330</v>
      </c>
      <c r="AJ136" s="61"/>
      <c r="AK136" s="16"/>
      <c r="AL136" s="56"/>
      <c r="AM136" s="56"/>
      <c r="AN136" s="56"/>
      <c r="AO136" s="56"/>
      <c r="AP136" s="56"/>
      <c r="AQ136" s="56"/>
    </row>
    <row r="137" spans="1:45" x14ac:dyDescent="0.25">
      <c r="A137" s="39">
        <f>A126+1</f>
        <v>46088</v>
      </c>
      <c r="B137" s="7" t="s">
        <v>1</v>
      </c>
      <c r="C137" s="74">
        <v>201</v>
      </c>
      <c r="D137" s="74">
        <f t="shared" ref="D137:H137" si="64">+C137+1</f>
        <v>202</v>
      </c>
      <c r="E137" s="74">
        <f t="shared" si="64"/>
        <v>203</v>
      </c>
      <c r="F137" s="74">
        <f t="shared" si="64"/>
        <v>204</v>
      </c>
      <c r="G137" s="74">
        <f t="shared" si="64"/>
        <v>205</v>
      </c>
      <c r="H137" s="74">
        <f t="shared" si="64"/>
        <v>206</v>
      </c>
      <c r="I137" s="74">
        <v>213</v>
      </c>
      <c r="J137" s="74">
        <f>+I137+1</f>
        <v>214</v>
      </c>
      <c r="K137" s="74">
        <f>+J137+1</f>
        <v>215</v>
      </c>
      <c r="L137" s="68">
        <f>A137</f>
        <v>46088</v>
      </c>
      <c r="M137" s="7" t="s">
        <v>1</v>
      </c>
      <c r="N137" s="74">
        <v>299</v>
      </c>
      <c r="O137" s="74">
        <f t="shared" ref="O137:X137" si="65">+N137+1</f>
        <v>300</v>
      </c>
      <c r="P137" s="74">
        <f t="shared" si="65"/>
        <v>301</v>
      </c>
      <c r="Q137" s="74">
        <f t="shared" si="65"/>
        <v>302</v>
      </c>
      <c r="R137" s="74">
        <f t="shared" si="65"/>
        <v>303</v>
      </c>
      <c r="S137" s="74">
        <f t="shared" si="65"/>
        <v>304</v>
      </c>
      <c r="T137" s="74">
        <f t="shared" si="65"/>
        <v>305</v>
      </c>
      <c r="U137" s="74">
        <f t="shared" si="65"/>
        <v>306</v>
      </c>
      <c r="V137" s="74">
        <f t="shared" si="65"/>
        <v>307</v>
      </c>
      <c r="W137" s="74">
        <f t="shared" si="65"/>
        <v>308</v>
      </c>
      <c r="X137" s="74">
        <f t="shared" si="65"/>
        <v>309</v>
      </c>
      <c r="Y137" s="74">
        <f>+X137+1</f>
        <v>310</v>
      </c>
      <c r="Z137" s="74">
        <f t="shared" ref="Z137:AB137" si="66">+Y137+1</f>
        <v>311</v>
      </c>
      <c r="AA137" s="74">
        <f t="shared" si="66"/>
        <v>312</v>
      </c>
      <c r="AB137" s="74">
        <f t="shared" si="66"/>
        <v>313</v>
      </c>
      <c r="AC137" s="74">
        <f>+AB137+1</f>
        <v>314</v>
      </c>
      <c r="AD137" s="74">
        <f t="shared" ref="AD137:AI137" si="67">+AC137+1</f>
        <v>315</v>
      </c>
      <c r="AE137" s="74">
        <f t="shared" si="67"/>
        <v>316</v>
      </c>
      <c r="AF137" s="74">
        <f t="shared" si="67"/>
        <v>317</v>
      </c>
      <c r="AG137" s="74">
        <f t="shared" si="67"/>
        <v>318</v>
      </c>
      <c r="AH137" s="74">
        <f t="shared" si="67"/>
        <v>319</v>
      </c>
      <c r="AI137" s="74">
        <f t="shared" si="67"/>
        <v>320</v>
      </c>
      <c r="AJ137" s="68">
        <f>L137</f>
        <v>46088</v>
      </c>
      <c r="AK137" s="11" t="s">
        <v>1</v>
      </c>
      <c r="AL137" s="74">
        <v>207</v>
      </c>
      <c r="AM137" s="74">
        <f>+AL137+1</f>
        <v>208</v>
      </c>
      <c r="AN137" s="74">
        <f>+AM137+1</f>
        <v>209</v>
      </c>
      <c r="AO137" s="74">
        <f>+AN137+1</f>
        <v>210</v>
      </c>
      <c r="AP137" s="74">
        <f>+AO137+1</f>
        <v>211</v>
      </c>
      <c r="AQ137" s="74">
        <f>+AP137+1</f>
        <v>212</v>
      </c>
    </row>
    <row r="138" spans="1:45" x14ac:dyDescent="0.25">
      <c r="A138" s="36"/>
      <c r="B138" s="20" t="s">
        <v>2</v>
      </c>
      <c r="C138" s="56">
        <f t="shared" ref="C138:K138" si="68">(C147*100000)/(C148*60*8)</f>
        <v>56.880482456140349</v>
      </c>
      <c r="D138" s="56">
        <f t="shared" si="68"/>
        <v>75.442967884828349</v>
      </c>
      <c r="E138" s="56">
        <f t="shared" si="68"/>
        <v>84.005376344086017</v>
      </c>
      <c r="F138" s="56">
        <f t="shared" si="68"/>
        <v>74.858757062146893</v>
      </c>
      <c r="G138" s="56">
        <f t="shared" si="68"/>
        <v>65.648445873526256</v>
      </c>
      <c r="H138" s="56">
        <f t="shared" si="68"/>
        <v>79.656862745098039</v>
      </c>
      <c r="I138" s="56">
        <f t="shared" si="68"/>
        <v>69.20415224913495</v>
      </c>
      <c r="J138" s="56">
        <f t="shared" si="68"/>
        <v>85.063437139561714</v>
      </c>
      <c r="K138" s="62">
        <f t="shared" si="68"/>
        <v>91.582774049217008</v>
      </c>
      <c r="L138" s="69"/>
      <c r="M138" s="18" t="s">
        <v>2</v>
      </c>
      <c r="N138" s="62">
        <f>(N147*100000)/(N148*60*8)</f>
        <v>85.820895522388057</v>
      </c>
      <c r="O138" s="62">
        <f t="shared" ref="O138:S138" si="69">(O147*100000)/(O148*60*8)</f>
        <v>82.142857142857139</v>
      </c>
      <c r="P138" s="62">
        <f t="shared" si="69"/>
        <v>89.84375</v>
      </c>
      <c r="Q138" s="62">
        <f t="shared" si="69"/>
        <v>71.428571428571431</v>
      </c>
      <c r="R138" s="62">
        <f t="shared" si="69"/>
        <v>86.785714285714292</v>
      </c>
      <c r="S138" s="62">
        <f t="shared" si="69"/>
        <v>91.911764705882348</v>
      </c>
      <c r="T138" s="62">
        <f>(T147*100000)/(T148*60*8)</f>
        <v>91.324200913242009</v>
      </c>
      <c r="U138" s="62">
        <f>(U147*100000)/(U148*60*8)</f>
        <v>93.887061403508767</v>
      </c>
      <c r="V138" s="62">
        <f t="shared" ref="V138:AI138" si="70">(V147*100000)/(V148*60*8)</f>
        <v>74.210239651416117</v>
      </c>
      <c r="W138" s="62">
        <f t="shared" si="70"/>
        <v>68.306010928961754</v>
      </c>
      <c r="X138" s="62">
        <f t="shared" si="70"/>
        <v>71.932681867535294</v>
      </c>
      <c r="Y138" s="62">
        <f t="shared" si="70"/>
        <v>91.911764705882348</v>
      </c>
      <c r="Z138" s="62">
        <f t="shared" si="70"/>
        <v>82.627118644067792</v>
      </c>
      <c r="AA138" s="62">
        <f t="shared" si="70"/>
        <v>85.61643835616438</v>
      </c>
      <c r="AB138" s="62">
        <f t="shared" si="70"/>
        <v>49.504950495049506</v>
      </c>
      <c r="AC138" s="62">
        <f t="shared" si="70"/>
        <v>86.86440677966101</v>
      </c>
      <c r="AD138" s="62">
        <f t="shared" si="70"/>
        <v>85.663377192982452</v>
      </c>
      <c r="AE138" s="62">
        <f t="shared" si="70"/>
        <v>88.975694444444443</v>
      </c>
      <c r="AF138" s="62">
        <f t="shared" si="70"/>
        <v>76.636904761904759</v>
      </c>
      <c r="AG138" s="62">
        <f t="shared" si="70"/>
        <v>77.956989247311824</v>
      </c>
      <c r="AH138" s="62">
        <f t="shared" si="70"/>
        <v>89.201877934272304</v>
      </c>
      <c r="AI138" s="62">
        <f t="shared" si="70"/>
        <v>86.48989898989899</v>
      </c>
      <c r="AJ138" s="69"/>
      <c r="AK138" s="18" t="s">
        <v>2</v>
      </c>
      <c r="AL138" s="56">
        <f>(AL146*100000)/(AL147*60*8)</f>
        <v>43.269230769230766</v>
      </c>
      <c r="AM138" s="56">
        <f t="shared" ref="AM138:AP138" si="71">(AM146*100000)/(AM147*60*8)</f>
        <v>86.30952380952381</v>
      </c>
      <c r="AN138" s="56">
        <f t="shared" si="71"/>
        <v>74.404761904761898</v>
      </c>
      <c r="AO138" s="56">
        <f t="shared" si="71"/>
        <v>73.275862068965523</v>
      </c>
      <c r="AP138" s="56">
        <f t="shared" si="71"/>
        <v>76.901565995525729</v>
      </c>
      <c r="AQ138" s="56"/>
      <c r="AS138">
        <f t="shared" ref="AS138:AS145" si="72">SUM(N139:AI139)</f>
        <v>171</v>
      </c>
    </row>
    <row r="139" spans="1:45" x14ac:dyDescent="0.25">
      <c r="A139" s="36"/>
      <c r="B139" s="18" t="s">
        <v>3</v>
      </c>
      <c r="C139" s="57">
        <v>15</v>
      </c>
      <c r="D139" s="57">
        <v>22</v>
      </c>
      <c r="E139" s="57">
        <v>7</v>
      </c>
      <c r="F139" s="57">
        <v>5</v>
      </c>
      <c r="G139" s="57">
        <v>10</v>
      </c>
      <c r="H139" s="57">
        <v>1</v>
      </c>
      <c r="I139" s="57">
        <v>3</v>
      </c>
      <c r="J139" s="56">
        <v>12</v>
      </c>
      <c r="K139" s="56">
        <v>0</v>
      </c>
      <c r="L139" s="69"/>
      <c r="M139" s="18" t="s">
        <v>3</v>
      </c>
      <c r="N139" s="57">
        <v>5</v>
      </c>
      <c r="O139" s="57">
        <v>35</v>
      </c>
      <c r="P139" s="57">
        <v>5</v>
      </c>
      <c r="Q139" s="57">
        <v>0</v>
      </c>
      <c r="R139" s="57">
        <v>1</v>
      </c>
      <c r="S139" s="57">
        <v>4</v>
      </c>
      <c r="T139" s="57">
        <v>3</v>
      </c>
      <c r="U139" s="57">
        <v>15</v>
      </c>
      <c r="V139" s="57">
        <v>16</v>
      </c>
      <c r="W139" s="57"/>
      <c r="X139" s="57">
        <v>13</v>
      </c>
      <c r="Y139" s="57">
        <v>2</v>
      </c>
      <c r="Z139" s="57">
        <v>8</v>
      </c>
      <c r="AA139" s="57">
        <v>32</v>
      </c>
      <c r="AB139" s="57">
        <v>1</v>
      </c>
      <c r="AC139" s="57">
        <v>5</v>
      </c>
      <c r="AD139" s="57">
        <v>3</v>
      </c>
      <c r="AE139" s="57">
        <v>10</v>
      </c>
      <c r="AF139" s="57">
        <v>2</v>
      </c>
      <c r="AG139" s="57">
        <v>4</v>
      </c>
      <c r="AH139" s="57">
        <v>3</v>
      </c>
      <c r="AI139" s="57">
        <v>4</v>
      </c>
      <c r="AJ139" s="69"/>
      <c r="AK139" s="18" t="s">
        <v>3</v>
      </c>
      <c r="AL139" s="56">
        <v>12</v>
      </c>
      <c r="AM139" s="56"/>
      <c r="AN139" s="56">
        <v>3</v>
      </c>
      <c r="AO139" s="56">
        <v>2</v>
      </c>
      <c r="AP139" s="56"/>
      <c r="AQ139" s="56"/>
      <c r="AS139">
        <f t="shared" si="72"/>
        <v>0</v>
      </c>
    </row>
    <row r="140" spans="1:45" x14ac:dyDescent="0.25">
      <c r="A140" s="36"/>
      <c r="B140" s="18" t="s">
        <v>4</v>
      </c>
      <c r="C140" s="57"/>
      <c r="D140" s="57"/>
      <c r="E140" s="57"/>
      <c r="F140" s="57"/>
      <c r="G140" s="57"/>
      <c r="H140" s="57"/>
      <c r="I140" s="57"/>
      <c r="J140" s="56"/>
      <c r="K140" s="56"/>
      <c r="L140" s="69"/>
      <c r="M140" s="18" t="s">
        <v>4</v>
      </c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69"/>
      <c r="AK140" s="18" t="s">
        <v>4</v>
      </c>
      <c r="AL140" s="56"/>
      <c r="AM140" s="56"/>
      <c r="AN140" s="56"/>
      <c r="AO140" s="56"/>
      <c r="AP140" s="56"/>
      <c r="AQ140" s="56"/>
      <c r="AS140">
        <f>SUM(N141:AI141)</f>
        <v>145</v>
      </c>
    </row>
    <row r="141" spans="1:45" x14ac:dyDescent="0.25">
      <c r="A141" s="36"/>
      <c r="B141" s="18" t="s">
        <v>5</v>
      </c>
      <c r="C141" s="57">
        <v>2</v>
      </c>
      <c r="D141" s="57">
        <v>21</v>
      </c>
      <c r="E141" s="57">
        <v>6</v>
      </c>
      <c r="F141" s="57">
        <v>7</v>
      </c>
      <c r="G141" s="57">
        <v>7</v>
      </c>
      <c r="H141" s="57">
        <v>14</v>
      </c>
      <c r="I141" s="57">
        <v>22</v>
      </c>
      <c r="J141" s="56">
        <v>3</v>
      </c>
      <c r="K141" s="56">
        <v>7</v>
      </c>
      <c r="L141" s="69"/>
      <c r="M141" s="18" t="s">
        <v>5</v>
      </c>
      <c r="N141" s="57">
        <v>4</v>
      </c>
      <c r="O141" s="57">
        <v>8</v>
      </c>
      <c r="P141" s="57">
        <v>2</v>
      </c>
      <c r="Q141" s="57">
        <v>25</v>
      </c>
      <c r="R141" s="57">
        <v>0</v>
      </c>
      <c r="S141" s="57">
        <v>1</v>
      </c>
      <c r="T141" s="57">
        <v>4</v>
      </c>
      <c r="U141" s="57">
        <v>4</v>
      </c>
      <c r="V141" s="57">
        <v>3</v>
      </c>
      <c r="W141" s="57"/>
      <c r="X141" s="57">
        <v>15</v>
      </c>
      <c r="Y141" s="57">
        <v>2</v>
      </c>
      <c r="Z141" s="57">
        <v>9</v>
      </c>
      <c r="AA141" s="57">
        <v>6</v>
      </c>
      <c r="AB141" s="57">
        <v>13</v>
      </c>
      <c r="AC141" s="57">
        <v>3</v>
      </c>
      <c r="AD141" s="57">
        <v>11</v>
      </c>
      <c r="AE141" s="57">
        <v>8</v>
      </c>
      <c r="AF141" s="57">
        <v>2</v>
      </c>
      <c r="AG141" s="57">
        <v>22</v>
      </c>
      <c r="AH141" s="57">
        <v>1</v>
      </c>
      <c r="AI141" s="57">
        <v>2</v>
      </c>
      <c r="AJ141" s="69"/>
      <c r="AK141" s="18" t="s">
        <v>5</v>
      </c>
      <c r="AL141" s="56">
        <v>3</v>
      </c>
      <c r="AM141" s="56"/>
      <c r="AN141" s="56">
        <v>2</v>
      </c>
      <c r="AO141" s="56">
        <v>4</v>
      </c>
      <c r="AP141" s="56"/>
      <c r="AQ141" s="56"/>
      <c r="AS141">
        <f t="shared" si="72"/>
        <v>0</v>
      </c>
    </row>
    <row r="142" spans="1:45" x14ac:dyDescent="0.25">
      <c r="A142" s="36"/>
      <c r="B142" s="18" t="s">
        <v>6</v>
      </c>
      <c r="C142" s="57"/>
      <c r="D142" s="57"/>
      <c r="E142" s="57"/>
      <c r="F142" s="57"/>
      <c r="G142" s="57"/>
      <c r="H142" s="57"/>
      <c r="I142" s="57"/>
      <c r="J142" s="56"/>
      <c r="K142" s="56"/>
      <c r="L142" s="69"/>
      <c r="M142" s="18" t="s">
        <v>6</v>
      </c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69"/>
      <c r="AK142" s="18" t="s">
        <v>7</v>
      </c>
      <c r="AL142" s="56">
        <v>6</v>
      </c>
      <c r="AM142" s="56"/>
      <c r="AN142" s="56">
        <v>6</v>
      </c>
      <c r="AO142" s="56">
        <v>6</v>
      </c>
      <c r="AP142" s="56"/>
      <c r="AQ142" s="56"/>
      <c r="AS142">
        <f t="shared" si="72"/>
        <v>109</v>
      </c>
    </row>
    <row r="143" spans="1:45" x14ac:dyDescent="0.25">
      <c r="A143" s="36"/>
      <c r="B143" s="18" t="s">
        <v>7</v>
      </c>
      <c r="C143" s="57">
        <v>19</v>
      </c>
      <c r="D143" s="57">
        <v>11</v>
      </c>
      <c r="E143" s="57">
        <v>3</v>
      </c>
      <c r="F143" s="57">
        <v>6</v>
      </c>
      <c r="G143" s="57">
        <v>24</v>
      </c>
      <c r="H143" s="57">
        <v>12</v>
      </c>
      <c r="I143" s="57">
        <v>17</v>
      </c>
      <c r="J143" s="56">
        <v>5</v>
      </c>
      <c r="K143" s="56">
        <v>3</v>
      </c>
      <c r="L143" s="69"/>
      <c r="M143" s="18" t="s">
        <v>7</v>
      </c>
      <c r="N143" s="57">
        <v>3</v>
      </c>
      <c r="O143" s="57">
        <v>2</v>
      </c>
      <c r="P143" s="57">
        <v>6</v>
      </c>
      <c r="Q143" s="57">
        <v>7</v>
      </c>
      <c r="R143" s="57">
        <v>2</v>
      </c>
      <c r="S143" s="57">
        <v>5</v>
      </c>
      <c r="T143" s="57">
        <v>11</v>
      </c>
      <c r="U143" s="57">
        <v>0</v>
      </c>
      <c r="V143" s="57">
        <v>16</v>
      </c>
      <c r="W143" s="57"/>
      <c r="X143" s="57">
        <v>5</v>
      </c>
      <c r="Y143" s="57">
        <v>2</v>
      </c>
      <c r="Z143" s="57">
        <v>3</v>
      </c>
      <c r="AA143" s="57">
        <v>0</v>
      </c>
      <c r="AB143" s="57">
        <v>7</v>
      </c>
      <c r="AC143" s="57">
        <v>3</v>
      </c>
      <c r="AD143" s="57">
        <v>14</v>
      </c>
      <c r="AE143" s="57">
        <v>1</v>
      </c>
      <c r="AF143" s="57">
        <v>13</v>
      </c>
      <c r="AG143" s="57">
        <v>0</v>
      </c>
      <c r="AH143" s="57">
        <v>5</v>
      </c>
      <c r="AI143" s="57">
        <v>4</v>
      </c>
      <c r="AJ143" s="70" t="str">
        <f>+L144</f>
        <v>SA 1T</v>
      </c>
      <c r="AK143" s="18" t="s">
        <v>8</v>
      </c>
      <c r="AL143" s="56"/>
      <c r="AM143" s="56"/>
      <c r="AN143" s="56"/>
      <c r="AO143" s="56"/>
      <c r="AP143" s="56"/>
      <c r="AQ143" s="56"/>
      <c r="AS143">
        <f t="shared" si="72"/>
        <v>0</v>
      </c>
    </row>
    <row r="144" spans="1:45" x14ac:dyDescent="0.25">
      <c r="A144" s="37" t="s">
        <v>28</v>
      </c>
      <c r="B144" s="18" t="s">
        <v>10</v>
      </c>
      <c r="C144" s="57"/>
      <c r="D144" s="57"/>
      <c r="E144" s="57"/>
      <c r="F144" s="57"/>
      <c r="G144" s="57"/>
      <c r="H144" s="57"/>
      <c r="I144" s="57"/>
      <c r="J144" s="56"/>
      <c r="K144" s="56"/>
      <c r="L144" s="70" t="str">
        <f>A144</f>
        <v>SA 1T</v>
      </c>
      <c r="M144" s="18" t="s">
        <v>10</v>
      </c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70"/>
      <c r="AK144" s="18" t="s">
        <v>11</v>
      </c>
      <c r="AL144" s="56">
        <v>3</v>
      </c>
      <c r="AM144" s="56"/>
      <c r="AN144" s="56">
        <v>2</v>
      </c>
      <c r="AO144" s="56">
        <v>1</v>
      </c>
      <c r="AP144" s="56"/>
      <c r="AQ144" s="56"/>
      <c r="AS144">
        <f t="shared" si="72"/>
        <v>112</v>
      </c>
    </row>
    <row r="145" spans="1:45" x14ac:dyDescent="0.25">
      <c r="A145" s="37"/>
      <c r="B145" s="18" t="s">
        <v>11</v>
      </c>
      <c r="C145" s="57">
        <v>27</v>
      </c>
      <c r="D145" s="57">
        <v>23</v>
      </c>
      <c r="E145" s="57">
        <v>14</v>
      </c>
      <c r="F145" s="57">
        <v>27</v>
      </c>
      <c r="G145" s="57">
        <v>8</v>
      </c>
      <c r="H145" s="57">
        <v>2</v>
      </c>
      <c r="I145" s="57">
        <v>7</v>
      </c>
      <c r="J145" s="56">
        <v>0</v>
      </c>
      <c r="K145" s="56">
        <v>3</v>
      </c>
      <c r="L145" s="70"/>
      <c r="M145" s="18" t="s">
        <v>11</v>
      </c>
      <c r="N145" s="57">
        <v>3</v>
      </c>
      <c r="O145" s="57">
        <v>7</v>
      </c>
      <c r="P145" s="57">
        <v>1</v>
      </c>
      <c r="Q145" s="57">
        <v>8</v>
      </c>
      <c r="R145" s="57">
        <v>5</v>
      </c>
      <c r="S145" s="57">
        <v>6</v>
      </c>
      <c r="T145" s="57">
        <v>4</v>
      </c>
      <c r="U145" s="57">
        <v>6</v>
      </c>
      <c r="V145" s="57">
        <v>10</v>
      </c>
      <c r="W145" s="57"/>
      <c r="X145" s="57">
        <v>6</v>
      </c>
      <c r="Y145" s="57">
        <v>3</v>
      </c>
      <c r="Z145" s="57">
        <v>4</v>
      </c>
      <c r="AA145" s="57">
        <v>18</v>
      </c>
      <c r="AB145" s="57">
        <v>5</v>
      </c>
      <c r="AC145" s="57">
        <v>3</v>
      </c>
      <c r="AD145" s="57">
        <v>6</v>
      </c>
      <c r="AE145" s="57">
        <v>3</v>
      </c>
      <c r="AF145" s="57">
        <v>1</v>
      </c>
      <c r="AG145" s="57">
        <v>3</v>
      </c>
      <c r="AH145" s="57">
        <v>4</v>
      </c>
      <c r="AI145" s="57">
        <v>6</v>
      </c>
      <c r="AJ145" s="70"/>
      <c r="AK145" s="18" t="s">
        <v>12</v>
      </c>
      <c r="AL145" s="56"/>
      <c r="AM145" s="56"/>
      <c r="AN145" s="56"/>
      <c r="AO145" s="56"/>
      <c r="AP145" s="56"/>
      <c r="AQ145" s="56"/>
      <c r="AS145">
        <f t="shared" si="72"/>
        <v>0</v>
      </c>
    </row>
    <row r="146" spans="1:45" x14ac:dyDescent="0.25">
      <c r="A146" s="37"/>
      <c r="B146" s="18" t="s">
        <v>12</v>
      </c>
      <c r="C146" s="57"/>
      <c r="D146" s="57"/>
      <c r="E146" s="57"/>
      <c r="F146" s="57"/>
      <c r="G146" s="57"/>
      <c r="H146" s="57"/>
      <c r="I146" s="57"/>
      <c r="J146" s="56"/>
      <c r="K146" s="56"/>
      <c r="L146" s="70"/>
      <c r="M146" s="18" t="s">
        <v>12</v>
      </c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70"/>
      <c r="AK146" s="18" t="s">
        <v>13</v>
      </c>
      <c r="AL146" s="56">
        <v>54</v>
      </c>
      <c r="AM146" s="56">
        <v>116</v>
      </c>
      <c r="AN146" s="56">
        <v>100</v>
      </c>
      <c r="AO146" s="56">
        <v>102</v>
      </c>
      <c r="AP146" s="56">
        <v>110</v>
      </c>
      <c r="AQ146" s="56"/>
    </row>
    <row r="147" spans="1:45" x14ac:dyDescent="0.25">
      <c r="A147" s="37"/>
      <c r="B147" s="18" t="s">
        <v>13</v>
      </c>
      <c r="C147" s="57">
        <v>83</v>
      </c>
      <c r="D147" s="57">
        <v>109</v>
      </c>
      <c r="E147" s="57">
        <v>100</v>
      </c>
      <c r="F147" s="57">
        <v>106</v>
      </c>
      <c r="G147" s="57">
        <v>98</v>
      </c>
      <c r="H147" s="57">
        <v>104</v>
      </c>
      <c r="I147" s="57">
        <v>96</v>
      </c>
      <c r="J147" s="56">
        <v>118</v>
      </c>
      <c r="K147" s="56">
        <v>131</v>
      </c>
      <c r="L147" s="70"/>
      <c r="M147" s="18" t="s">
        <v>13</v>
      </c>
      <c r="N147" s="56">
        <v>138</v>
      </c>
      <c r="O147" s="56">
        <v>138</v>
      </c>
      <c r="P147" s="56">
        <v>138</v>
      </c>
      <c r="Q147" s="56">
        <v>96</v>
      </c>
      <c r="R147" s="56">
        <v>145.80000000000001</v>
      </c>
      <c r="S147" s="56">
        <v>150</v>
      </c>
      <c r="T147" s="56">
        <v>128</v>
      </c>
      <c r="U147" s="56">
        <v>137</v>
      </c>
      <c r="V147" s="56">
        <v>109</v>
      </c>
      <c r="W147" s="56">
        <v>100</v>
      </c>
      <c r="X147" s="56">
        <v>106</v>
      </c>
      <c r="Y147" s="56">
        <v>135</v>
      </c>
      <c r="Z147" s="56">
        <v>117</v>
      </c>
      <c r="AA147" s="56">
        <v>120</v>
      </c>
      <c r="AB147" s="56">
        <v>72</v>
      </c>
      <c r="AC147" s="56">
        <v>123</v>
      </c>
      <c r="AD147" s="56">
        <v>125</v>
      </c>
      <c r="AE147" s="56">
        <v>123</v>
      </c>
      <c r="AF147" s="56">
        <v>103</v>
      </c>
      <c r="AG147" s="56">
        <v>116</v>
      </c>
      <c r="AH147" s="56">
        <v>152</v>
      </c>
      <c r="AI147" s="56">
        <v>137</v>
      </c>
      <c r="AJ147" s="70"/>
      <c r="AK147" s="18" t="s">
        <v>14</v>
      </c>
      <c r="AL147" s="56">
        <v>260</v>
      </c>
      <c r="AM147" s="56">
        <v>280</v>
      </c>
      <c r="AN147" s="56">
        <v>280</v>
      </c>
      <c r="AO147" s="56">
        <v>290</v>
      </c>
      <c r="AP147" s="56">
        <v>298</v>
      </c>
      <c r="AQ147" s="56"/>
    </row>
    <row r="148" spans="1:45" x14ac:dyDescent="0.25">
      <c r="A148" s="37"/>
      <c r="B148" s="20" t="s">
        <v>14</v>
      </c>
      <c r="C148" s="56">
        <v>304</v>
      </c>
      <c r="D148" s="56">
        <v>301</v>
      </c>
      <c r="E148" s="56">
        <v>248</v>
      </c>
      <c r="F148" s="56">
        <v>295</v>
      </c>
      <c r="G148" s="56">
        <v>311</v>
      </c>
      <c r="H148" s="56">
        <v>272</v>
      </c>
      <c r="I148" s="56">
        <v>289</v>
      </c>
      <c r="J148" s="56">
        <v>289</v>
      </c>
      <c r="K148" s="56">
        <v>298</v>
      </c>
      <c r="L148" s="70"/>
      <c r="M148" s="18" t="s">
        <v>14</v>
      </c>
      <c r="N148" s="56">
        <v>335</v>
      </c>
      <c r="O148" s="56">
        <v>350</v>
      </c>
      <c r="P148" s="56">
        <v>320</v>
      </c>
      <c r="Q148" s="56">
        <v>280</v>
      </c>
      <c r="R148" s="56">
        <v>350</v>
      </c>
      <c r="S148" s="56">
        <v>340</v>
      </c>
      <c r="T148" s="56">
        <v>292</v>
      </c>
      <c r="U148" s="56">
        <v>304</v>
      </c>
      <c r="V148" s="56">
        <v>306</v>
      </c>
      <c r="W148" s="56">
        <v>305</v>
      </c>
      <c r="X148" s="56">
        <v>307</v>
      </c>
      <c r="Y148" s="56">
        <v>306</v>
      </c>
      <c r="Z148" s="56">
        <v>295</v>
      </c>
      <c r="AA148" s="56">
        <v>292</v>
      </c>
      <c r="AB148" s="56">
        <v>303</v>
      </c>
      <c r="AC148" s="56">
        <v>295</v>
      </c>
      <c r="AD148" s="56">
        <v>304</v>
      </c>
      <c r="AE148" s="56">
        <v>288</v>
      </c>
      <c r="AF148" s="56">
        <v>280</v>
      </c>
      <c r="AG148" s="56">
        <v>310</v>
      </c>
      <c r="AH148" s="56">
        <v>355</v>
      </c>
      <c r="AI148" s="56">
        <v>330</v>
      </c>
      <c r="AJ148" s="61"/>
      <c r="AK148" s="16"/>
      <c r="AL148" s="56"/>
      <c r="AM148" s="56"/>
      <c r="AN148" s="56"/>
      <c r="AO148" s="56"/>
      <c r="AP148" s="56"/>
      <c r="AQ148" s="56"/>
    </row>
    <row r="149" spans="1:45" ht="15" customHeight="1" x14ac:dyDescent="0.25">
      <c r="A149" s="36">
        <f>+A137</f>
        <v>46088</v>
      </c>
      <c r="B149" s="20" t="s">
        <v>2</v>
      </c>
      <c r="C149" s="56">
        <f t="shared" ref="C149:K149" si="73">(C158*100000)/(C159*60*8)</f>
        <v>64.63146314631463</v>
      </c>
      <c r="D149" s="56">
        <f t="shared" si="73"/>
        <v>74.55406911928651</v>
      </c>
      <c r="E149" s="56">
        <f t="shared" si="73"/>
        <v>81.48521505376344</v>
      </c>
      <c r="F149" s="56">
        <f t="shared" si="73"/>
        <v>59.121621621621621</v>
      </c>
      <c r="G149" s="56">
        <f t="shared" si="73"/>
        <v>72.815533980582529</v>
      </c>
      <c r="H149" s="56">
        <f t="shared" si="73"/>
        <v>82.720588235294116</v>
      </c>
      <c r="I149" s="56">
        <f t="shared" si="73"/>
        <v>86.505190311418687</v>
      </c>
      <c r="J149" s="56">
        <f t="shared" si="73"/>
        <v>75.954861111111114</v>
      </c>
      <c r="K149" s="62">
        <f t="shared" si="73"/>
        <v>93.680089485458609</v>
      </c>
      <c r="L149" s="69">
        <f>+L137</f>
        <v>46088</v>
      </c>
      <c r="M149" s="18" t="s">
        <v>2</v>
      </c>
      <c r="N149" s="62">
        <f>(N158*100000)/(N159*60*8)</f>
        <v>92.039800995024876</v>
      </c>
      <c r="O149" s="62">
        <f t="shared" ref="O149:AI149" si="74">(O158*100000)/(O159*60*8)</f>
        <v>85.171568627450981</v>
      </c>
      <c r="P149" s="62">
        <f t="shared" si="74"/>
        <v>63.151041666666664</v>
      </c>
      <c r="Q149" s="62">
        <f t="shared" si="74"/>
        <v>57.76220145379024</v>
      </c>
      <c r="R149" s="62">
        <f t="shared" si="74"/>
        <v>91.666666666666671</v>
      </c>
      <c r="S149" s="62">
        <f t="shared" si="74"/>
        <v>88.848039215686271</v>
      </c>
      <c r="T149" s="62">
        <f t="shared" si="74"/>
        <v>65.058479532163744</v>
      </c>
      <c r="U149" s="62">
        <f t="shared" si="74"/>
        <v>86.748633879781423</v>
      </c>
      <c r="V149" s="62">
        <f t="shared" si="74"/>
        <v>75.819672131147541</v>
      </c>
      <c r="W149" s="79"/>
      <c r="X149" s="62">
        <f t="shared" si="74"/>
        <v>83.188657407407405</v>
      </c>
      <c r="Y149" s="80"/>
      <c r="Z149" s="62">
        <f t="shared" si="74"/>
        <v>75.369738339021609</v>
      </c>
      <c r="AA149" s="62">
        <f t="shared" si="74"/>
        <v>68.493150684931507</v>
      </c>
      <c r="AB149" s="62">
        <f t="shared" si="74"/>
        <v>88.888888888888886</v>
      </c>
      <c r="AC149" s="62">
        <f t="shared" si="74"/>
        <v>88.276836158192097</v>
      </c>
      <c r="AD149" s="62">
        <f t="shared" si="74"/>
        <v>44.004400440044002</v>
      </c>
      <c r="AE149" s="62">
        <f t="shared" si="74"/>
        <v>91.933570581257413</v>
      </c>
      <c r="AF149" s="62">
        <f t="shared" si="74"/>
        <v>84.134615384615387</v>
      </c>
      <c r="AG149" s="62">
        <f t="shared" si="74"/>
        <v>77.564102564102569</v>
      </c>
      <c r="AH149" s="62">
        <f t="shared" si="74"/>
        <v>71.009389671361504</v>
      </c>
      <c r="AI149" s="62">
        <f t="shared" si="74"/>
        <v>68.055555555555557</v>
      </c>
      <c r="AJ149" s="69">
        <f>L149</f>
        <v>46088</v>
      </c>
      <c r="AK149" s="18" t="s">
        <v>2</v>
      </c>
      <c r="AL149" s="56">
        <f>(AL157*100000)/(AL158*60*8)</f>
        <v>92.948717948717942</v>
      </c>
      <c r="AM149" s="56">
        <f t="shared" ref="AM149:AO149" si="75">(AM157*100000)/(AM158*60*8)</f>
        <v>93.75</v>
      </c>
      <c r="AN149" s="56">
        <f t="shared" si="75"/>
        <v>86.30952380952381</v>
      </c>
      <c r="AO149" s="56">
        <f t="shared" si="75"/>
        <v>90.422453703703709</v>
      </c>
      <c r="AP149" s="83" t="s">
        <v>24</v>
      </c>
      <c r="AQ149" s="56"/>
      <c r="AS149">
        <f t="shared" ref="AS149:AS155" si="76">SUM(N150:AI150)</f>
        <v>152</v>
      </c>
    </row>
    <row r="150" spans="1:45" x14ac:dyDescent="0.25">
      <c r="A150" s="36"/>
      <c r="B150" s="18" t="s">
        <v>3</v>
      </c>
      <c r="C150" s="57"/>
      <c r="D150" s="57">
        <v>5</v>
      </c>
      <c r="E150" s="57">
        <v>10</v>
      </c>
      <c r="F150" s="57">
        <v>5</v>
      </c>
      <c r="G150" s="57">
        <v>25</v>
      </c>
      <c r="H150" s="57">
        <v>11</v>
      </c>
      <c r="I150" s="57">
        <v>2</v>
      </c>
      <c r="J150" s="56"/>
      <c r="K150" s="56">
        <v>4</v>
      </c>
      <c r="L150" s="69"/>
      <c r="M150" s="18" t="s">
        <v>3</v>
      </c>
      <c r="N150" s="56">
        <v>1</v>
      </c>
      <c r="O150" s="56"/>
      <c r="P150" s="56">
        <v>4</v>
      </c>
      <c r="Q150" s="56">
        <v>3</v>
      </c>
      <c r="R150" s="56">
        <v>0</v>
      </c>
      <c r="S150" s="56">
        <v>1</v>
      </c>
      <c r="T150" s="56">
        <v>4</v>
      </c>
      <c r="U150" s="57">
        <v>10</v>
      </c>
      <c r="V150" s="57">
        <v>49</v>
      </c>
      <c r="W150" s="79"/>
      <c r="X150" s="56">
        <v>8</v>
      </c>
      <c r="Y150" s="80"/>
      <c r="Z150" s="57">
        <v>6</v>
      </c>
      <c r="AA150" s="57">
        <v>36</v>
      </c>
      <c r="AB150" s="57">
        <v>2</v>
      </c>
      <c r="AC150" s="56">
        <v>4</v>
      </c>
      <c r="AD150" s="56">
        <v>3</v>
      </c>
      <c r="AE150" s="56">
        <v>8</v>
      </c>
      <c r="AF150" s="56">
        <v>0</v>
      </c>
      <c r="AG150" s="56">
        <v>3</v>
      </c>
      <c r="AH150" s="56">
        <v>0</v>
      </c>
      <c r="AI150" s="56">
        <v>10</v>
      </c>
      <c r="AJ150" s="69"/>
      <c r="AK150" s="18" t="s">
        <v>3</v>
      </c>
      <c r="AL150" s="56">
        <v>4</v>
      </c>
      <c r="AM150" s="56"/>
      <c r="AN150" s="56">
        <v>7</v>
      </c>
      <c r="AO150" s="56">
        <v>3</v>
      </c>
      <c r="AP150" s="83"/>
      <c r="AQ150" s="56"/>
      <c r="AS150">
        <f t="shared" si="76"/>
        <v>0</v>
      </c>
    </row>
    <row r="151" spans="1:45" x14ac:dyDescent="0.25">
      <c r="A151" s="36"/>
      <c r="B151" s="18" t="s">
        <v>4</v>
      </c>
      <c r="C151" s="57"/>
      <c r="D151" s="57"/>
      <c r="E151" s="57"/>
      <c r="F151" s="57"/>
      <c r="G151" s="57"/>
      <c r="H151" s="57"/>
      <c r="I151" s="57"/>
      <c r="J151" s="56"/>
      <c r="K151" s="56"/>
      <c r="L151" s="69"/>
      <c r="M151" s="18" t="s">
        <v>4</v>
      </c>
      <c r="N151" s="56"/>
      <c r="O151" s="56"/>
      <c r="P151" s="56"/>
      <c r="Q151" s="56"/>
      <c r="R151" s="56"/>
      <c r="S151" s="56"/>
      <c r="T151" s="56"/>
      <c r="U151" s="57"/>
      <c r="V151" s="57"/>
      <c r="W151" s="79"/>
      <c r="X151" s="56"/>
      <c r="Y151" s="80"/>
      <c r="Z151" s="57"/>
      <c r="AA151" s="57"/>
      <c r="AB151" s="57"/>
      <c r="AC151" s="56"/>
      <c r="AD151" s="56"/>
      <c r="AE151" s="56"/>
      <c r="AF151" s="56"/>
      <c r="AG151" s="56"/>
      <c r="AH151" s="56"/>
      <c r="AI151" s="56"/>
      <c r="AJ151" s="69"/>
      <c r="AK151" s="18" t="s">
        <v>4</v>
      </c>
      <c r="AL151" s="56"/>
      <c r="AM151" s="56"/>
      <c r="AN151" s="56"/>
      <c r="AO151" s="56"/>
      <c r="AP151" s="83"/>
      <c r="AQ151" s="56"/>
      <c r="AS151">
        <f t="shared" si="76"/>
        <v>119</v>
      </c>
    </row>
    <row r="152" spans="1:45" x14ac:dyDescent="0.25">
      <c r="A152" s="36"/>
      <c r="B152" s="18" t="s">
        <v>5</v>
      </c>
      <c r="C152" s="57"/>
      <c r="D152" s="57">
        <v>20</v>
      </c>
      <c r="E152" s="57">
        <v>8</v>
      </c>
      <c r="F152" s="57">
        <v>6</v>
      </c>
      <c r="G152" s="57">
        <v>4</v>
      </c>
      <c r="H152" s="57">
        <v>5</v>
      </c>
      <c r="I152" s="57">
        <v>20</v>
      </c>
      <c r="J152" s="56"/>
      <c r="K152" s="56">
        <v>1</v>
      </c>
      <c r="L152" s="69"/>
      <c r="M152" s="18" t="s">
        <v>5</v>
      </c>
      <c r="N152" s="56">
        <v>1</v>
      </c>
      <c r="O152" s="56">
        <v>1</v>
      </c>
      <c r="P152" s="56">
        <v>6</v>
      </c>
      <c r="Q152" s="56">
        <v>13</v>
      </c>
      <c r="R152" s="56">
        <v>3</v>
      </c>
      <c r="S152" s="56">
        <v>1</v>
      </c>
      <c r="T152" s="56">
        <v>4</v>
      </c>
      <c r="U152" s="57">
        <v>3</v>
      </c>
      <c r="V152" s="57">
        <v>1</v>
      </c>
      <c r="W152" s="79"/>
      <c r="X152" s="56">
        <v>7</v>
      </c>
      <c r="Y152" s="80"/>
      <c r="Z152" s="57">
        <v>14</v>
      </c>
      <c r="AA152" s="57">
        <v>8</v>
      </c>
      <c r="AB152" s="57">
        <v>11</v>
      </c>
      <c r="AC152" s="56">
        <v>3</v>
      </c>
      <c r="AD152" s="56">
        <v>9</v>
      </c>
      <c r="AE152" s="56">
        <v>8</v>
      </c>
      <c r="AF152" s="56">
        <v>2</v>
      </c>
      <c r="AG152" s="56">
        <v>11</v>
      </c>
      <c r="AH152" s="56">
        <v>8</v>
      </c>
      <c r="AI152" s="56">
        <v>5</v>
      </c>
      <c r="AJ152" s="69"/>
      <c r="AK152" s="18" t="s">
        <v>5</v>
      </c>
      <c r="AL152" s="56">
        <v>6</v>
      </c>
      <c r="AM152" s="56"/>
      <c r="AN152" s="56">
        <v>3</v>
      </c>
      <c r="AO152" s="56">
        <v>1</v>
      </c>
      <c r="AP152" s="83"/>
      <c r="AQ152" s="56"/>
      <c r="AS152">
        <f t="shared" si="76"/>
        <v>0</v>
      </c>
    </row>
    <row r="153" spans="1:45" x14ac:dyDescent="0.25">
      <c r="A153" s="36"/>
      <c r="B153" s="18" t="s">
        <v>6</v>
      </c>
      <c r="C153" s="57"/>
      <c r="D153" s="57"/>
      <c r="E153" s="57"/>
      <c r="F153" s="57"/>
      <c r="G153" s="57"/>
      <c r="H153" s="57"/>
      <c r="I153" s="57"/>
      <c r="J153" s="56"/>
      <c r="K153" s="56"/>
      <c r="L153" s="69"/>
      <c r="M153" s="18" t="s">
        <v>6</v>
      </c>
      <c r="N153" s="56"/>
      <c r="O153" s="56"/>
      <c r="P153" s="56"/>
      <c r="Q153" s="56"/>
      <c r="R153" s="56"/>
      <c r="S153" s="56"/>
      <c r="T153" s="56"/>
      <c r="U153" s="56"/>
      <c r="V153" s="56"/>
      <c r="W153" s="79"/>
      <c r="X153" s="56"/>
      <c r="Y153" s="80"/>
      <c r="Z153" s="57"/>
      <c r="AA153" s="57"/>
      <c r="AB153" s="57"/>
      <c r="AC153" s="56"/>
      <c r="AD153" s="56"/>
      <c r="AE153" s="56"/>
      <c r="AF153" s="56"/>
      <c r="AG153" s="56"/>
      <c r="AH153" s="56"/>
      <c r="AI153" s="56"/>
      <c r="AJ153" s="69"/>
      <c r="AK153" s="18" t="s">
        <v>7</v>
      </c>
      <c r="AL153" s="56">
        <v>5</v>
      </c>
      <c r="AM153" s="56"/>
      <c r="AN153" s="56">
        <v>3</v>
      </c>
      <c r="AO153" s="56">
        <v>4</v>
      </c>
      <c r="AP153" s="83"/>
      <c r="AQ153" s="56"/>
      <c r="AS153">
        <f t="shared" si="76"/>
        <v>145</v>
      </c>
    </row>
    <row r="154" spans="1:45" x14ac:dyDescent="0.25">
      <c r="A154" s="36"/>
      <c r="B154" s="18" t="s">
        <v>7</v>
      </c>
      <c r="C154" s="57"/>
      <c r="D154" s="57">
        <v>6</v>
      </c>
      <c r="E154" s="57">
        <v>3</v>
      </c>
      <c r="F154" s="57">
        <v>15</v>
      </c>
      <c r="G154" s="57">
        <v>15</v>
      </c>
      <c r="H154" s="57">
        <v>6</v>
      </c>
      <c r="I154" s="57">
        <v>24</v>
      </c>
      <c r="J154" s="56"/>
      <c r="K154" s="56">
        <v>5</v>
      </c>
      <c r="L154" s="69"/>
      <c r="M154" s="18" t="s">
        <v>7</v>
      </c>
      <c r="N154" s="56">
        <v>2</v>
      </c>
      <c r="O154" s="56">
        <v>1</v>
      </c>
      <c r="P154" s="56">
        <v>1</v>
      </c>
      <c r="Q154" s="56">
        <v>5</v>
      </c>
      <c r="R154" s="56">
        <v>11</v>
      </c>
      <c r="S154" s="56">
        <v>11</v>
      </c>
      <c r="T154" s="56">
        <v>10</v>
      </c>
      <c r="U154" s="56">
        <v>4</v>
      </c>
      <c r="V154" s="56">
        <v>9</v>
      </c>
      <c r="W154" s="79"/>
      <c r="X154" s="56">
        <v>8</v>
      </c>
      <c r="Y154" s="80"/>
      <c r="Z154" s="57">
        <v>29</v>
      </c>
      <c r="AA154" s="57">
        <v>0</v>
      </c>
      <c r="AB154" s="57">
        <v>5</v>
      </c>
      <c r="AC154" s="56">
        <v>7</v>
      </c>
      <c r="AD154" s="56">
        <v>13</v>
      </c>
      <c r="AE154" s="56">
        <v>0</v>
      </c>
      <c r="AF154" s="56">
        <v>14</v>
      </c>
      <c r="AG154" s="56">
        <v>2</v>
      </c>
      <c r="AH154" s="56">
        <v>6</v>
      </c>
      <c r="AI154" s="56">
        <v>7</v>
      </c>
      <c r="AJ154" s="69"/>
      <c r="AK154" s="18" t="s">
        <v>8</v>
      </c>
      <c r="AL154" s="56"/>
      <c r="AM154" s="56"/>
      <c r="AN154" s="56"/>
      <c r="AO154" s="56"/>
      <c r="AP154" s="83"/>
      <c r="AQ154" s="56"/>
      <c r="AS154">
        <f t="shared" si="76"/>
        <v>0</v>
      </c>
    </row>
    <row r="155" spans="1:45" x14ac:dyDescent="0.25">
      <c r="A155" s="37" t="s">
        <v>29</v>
      </c>
      <c r="B155" s="18" t="s">
        <v>10</v>
      </c>
      <c r="C155" s="57"/>
      <c r="D155" s="57"/>
      <c r="E155" s="57"/>
      <c r="F155" s="57"/>
      <c r="G155" s="57"/>
      <c r="H155" s="57"/>
      <c r="I155" s="57"/>
      <c r="J155" s="56"/>
      <c r="K155" s="56"/>
      <c r="L155" s="70" t="str">
        <f>A155</f>
        <v>SA 2T</v>
      </c>
      <c r="M155" s="18" t="s">
        <v>10</v>
      </c>
      <c r="N155" s="56"/>
      <c r="O155" s="56"/>
      <c r="P155" s="56"/>
      <c r="Q155" s="56"/>
      <c r="R155" s="56"/>
      <c r="S155" s="56"/>
      <c r="T155" s="56"/>
      <c r="U155" s="56"/>
      <c r="V155" s="56"/>
      <c r="W155" s="79"/>
      <c r="X155" s="56"/>
      <c r="Y155" s="80"/>
      <c r="Z155" s="57"/>
      <c r="AA155" s="57"/>
      <c r="AB155" s="57"/>
      <c r="AC155" s="56"/>
      <c r="AD155" s="56"/>
      <c r="AE155" s="56"/>
      <c r="AF155" s="56"/>
      <c r="AG155" s="56"/>
      <c r="AH155" s="56"/>
      <c r="AI155" s="56"/>
      <c r="AJ155" s="70" t="str">
        <f>+L155</f>
        <v>SA 2T</v>
      </c>
      <c r="AK155" s="18" t="s">
        <v>11</v>
      </c>
      <c r="AL155" s="56">
        <v>3</v>
      </c>
      <c r="AM155" s="56"/>
      <c r="AN155" s="56">
        <v>1</v>
      </c>
      <c r="AO155" s="56">
        <v>2</v>
      </c>
      <c r="AP155" s="83"/>
      <c r="AQ155" s="56"/>
      <c r="AS155">
        <f t="shared" si="76"/>
        <v>107</v>
      </c>
    </row>
    <row r="156" spans="1:45" x14ac:dyDescent="0.25">
      <c r="A156" s="37"/>
      <c r="B156" s="18" t="s">
        <v>11</v>
      </c>
      <c r="C156" s="57"/>
      <c r="D156" s="57">
        <v>7</v>
      </c>
      <c r="E156" s="57">
        <v>12</v>
      </c>
      <c r="F156" s="57">
        <v>9</v>
      </c>
      <c r="G156" s="57">
        <v>5</v>
      </c>
      <c r="H156" s="57">
        <v>14</v>
      </c>
      <c r="I156" s="57">
        <v>11</v>
      </c>
      <c r="J156" s="56"/>
      <c r="K156" s="56">
        <v>6</v>
      </c>
      <c r="L156" s="70"/>
      <c r="M156" s="18" t="s">
        <v>11</v>
      </c>
      <c r="N156" s="56">
        <v>0</v>
      </c>
      <c r="O156" s="56"/>
      <c r="P156" s="56">
        <v>10</v>
      </c>
      <c r="Q156" s="56">
        <v>7</v>
      </c>
      <c r="R156" s="56">
        <v>5</v>
      </c>
      <c r="S156" s="56">
        <v>2</v>
      </c>
      <c r="T156" s="56">
        <v>11</v>
      </c>
      <c r="U156" s="56">
        <v>6</v>
      </c>
      <c r="V156" s="56">
        <v>13</v>
      </c>
      <c r="W156" s="79"/>
      <c r="X156" s="56">
        <v>3</v>
      </c>
      <c r="Y156" s="80"/>
      <c r="Z156" s="57">
        <v>4</v>
      </c>
      <c r="AA156" s="57">
        <v>7</v>
      </c>
      <c r="AB156" s="57">
        <v>3</v>
      </c>
      <c r="AC156" s="56">
        <v>3</v>
      </c>
      <c r="AD156" s="56">
        <v>8</v>
      </c>
      <c r="AE156" s="56">
        <v>3</v>
      </c>
      <c r="AF156" s="56">
        <v>1</v>
      </c>
      <c r="AG156" s="56">
        <v>4</v>
      </c>
      <c r="AH156" s="56">
        <v>6</v>
      </c>
      <c r="AI156" s="56">
        <v>11</v>
      </c>
      <c r="AJ156" s="70"/>
      <c r="AK156" s="18" t="s">
        <v>12</v>
      </c>
      <c r="AL156" s="56"/>
      <c r="AM156" s="56"/>
      <c r="AN156" s="56"/>
      <c r="AO156" s="56"/>
      <c r="AP156" s="83"/>
      <c r="AQ156" s="56"/>
    </row>
    <row r="157" spans="1:45" x14ac:dyDescent="0.25">
      <c r="A157" s="37"/>
      <c r="B157" s="18" t="s">
        <v>12</v>
      </c>
      <c r="C157" s="57"/>
      <c r="D157" s="57"/>
      <c r="E157" s="57"/>
      <c r="F157" s="57"/>
      <c r="G157" s="57"/>
      <c r="H157" s="57"/>
      <c r="I157" s="57"/>
      <c r="J157" s="56"/>
      <c r="K157" s="56"/>
      <c r="L157" s="70"/>
      <c r="M157" s="18" t="s">
        <v>12</v>
      </c>
      <c r="N157" s="56"/>
      <c r="O157" s="56"/>
      <c r="P157" s="56"/>
      <c r="Q157" s="56"/>
      <c r="R157" s="56"/>
      <c r="S157" s="56"/>
      <c r="T157" s="56"/>
      <c r="U157" s="56"/>
      <c r="V157" s="56"/>
      <c r="W157" s="79"/>
      <c r="X157" s="56"/>
      <c r="Y157" s="80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70"/>
      <c r="AK157" s="18" t="s">
        <v>13</v>
      </c>
      <c r="AL157" s="56">
        <v>116</v>
      </c>
      <c r="AM157" s="56">
        <v>126</v>
      </c>
      <c r="AN157" s="56">
        <v>116</v>
      </c>
      <c r="AO157" s="56">
        <v>125</v>
      </c>
      <c r="AP157" s="83"/>
      <c r="AQ157" s="56"/>
    </row>
    <row r="158" spans="1:45" x14ac:dyDescent="0.25">
      <c r="A158" s="37"/>
      <c r="B158" s="18" t="s">
        <v>13</v>
      </c>
      <c r="C158" s="57">
        <v>94</v>
      </c>
      <c r="D158" s="57">
        <v>107</v>
      </c>
      <c r="E158" s="57">
        <v>97</v>
      </c>
      <c r="F158" s="57">
        <v>84</v>
      </c>
      <c r="G158" s="57">
        <v>108</v>
      </c>
      <c r="H158" s="57">
        <v>108</v>
      </c>
      <c r="I158" s="57">
        <v>120</v>
      </c>
      <c r="J158" s="56">
        <v>105</v>
      </c>
      <c r="K158" s="56">
        <v>134</v>
      </c>
      <c r="L158" s="70"/>
      <c r="M158" s="18" t="s">
        <v>13</v>
      </c>
      <c r="N158" s="56">
        <v>148</v>
      </c>
      <c r="O158" s="56">
        <v>139</v>
      </c>
      <c r="P158" s="56">
        <v>97</v>
      </c>
      <c r="Q158" s="56">
        <v>89</v>
      </c>
      <c r="R158" s="56">
        <v>154</v>
      </c>
      <c r="S158" s="56">
        <v>145</v>
      </c>
      <c r="T158" s="56">
        <v>89</v>
      </c>
      <c r="U158" s="56">
        <v>127</v>
      </c>
      <c r="V158" s="56">
        <v>111</v>
      </c>
      <c r="W158" s="79"/>
      <c r="X158" s="56">
        <v>115</v>
      </c>
      <c r="Y158" s="80"/>
      <c r="Z158" s="56">
        <v>106</v>
      </c>
      <c r="AA158" s="56">
        <v>96</v>
      </c>
      <c r="AB158" s="56">
        <v>128</v>
      </c>
      <c r="AC158" s="56">
        <v>125</v>
      </c>
      <c r="AD158" s="56">
        <v>64</v>
      </c>
      <c r="AE158" s="56">
        <v>124</v>
      </c>
      <c r="AF158" s="56">
        <v>105</v>
      </c>
      <c r="AG158" s="56">
        <v>121</v>
      </c>
      <c r="AH158" s="56">
        <v>121</v>
      </c>
      <c r="AI158" s="56">
        <v>98</v>
      </c>
      <c r="AJ158" s="70"/>
      <c r="AK158" s="18" t="s">
        <v>14</v>
      </c>
      <c r="AL158" s="56">
        <v>260</v>
      </c>
      <c r="AM158" s="56">
        <v>280</v>
      </c>
      <c r="AN158" s="56">
        <v>280</v>
      </c>
      <c r="AO158" s="56">
        <v>288</v>
      </c>
      <c r="AP158" s="83"/>
      <c r="AQ158" s="56"/>
    </row>
    <row r="159" spans="1:45" x14ac:dyDescent="0.25">
      <c r="A159" s="37"/>
      <c r="B159" s="20" t="s">
        <v>14</v>
      </c>
      <c r="C159" s="56">
        <v>303</v>
      </c>
      <c r="D159" s="56">
        <v>299</v>
      </c>
      <c r="E159" s="56">
        <v>248</v>
      </c>
      <c r="F159" s="56">
        <v>296</v>
      </c>
      <c r="G159" s="56">
        <v>309</v>
      </c>
      <c r="H159" s="56">
        <v>272</v>
      </c>
      <c r="I159" s="56">
        <v>289</v>
      </c>
      <c r="J159" s="56">
        <v>288</v>
      </c>
      <c r="K159" s="56">
        <v>298</v>
      </c>
      <c r="L159" s="70"/>
      <c r="M159" s="18" t="s">
        <v>14</v>
      </c>
      <c r="N159" s="56">
        <v>335</v>
      </c>
      <c r="O159" s="56">
        <v>340</v>
      </c>
      <c r="P159" s="56">
        <v>320</v>
      </c>
      <c r="Q159" s="56">
        <v>321</v>
      </c>
      <c r="R159" s="56">
        <v>350</v>
      </c>
      <c r="S159" s="56">
        <v>340</v>
      </c>
      <c r="T159" s="56">
        <v>285</v>
      </c>
      <c r="U159" s="56">
        <v>305</v>
      </c>
      <c r="V159" s="56">
        <v>305</v>
      </c>
      <c r="W159" s="79"/>
      <c r="X159" s="56">
        <v>288</v>
      </c>
      <c r="Y159" s="80"/>
      <c r="Z159" s="56">
        <v>293</v>
      </c>
      <c r="AA159" s="56">
        <v>292</v>
      </c>
      <c r="AB159" s="56">
        <v>300</v>
      </c>
      <c r="AC159" s="56">
        <v>295</v>
      </c>
      <c r="AD159" s="56">
        <v>303</v>
      </c>
      <c r="AE159" s="56">
        <v>281</v>
      </c>
      <c r="AF159" s="56">
        <v>260</v>
      </c>
      <c r="AG159" s="56">
        <v>325</v>
      </c>
      <c r="AH159" s="56">
        <v>355</v>
      </c>
      <c r="AI159" s="56">
        <v>300</v>
      </c>
      <c r="AJ159" s="61"/>
      <c r="AK159" s="16"/>
      <c r="AL159" s="56"/>
      <c r="AM159" s="56"/>
      <c r="AN159" s="56"/>
      <c r="AO159" s="56"/>
      <c r="AP159" s="56"/>
      <c r="AQ159" s="56"/>
    </row>
    <row r="160" spans="1:45" x14ac:dyDescent="0.25">
      <c r="A160" s="36">
        <f>+A149</f>
        <v>46088</v>
      </c>
      <c r="B160" s="20" t="s">
        <v>2</v>
      </c>
      <c r="C160" s="56">
        <f t="shared" ref="C160:K160" si="77">(C169*100000)/(C170*60*8)</f>
        <v>93.201754385964918</v>
      </c>
      <c r="D160" s="56">
        <f t="shared" si="77"/>
        <v>67.275747508305642</v>
      </c>
      <c r="E160" s="56">
        <f t="shared" si="77"/>
        <v>83.165322580645167</v>
      </c>
      <c r="F160" s="56">
        <f t="shared" si="77"/>
        <v>91.101694915254242</v>
      </c>
      <c r="G160" s="56">
        <f t="shared" si="77"/>
        <v>87.084673097534832</v>
      </c>
      <c r="H160" s="56">
        <f t="shared" si="77"/>
        <v>86.550245098039213</v>
      </c>
      <c r="I160" s="56">
        <f t="shared" si="77"/>
        <v>69.925028835063443</v>
      </c>
      <c r="J160" s="56">
        <f t="shared" si="77"/>
        <v>86.505190311418687</v>
      </c>
      <c r="K160" s="62">
        <f t="shared" si="77"/>
        <v>94.37919463087249</v>
      </c>
      <c r="L160" s="69">
        <f>+L149</f>
        <v>46088</v>
      </c>
      <c r="M160" s="18" t="s">
        <v>2</v>
      </c>
      <c r="N160" s="62">
        <f>(N169*100000)/(N170*60*8)</f>
        <v>91.417910447761187</v>
      </c>
      <c r="O160" s="62">
        <f t="shared" ref="O160:AI160" si="78">(O169*100000)/(O170*60*8)</f>
        <v>75</v>
      </c>
      <c r="P160" s="62">
        <f t="shared" si="78"/>
        <v>84.635416666666671</v>
      </c>
      <c r="Q160" s="62">
        <f t="shared" si="78"/>
        <v>95.238095238095241</v>
      </c>
      <c r="R160" s="62">
        <f t="shared" si="78"/>
        <v>71.428571428571431</v>
      </c>
      <c r="S160" s="62">
        <f t="shared" si="78"/>
        <v>87.622549019607845</v>
      </c>
      <c r="T160" s="62">
        <f t="shared" si="78"/>
        <v>48.515981735159819</v>
      </c>
      <c r="U160" s="62">
        <f t="shared" si="78"/>
        <v>79.495614035087726</v>
      </c>
      <c r="V160" s="62">
        <f t="shared" si="78"/>
        <v>86.465141612200441</v>
      </c>
      <c r="W160" s="79"/>
      <c r="X160" s="62">
        <f t="shared" si="78"/>
        <v>69.218241042345284</v>
      </c>
      <c r="Y160" s="62">
        <f t="shared" si="78"/>
        <v>90.550108932461868</v>
      </c>
      <c r="Z160" s="62">
        <f t="shared" si="78"/>
        <v>80.508474576271183</v>
      </c>
      <c r="AA160" s="62">
        <f t="shared" si="78"/>
        <v>80.265410958904113</v>
      </c>
      <c r="AB160" s="62">
        <f t="shared" si="78"/>
        <v>84.570957095709574</v>
      </c>
      <c r="AC160" s="62">
        <f t="shared" si="78"/>
        <v>95.33898305084746</v>
      </c>
      <c r="AD160" s="62">
        <f t="shared" si="78"/>
        <v>70.586622807017548</v>
      </c>
      <c r="AE160" s="62">
        <f t="shared" si="78"/>
        <v>73.061342592592595</v>
      </c>
      <c r="AF160" s="62">
        <f t="shared" si="78"/>
        <v>78.125</v>
      </c>
      <c r="AG160" s="62">
        <f t="shared" si="78"/>
        <v>81.317204301075265</v>
      </c>
      <c r="AH160" s="62">
        <f t="shared" si="78"/>
        <v>88.028169014084511</v>
      </c>
      <c r="AI160" s="62">
        <f t="shared" si="78"/>
        <v>61.868686868686872</v>
      </c>
      <c r="AJ160" s="69">
        <f>+AJ149</f>
        <v>46088</v>
      </c>
      <c r="AK160" s="18" t="s">
        <v>2</v>
      </c>
      <c r="AL160" s="56">
        <f>(AL168*100000)/(AL169*60*8)</f>
        <v>96.15384615384616</v>
      </c>
      <c r="AM160" s="56">
        <f t="shared" ref="AM160:AP160" si="79">(AM168*100000)/(AM169*60*8)</f>
        <v>91.517857142857139</v>
      </c>
      <c r="AN160" s="56">
        <f t="shared" si="79"/>
        <v>78.86904761904762</v>
      </c>
      <c r="AO160" s="56">
        <f t="shared" si="79"/>
        <v>87.643678160919535</v>
      </c>
      <c r="AP160" s="56">
        <f t="shared" si="79"/>
        <v>63.618568232662192</v>
      </c>
      <c r="AQ160" s="56"/>
      <c r="AS160">
        <f t="shared" ref="AS160:AS166" si="80">SUM(N161:AI161)</f>
        <v>118</v>
      </c>
    </row>
    <row r="161" spans="1:45" x14ac:dyDescent="0.25">
      <c r="A161" s="36"/>
      <c r="B161" s="18" t="s">
        <v>3</v>
      </c>
      <c r="C161" s="56">
        <v>15</v>
      </c>
      <c r="D161" s="57">
        <v>27</v>
      </c>
      <c r="E161" s="57">
        <v>9</v>
      </c>
      <c r="F161" s="57">
        <v>2</v>
      </c>
      <c r="G161" s="57">
        <v>40</v>
      </c>
      <c r="H161" s="57">
        <v>7</v>
      </c>
      <c r="I161" s="57">
        <v>3</v>
      </c>
      <c r="J161" s="56">
        <v>7</v>
      </c>
      <c r="K161" s="56">
        <v>3</v>
      </c>
      <c r="L161" s="69"/>
      <c r="M161" s="18" t="s">
        <v>3</v>
      </c>
      <c r="N161" s="56">
        <v>4</v>
      </c>
      <c r="O161" s="56">
        <v>4</v>
      </c>
      <c r="P161" s="56">
        <v>4</v>
      </c>
      <c r="Q161" s="56">
        <v>2</v>
      </c>
      <c r="R161" s="56">
        <v>0</v>
      </c>
      <c r="S161" s="56">
        <v>2</v>
      </c>
      <c r="T161" s="57">
        <v>2</v>
      </c>
      <c r="U161" s="57">
        <v>13</v>
      </c>
      <c r="V161" s="56">
        <v>8</v>
      </c>
      <c r="W161" s="79"/>
      <c r="X161" s="57">
        <v>6</v>
      </c>
      <c r="Y161" s="57">
        <v>2</v>
      </c>
      <c r="Z161" s="57">
        <v>8</v>
      </c>
      <c r="AA161" s="57">
        <v>23</v>
      </c>
      <c r="AB161" s="57">
        <v>0</v>
      </c>
      <c r="AC161" s="57">
        <v>3</v>
      </c>
      <c r="AD161" s="57">
        <v>7</v>
      </c>
      <c r="AE161" s="57">
        <v>15</v>
      </c>
      <c r="AF161" s="56">
        <v>0</v>
      </c>
      <c r="AG161" s="56">
        <v>3</v>
      </c>
      <c r="AH161" s="56">
        <v>2</v>
      </c>
      <c r="AI161" s="56">
        <v>10</v>
      </c>
      <c r="AJ161" s="69"/>
      <c r="AK161" s="18" t="s">
        <v>3</v>
      </c>
      <c r="AL161" s="56">
        <v>1</v>
      </c>
      <c r="AM161" s="56">
        <v>4</v>
      </c>
      <c r="AN161" s="56">
        <v>2</v>
      </c>
      <c r="AO161" s="56">
        <v>4</v>
      </c>
      <c r="AP161" s="56">
        <v>7</v>
      </c>
      <c r="AQ161" s="56"/>
      <c r="AS161">
        <f t="shared" si="80"/>
        <v>0</v>
      </c>
    </row>
    <row r="162" spans="1:45" x14ac:dyDescent="0.25">
      <c r="A162" s="36"/>
      <c r="B162" s="18" t="s">
        <v>4</v>
      </c>
      <c r="C162" s="56"/>
      <c r="D162" s="57"/>
      <c r="E162" s="57"/>
      <c r="F162" s="57"/>
      <c r="G162" s="57"/>
      <c r="H162" s="57"/>
      <c r="I162" s="57"/>
      <c r="J162" s="56"/>
      <c r="K162" s="56"/>
      <c r="L162" s="69"/>
      <c r="M162" s="18" t="s">
        <v>4</v>
      </c>
      <c r="N162" s="56"/>
      <c r="O162" s="56"/>
      <c r="P162" s="56"/>
      <c r="Q162" s="56"/>
      <c r="R162" s="56"/>
      <c r="S162" s="56"/>
      <c r="T162" s="57"/>
      <c r="U162" s="57"/>
      <c r="V162" s="56"/>
      <c r="W162" s="79"/>
      <c r="X162" s="57"/>
      <c r="Y162" s="57"/>
      <c r="Z162" s="57"/>
      <c r="AA162" s="57"/>
      <c r="AB162" s="57"/>
      <c r="AC162" s="57"/>
      <c r="AD162" s="57"/>
      <c r="AE162" s="57"/>
      <c r="AF162" s="56"/>
      <c r="AG162" s="56"/>
      <c r="AH162" s="56"/>
      <c r="AI162" s="56"/>
      <c r="AJ162" s="69"/>
      <c r="AK162" s="18" t="s">
        <v>4</v>
      </c>
      <c r="AL162" s="56"/>
      <c r="AM162" s="56"/>
      <c r="AN162" s="56"/>
      <c r="AO162" s="56"/>
      <c r="AP162" s="56"/>
      <c r="AQ162" s="56"/>
      <c r="AS162">
        <f t="shared" si="80"/>
        <v>146</v>
      </c>
    </row>
    <row r="163" spans="1:45" x14ac:dyDescent="0.25">
      <c r="A163" s="36"/>
      <c r="B163" s="18" t="s">
        <v>5</v>
      </c>
      <c r="C163" s="56">
        <v>8</v>
      </c>
      <c r="D163" s="57">
        <v>1</v>
      </c>
      <c r="E163" s="57">
        <v>12</v>
      </c>
      <c r="F163" s="57">
        <v>6</v>
      </c>
      <c r="G163" s="57">
        <v>2</v>
      </c>
      <c r="H163" s="57">
        <v>5</v>
      </c>
      <c r="I163" s="57">
        <v>23</v>
      </c>
      <c r="J163" s="56">
        <v>9</v>
      </c>
      <c r="K163" s="56">
        <v>9</v>
      </c>
      <c r="L163" s="69"/>
      <c r="M163" s="18" t="s">
        <v>5</v>
      </c>
      <c r="N163" s="56">
        <v>1</v>
      </c>
      <c r="O163" s="56">
        <v>1</v>
      </c>
      <c r="P163" s="56">
        <v>1</v>
      </c>
      <c r="Q163" s="56">
        <v>14</v>
      </c>
      <c r="R163" s="56">
        <v>3</v>
      </c>
      <c r="S163" s="56">
        <v>3</v>
      </c>
      <c r="T163" s="57">
        <v>25</v>
      </c>
      <c r="U163" s="57">
        <v>1</v>
      </c>
      <c r="V163" s="56">
        <v>2</v>
      </c>
      <c r="W163" s="79"/>
      <c r="X163" s="57">
        <v>5</v>
      </c>
      <c r="Y163" s="57">
        <v>10</v>
      </c>
      <c r="Z163" s="57">
        <v>15</v>
      </c>
      <c r="AA163" s="57">
        <v>3</v>
      </c>
      <c r="AB163" s="57">
        <v>20</v>
      </c>
      <c r="AC163" s="57">
        <v>1</v>
      </c>
      <c r="AD163" s="57">
        <v>15</v>
      </c>
      <c r="AE163" s="57">
        <v>4</v>
      </c>
      <c r="AF163" s="56">
        <v>2</v>
      </c>
      <c r="AG163" s="56">
        <v>11</v>
      </c>
      <c r="AH163" s="56">
        <v>4</v>
      </c>
      <c r="AI163" s="56">
        <v>5</v>
      </c>
      <c r="AJ163" s="69"/>
      <c r="AK163" s="18" t="s">
        <v>5</v>
      </c>
      <c r="AL163" s="56">
        <v>0</v>
      </c>
      <c r="AM163" s="56">
        <v>11</v>
      </c>
      <c r="AN163" s="56">
        <v>1</v>
      </c>
      <c r="AO163" s="56">
        <v>3</v>
      </c>
      <c r="AP163" s="56">
        <v>11</v>
      </c>
      <c r="AQ163" s="56"/>
      <c r="AS163">
        <f t="shared" si="80"/>
        <v>0</v>
      </c>
    </row>
    <row r="164" spans="1:45" x14ac:dyDescent="0.25">
      <c r="A164" s="36"/>
      <c r="B164" s="18" t="s">
        <v>6</v>
      </c>
      <c r="C164" s="56"/>
      <c r="D164" s="57"/>
      <c r="E164" s="57"/>
      <c r="F164" s="57"/>
      <c r="G164" s="57"/>
      <c r="H164" s="57"/>
      <c r="I164" s="57"/>
      <c r="J164" s="56"/>
      <c r="K164" s="56"/>
      <c r="L164" s="69"/>
      <c r="M164" s="18" t="s">
        <v>6</v>
      </c>
      <c r="N164" s="56"/>
      <c r="O164" s="56"/>
      <c r="P164" s="56"/>
      <c r="Q164" s="56"/>
      <c r="R164" s="56"/>
      <c r="S164" s="56"/>
      <c r="T164" s="57"/>
      <c r="U164" s="57"/>
      <c r="V164" s="56"/>
      <c r="W164" s="79"/>
      <c r="X164" s="57"/>
      <c r="Y164" s="57"/>
      <c r="Z164" s="57"/>
      <c r="AA164" s="57"/>
      <c r="AB164" s="57"/>
      <c r="AC164" s="57"/>
      <c r="AD164" s="57"/>
      <c r="AE164" s="57"/>
      <c r="AF164" s="56"/>
      <c r="AG164" s="56"/>
      <c r="AH164" s="56"/>
      <c r="AI164" s="56"/>
      <c r="AJ164" s="69"/>
      <c r="AK164" s="18" t="s">
        <v>7</v>
      </c>
      <c r="AL164" s="56">
        <v>3</v>
      </c>
      <c r="AM164" s="56">
        <v>2</v>
      </c>
      <c r="AN164" s="56">
        <v>1</v>
      </c>
      <c r="AO164" s="56">
        <v>10</v>
      </c>
      <c r="AP164" s="56">
        <v>1</v>
      </c>
      <c r="AQ164" s="56"/>
      <c r="AS164">
        <f t="shared" si="80"/>
        <v>87</v>
      </c>
    </row>
    <row r="165" spans="1:45" x14ac:dyDescent="0.25">
      <c r="A165" s="36"/>
      <c r="B165" s="18" t="s">
        <v>7</v>
      </c>
      <c r="C165" s="56">
        <v>1</v>
      </c>
      <c r="D165" s="57">
        <v>66</v>
      </c>
      <c r="E165" s="57">
        <v>0</v>
      </c>
      <c r="F165" s="57">
        <v>11</v>
      </c>
      <c r="G165" s="57">
        <v>6</v>
      </c>
      <c r="H165" s="57">
        <v>7</v>
      </c>
      <c r="I165" s="57">
        <v>25</v>
      </c>
      <c r="J165" s="56">
        <v>9</v>
      </c>
      <c r="K165" s="56">
        <v>4</v>
      </c>
      <c r="L165" s="69"/>
      <c r="M165" s="18" t="s">
        <v>7</v>
      </c>
      <c r="N165" s="56">
        <v>2</v>
      </c>
      <c r="O165" s="56">
        <v>1</v>
      </c>
      <c r="P165" s="56">
        <v>5</v>
      </c>
      <c r="Q165" s="56">
        <v>0</v>
      </c>
      <c r="R165" s="56">
        <v>11</v>
      </c>
      <c r="S165" s="56">
        <v>6</v>
      </c>
      <c r="T165" s="57">
        <v>2</v>
      </c>
      <c r="U165" s="57">
        <v>0</v>
      </c>
      <c r="V165" s="56">
        <v>6</v>
      </c>
      <c r="W165" s="79"/>
      <c r="X165" s="57">
        <v>0</v>
      </c>
      <c r="Y165" s="57">
        <v>0</v>
      </c>
      <c r="Z165" s="57">
        <v>9</v>
      </c>
      <c r="AA165" s="57">
        <v>0</v>
      </c>
      <c r="AB165" s="57">
        <v>1</v>
      </c>
      <c r="AC165" s="57">
        <v>1</v>
      </c>
      <c r="AD165" s="57">
        <v>15</v>
      </c>
      <c r="AE165" s="57">
        <v>0</v>
      </c>
      <c r="AF165" s="56">
        <v>14</v>
      </c>
      <c r="AG165" s="56">
        <v>2</v>
      </c>
      <c r="AH165" s="56">
        <v>5</v>
      </c>
      <c r="AI165" s="56">
        <v>7</v>
      </c>
      <c r="AJ165" s="69"/>
      <c r="AK165" s="18" t="s">
        <v>8</v>
      </c>
      <c r="AL165" s="56"/>
      <c r="AM165" s="56"/>
      <c r="AN165" s="56"/>
      <c r="AO165" s="56"/>
      <c r="AP165" s="56"/>
      <c r="AQ165" s="56"/>
      <c r="AS165">
        <f t="shared" si="80"/>
        <v>0</v>
      </c>
    </row>
    <row r="166" spans="1:45" x14ac:dyDescent="0.25">
      <c r="A166" s="37" t="s">
        <v>30</v>
      </c>
      <c r="B166" s="18" t="s">
        <v>10</v>
      </c>
      <c r="C166" s="56"/>
      <c r="D166" s="57"/>
      <c r="E166" s="57"/>
      <c r="F166" s="57"/>
      <c r="G166" s="57"/>
      <c r="H166" s="57"/>
      <c r="I166" s="57"/>
      <c r="J166" s="56"/>
      <c r="K166" s="56"/>
      <c r="L166" s="70" t="str">
        <f>A166</f>
        <v>SA 3T</v>
      </c>
      <c r="M166" s="18" t="s">
        <v>10</v>
      </c>
      <c r="N166" s="56"/>
      <c r="O166" s="56"/>
      <c r="P166" s="56"/>
      <c r="Q166" s="56"/>
      <c r="R166" s="56"/>
      <c r="S166" s="56"/>
      <c r="T166" s="56"/>
      <c r="U166" s="56"/>
      <c r="V166" s="56"/>
      <c r="W166" s="79"/>
      <c r="X166" s="57"/>
      <c r="Y166" s="57"/>
      <c r="Z166" s="57"/>
      <c r="AA166" s="57"/>
      <c r="AB166" s="57"/>
      <c r="AC166" s="57"/>
      <c r="AD166" s="57"/>
      <c r="AE166" s="57"/>
      <c r="AF166" s="56"/>
      <c r="AG166" s="56"/>
      <c r="AH166" s="56"/>
      <c r="AI166" s="56"/>
      <c r="AJ166" s="70" t="str">
        <f>L166</f>
        <v>SA 3T</v>
      </c>
      <c r="AK166" s="18" t="s">
        <v>11</v>
      </c>
      <c r="AL166" s="56">
        <v>3</v>
      </c>
      <c r="AM166" s="56">
        <v>7</v>
      </c>
      <c r="AN166" s="56">
        <v>2</v>
      </c>
      <c r="AO166" s="56">
        <v>2</v>
      </c>
      <c r="AP166" s="56">
        <v>2</v>
      </c>
      <c r="AQ166" s="56"/>
      <c r="AS166">
        <f t="shared" si="80"/>
        <v>109</v>
      </c>
    </row>
    <row r="167" spans="1:45" x14ac:dyDescent="0.25">
      <c r="A167" s="37"/>
      <c r="B167" s="18" t="s">
        <v>11</v>
      </c>
      <c r="C167" s="56">
        <v>5</v>
      </c>
      <c r="D167" s="57">
        <v>17</v>
      </c>
      <c r="E167" s="57">
        <v>20</v>
      </c>
      <c r="F167" s="57">
        <v>18</v>
      </c>
      <c r="G167" s="57">
        <v>3</v>
      </c>
      <c r="H167" s="57">
        <v>3</v>
      </c>
      <c r="I167" s="57">
        <v>7</v>
      </c>
      <c r="J167" s="56">
        <v>4</v>
      </c>
      <c r="K167" s="56">
        <v>3</v>
      </c>
      <c r="L167" s="70"/>
      <c r="M167" s="18" t="s">
        <v>11</v>
      </c>
      <c r="N167" s="56">
        <v>0</v>
      </c>
      <c r="O167" s="56">
        <v>5</v>
      </c>
      <c r="P167" s="56">
        <v>6</v>
      </c>
      <c r="Q167" s="56">
        <v>5</v>
      </c>
      <c r="R167" s="56">
        <v>5</v>
      </c>
      <c r="S167" s="56">
        <v>3</v>
      </c>
      <c r="T167" s="56">
        <v>4</v>
      </c>
      <c r="U167" s="56">
        <v>5</v>
      </c>
      <c r="V167" s="56">
        <v>9</v>
      </c>
      <c r="W167" s="79"/>
      <c r="X167" s="57">
        <v>14</v>
      </c>
      <c r="Y167" s="57">
        <v>6</v>
      </c>
      <c r="Z167" s="57">
        <v>4</v>
      </c>
      <c r="AA167" s="57">
        <v>3</v>
      </c>
      <c r="AB167" s="57">
        <v>7</v>
      </c>
      <c r="AC167" s="57">
        <v>3</v>
      </c>
      <c r="AD167" s="57">
        <v>4</v>
      </c>
      <c r="AE167" s="57">
        <v>6</v>
      </c>
      <c r="AF167" s="56">
        <v>1</v>
      </c>
      <c r="AG167" s="56">
        <v>4</v>
      </c>
      <c r="AH167" s="56">
        <v>4</v>
      </c>
      <c r="AI167" s="56">
        <v>11</v>
      </c>
      <c r="AJ167" s="70"/>
      <c r="AK167" s="18" t="s">
        <v>12</v>
      </c>
      <c r="AL167" s="56"/>
      <c r="AM167" s="56"/>
      <c r="AN167" s="56"/>
      <c r="AO167" s="56"/>
      <c r="AP167" s="56"/>
      <c r="AQ167" s="56"/>
    </row>
    <row r="168" spans="1:45" x14ac:dyDescent="0.25">
      <c r="A168" s="37"/>
      <c r="B168" s="18" t="s">
        <v>12</v>
      </c>
      <c r="C168" s="56"/>
      <c r="D168" s="57"/>
      <c r="E168" s="57"/>
      <c r="F168" s="57"/>
      <c r="G168" s="57"/>
      <c r="H168" s="57"/>
      <c r="I168" s="57"/>
      <c r="J168" s="56"/>
      <c r="K168" s="56"/>
      <c r="L168" s="70"/>
      <c r="M168" s="18" t="s">
        <v>31</v>
      </c>
      <c r="N168" s="56"/>
      <c r="O168" s="56"/>
      <c r="P168" s="56"/>
      <c r="Q168" s="56"/>
      <c r="R168" s="56"/>
      <c r="S168" s="56"/>
      <c r="T168" s="56"/>
      <c r="U168" s="56"/>
      <c r="V168" s="56"/>
      <c r="W168" s="79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70"/>
      <c r="AK168" s="18" t="s">
        <v>13</v>
      </c>
      <c r="AL168" s="56">
        <v>120</v>
      </c>
      <c r="AM168" s="56">
        <v>123</v>
      </c>
      <c r="AN168" s="56">
        <v>106</v>
      </c>
      <c r="AO168" s="56">
        <v>122</v>
      </c>
      <c r="AP168" s="56">
        <v>91</v>
      </c>
      <c r="AQ168" s="56"/>
    </row>
    <row r="169" spans="1:45" x14ac:dyDescent="0.25">
      <c r="A169" s="37"/>
      <c r="B169" s="18" t="s">
        <v>13</v>
      </c>
      <c r="C169" s="56">
        <v>136</v>
      </c>
      <c r="D169" s="57">
        <v>97.2</v>
      </c>
      <c r="E169" s="57">
        <v>99</v>
      </c>
      <c r="F169" s="57">
        <v>129</v>
      </c>
      <c r="G169" s="57">
        <v>130</v>
      </c>
      <c r="H169" s="57">
        <v>113</v>
      </c>
      <c r="I169" s="57">
        <v>97</v>
      </c>
      <c r="J169" s="56">
        <v>120</v>
      </c>
      <c r="K169" s="56">
        <v>135</v>
      </c>
      <c r="L169" s="70"/>
      <c r="M169" s="18" t="s">
        <v>13</v>
      </c>
      <c r="N169" s="56">
        <v>147</v>
      </c>
      <c r="O169" s="56">
        <v>126</v>
      </c>
      <c r="P169" s="56">
        <v>130</v>
      </c>
      <c r="Q169" s="56">
        <v>128</v>
      </c>
      <c r="R169" s="56">
        <v>120</v>
      </c>
      <c r="S169" s="56">
        <v>143</v>
      </c>
      <c r="T169" s="56">
        <v>68</v>
      </c>
      <c r="U169" s="56">
        <v>116</v>
      </c>
      <c r="V169" s="56">
        <v>127</v>
      </c>
      <c r="W169" s="79"/>
      <c r="X169" s="56">
        <v>102</v>
      </c>
      <c r="Y169" s="56">
        <v>133</v>
      </c>
      <c r="Z169" s="56">
        <v>114</v>
      </c>
      <c r="AA169" s="56">
        <v>112.5</v>
      </c>
      <c r="AB169" s="56">
        <v>123</v>
      </c>
      <c r="AC169" s="56">
        <v>135</v>
      </c>
      <c r="AD169" s="56">
        <v>103</v>
      </c>
      <c r="AE169" s="56">
        <v>101</v>
      </c>
      <c r="AF169" s="56">
        <v>105</v>
      </c>
      <c r="AG169" s="56">
        <v>121</v>
      </c>
      <c r="AH169" s="56">
        <v>150</v>
      </c>
      <c r="AI169" s="56">
        <v>98</v>
      </c>
      <c r="AJ169" s="70"/>
      <c r="AK169" s="18" t="s">
        <v>14</v>
      </c>
      <c r="AL169" s="56">
        <v>260</v>
      </c>
      <c r="AM169" s="56">
        <v>280</v>
      </c>
      <c r="AN169" s="56">
        <v>280</v>
      </c>
      <c r="AO169" s="56">
        <v>290</v>
      </c>
      <c r="AP169" s="56">
        <v>298</v>
      </c>
      <c r="AQ169" s="56"/>
    </row>
    <row r="170" spans="1:45" ht="15.75" thickBot="1" x14ac:dyDescent="0.3">
      <c r="A170" s="37"/>
      <c r="B170" s="20" t="s">
        <v>14</v>
      </c>
      <c r="C170" s="56">
        <v>304</v>
      </c>
      <c r="D170" s="56">
        <v>301</v>
      </c>
      <c r="E170" s="56">
        <v>248</v>
      </c>
      <c r="F170" s="56">
        <v>295</v>
      </c>
      <c r="G170" s="56">
        <v>311</v>
      </c>
      <c r="H170" s="56">
        <v>272</v>
      </c>
      <c r="I170" s="56">
        <v>289</v>
      </c>
      <c r="J170" s="56">
        <v>289</v>
      </c>
      <c r="K170" s="56">
        <v>298</v>
      </c>
      <c r="L170" s="71"/>
      <c r="M170" s="31" t="s">
        <v>14</v>
      </c>
      <c r="N170" s="56">
        <v>335</v>
      </c>
      <c r="O170" s="56">
        <v>350</v>
      </c>
      <c r="P170" s="56">
        <v>320</v>
      </c>
      <c r="Q170" s="56">
        <v>280</v>
      </c>
      <c r="R170" s="56">
        <v>350</v>
      </c>
      <c r="S170" s="56">
        <v>340</v>
      </c>
      <c r="T170" s="56">
        <v>292</v>
      </c>
      <c r="U170" s="56">
        <v>304</v>
      </c>
      <c r="V170" s="56">
        <v>306</v>
      </c>
      <c r="W170" s="79"/>
      <c r="X170" s="56">
        <v>307</v>
      </c>
      <c r="Y170" s="56">
        <v>306</v>
      </c>
      <c r="Z170" s="56">
        <v>295</v>
      </c>
      <c r="AA170" s="56">
        <v>292</v>
      </c>
      <c r="AB170" s="56">
        <v>303</v>
      </c>
      <c r="AC170" s="56">
        <v>295</v>
      </c>
      <c r="AD170" s="56">
        <v>304</v>
      </c>
      <c r="AE170" s="56">
        <v>288</v>
      </c>
      <c r="AF170" s="56">
        <v>280</v>
      </c>
      <c r="AG170" s="56">
        <v>310</v>
      </c>
      <c r="AH170" s="56">
        <v>355</v>
      </c>
      <c r="AI170" s="56">
        <v>330</v>
      </c>
      <c r="AJ170" s="77"/>
      <c r="AK170" s="29"/>
      <c r="AL170" s="56"/>
      <c r="AM170" s="56"/>
      <c r="AN170" s="56"/>
      <c r="AO170" s="56"/>
      <c r="AP170" s="56"/>
      <c r="AQ170" s="56"/>
    </row>
    <row r="171" spans="1:45" x14ac:dyDescent="0.25">
      <c r="A171" s="52">
        <f>+A160+1</f>
        <v>46089</v>
      </c>
      <c r="B171" s="7" t="s">
        <v>1</v>
      </c>
      <c r="C171" s="74">
        <v>201</v>
      </c>
      <c r="D171" s="74">
        <f>+C171+1</f>
        <v>202</v>
      </c>
      <c r="E171" s="74">
        <f>+D171+1</f>
        <v>203</v>
      </c>
      <c r="F171" s="74">
        <f>+E171+1</f>
        <v>204</v>
      </c>
      <c r="G171" s="74">
        <f>+F171+1</f>
        <v>205</v>
      </c>
      <c r="H171" s="74">
        <f>+G171+1</f>
        <v>206</v>
      </c>
      <c r="I171" s="74">
        <v>213</v>
      </c>
      <c r="J171" s="74">
        <f>+I171+1</f>
        <v>214</v>
      </c>
      <c r="K171" s="74">
        <f>+J171+1</f>
        <v>215</v>
      </c>
      <c r="L171" s="48">
        <f>A171</f>
        <v>46089</v>
      </c>
      <c r="M171" s="20" t="s">
        <v>1</v>
      </c>
      <c r="N171" s="74">
        <v>299</v>
      </c>
      <c r="O171" s="74">
        <f t="shared" ref="O171:X171" si="81">+N171+1</f>
        <v>300</v>
      </c>
      <c r="P171" s="74">
        <f t="shared" si="81"/>
        <v>301</v>
      </c>
      <c r="Q171" s="74">
        <f t="shared" si="81"/>
        <v>302</v>
      </c>
      <c r="R171" s="74">
        <f t="shared" si="81"/>
        <v>303</v>
      </c>
      <c r="S171" s="74">
        <f t="shared" si="81"/>
        <v>304</v>
      </c>
      <c r="T171" s="74">
        <f t="shared" si="81"/>
        <v>305</v>
      </c>
      <c r="U171" s="74">
        <f t="shared" si="81"/>
        <v>306</v>
      </c>
      <c r="V171" s="74">
        <f t="shared" si="81"/>
        <v>307</v>
      </c>
      <c r="W171" s="74">
        <f t="shared" si="81"/>
        <v>308</v>
      </c>
      <c r="X171" s="74">
        <f t="shared" si="81"/>
        <v>309</v>
      </c>
      <c r="Y171" s="74">
        <f>+X171+1</f>
        <v>310</v>
      </c>
      <c r="Z171" s="74">
        <f t="shared" ref="Z171:AB171" si="82">+Y171+1</f>
        <v>311</v>
      </c>
      <c r="AA171" s="74">
        <f t="shared" si="82"/>
        <v>312</v>
      </c>
      <c r="AB171" s="74">
        <f t="shared" si="82"/>
        <v>313</v>
      </c>
      <c r="AC171" s="74">
        <f>+AB171+1</f>
        <v>314</v>
      </c>
      <c r="AD171" s="74">
        <f t="shared" ref="AD171:AI171" si="83">+AC171+1</f>
        <v>315</v>
      </c>
      <c r="AE171" s="74">
        <f t="shared" si="83"/>
        <v>316</v>
      </c>
      <c r="AF171" s="74">
        <f t="shared" si="83"/>
        <v>317</v>
      </c>
      <c r="AG171" s="74">
        <f t="shared" si="83"/>
        <v>318</v>
      </c>
      <c r="AH171" s="74">
        <f t="shared" si="83"/>
        <v>319</v>
      </c>
      <c r="AI171" s="74">
        <f t="shared" si="83"/>
        <v>320</v>
      </c>
      <c r="AJ171" s="67">
        <f>L171</f>
        <v>46089</v>
      </c>
      <c r="AK171" s="11" t="s">
        <v>1</v>
      </c>
      <c r="AL171" s="74">
        <v>207</v>
      </c>
      <c r="AM171" s="74">
        <f>+AL171+1</f>
        <v>208</v>
      </c>
      <c r="AN171" s="74">
        <f>+AM171+1</f>
        <v>209</v>
      </c>
      <c r="AO171" s="74">
        <f>+AN171+1</f>
        <v>210</v>
      </c>
      <c r="AP171" s="74">
        <f>+AO171+1</f>
        <v>211</v>
      </c>
      <c r="AQ171" s="74">
        <f>+AP171+1</f>
        <v>212</v>
      </c>
    </row>
    <row r="172" spans="1:45" ht="15" customHeight="1" x14ac:dyDescent="0.25">
      <c r="A172" s="46"/>
      <c r="B172" s="20" t="s">
        <v>2</v>
      </c>
      <c r="C172" s="56">
        <f t="shared" ref="C172:K172" si="84">(C181*100000)/(C182*60*8)</f>
        <v>92.821782178217816</v>
      </c>
      <c r="D172" s="56">
        <f t="shared" si="84"/>
        <v>86.206896551724142</v>
      </c>
      <c r="E172" s="56">
        <f t="shared" si="84"/>
        <v>83.165322580645167</v>
      </c>
      <c r="F172" s="56">
        <f t="shared" si="84"/>
        <v>90.793918918918919</v>
      </c>
      <c r="G172" s="56">
        <f t="shared" si="84"/>
        <v>87.365591397849457</v>
      </c>
      <c r="H172" s="56">
        <f t="shared" si="84"/>
        <v>85.15815085158151</v>
      </c>
      <c r="I172" s="56">
        <f t="shared" si="84"/>
        <v>86.206896551724142</v>
      </c>
      <c r="J172" s="56">
        <f t="shared" si="84"/>
        <v>88.339222614840992</v>
      </c>
      <c r="K172" s="62">
        <f t="shared" si="84"/>
        <v>94.063545150501668</v>
      </c>
      <c r="L172" s="48"/>
      <c r="M172" s="18" t="s">
        <v>2</v>
      </c>
      <c r="N172" s="62">
        <f>(N181*100000)/(N182*60*8)</f>
        <v>93.28358208955224</v>
      </c>
      <c r="O172" s="62">
        <f t="shared" ref="O172:S172" si="85">(O181*100000)/(O182*60*8)</f>
        <v>83.946078431372555</v>
      </c>
      <c r="P172" s="62">
        <f t="shared" si="85"/>
        <v>89.84375</v>
      </c>
      <c r="Q172" s="62">
        <f t="shared" si="85"/>
        <v>87.890625</v>
      </c>
      <c r="R172" s="62">
        <f t="shared" si="85"/>
        <v>53.385416666666664</v>
      </c>
      <c r="S172" s="62">
        <f t="shared" si="85"/>
        <v>95.588235294117652</v>
      </c>
      <c r="T172" s="62">
        <f>(T181*100000)/(T182*60*8)</f>
        <v>91.869212962962962</v>
      </c>
      <c r="U172" s="62">
        <f>(U181*100000)/(U182*60*8)</f>
        <v>95.942982456140356</v>
      </c>
      <c r="V172" s="62">
        <f t="shared" ref="V172:AI172" si="86">(V181*100000)/(V182*60*8)</f>
        <v>86.465141612200441</v>
      </c>
      <c r="W172" s="79"/>
      <c r="X172" s="62">
        <f t="shared" si="86"/>
        <v>70.891203703703709</v>
      </c>
      <c r="Y172" s="62">
        <f t="shared" si="86"/>
        <v>49.019607843137258</v>
      </c>
      <c r="Z172" s="62">
        <f t="shared" si="86"/>
        <v>76.530612244897952</v>
      </c>
      <c r="AA172" s="62">
        <f t="shared" si="86"/>
        <v>81.058020477815703</v>
      </c>
      <c r="AB172" s="62">
        <f t="shared" si="86"/>
        <v>81.401766004415009</v>
      </c>
      <c r="AC172" s="62">
        <f t="shared" si="86"/>
        <v>95.33898305084746</v>
      </c>
      <c r="AD172" s="62">
        <f t="shared" si="86"/>
        <v>66.474780701754383</v>
      </c>
      <c r="AE172" s="62">
        <f t="shared" si="86"/>
        <v>56.882821387940844</v>
      </c>
      <c r="AF172" s="62">
        <f t="shared" si="86"/>
        <v>83.333333333333329</v>
      </c>
      <c r="AG172" s="62">
        <f t="shared" si="86"/>
        <v>86.538461538461533</v>
      </c>
      <c r="AH172" s="62">
        <f t="shared" si="86"/>
        <v>87.441314553990608</v>
      </c>
      <c r="AI172" s="62">
        <f t="shared" si="86"/>
        <v>90.773809523809518</v>
      </c>
      <c r="AJ172" s="65"/>
      <c r="AK172" s="18" t="s">
        <v>2</v>
      </c>
      <c r="AL172" s="56">
        <f>(AL180*100000)/(AL181*60*8)</f>
        <v>72.115384615384613</v>
      </c>
      <c r="AM172" s="56">
        <f t="shared" ref="AM172:AP172" si="87">(AM180*100000)/(AM181*60*8)</f>
        <v>81.845238095238102</v>
      </c>
      <c r="AN172" s="56">
        <f t="shared" si="87"/>
        <v>96.726190476190482</v>
      </c>
      <c r="AO172" s="56">
        <f t="shared" si="87"/>
        <v>77.133794694348325</v>
      </c>
      <c r="AP172" s="56">
        <f t="shared" si="87"/>
        <v>68.742985409652078</v>
      </c>
      <c r="AQ172" s="56"/>
      <c r="AS172">
        <f t="shared" ref="AS172:AS178" si="88">SUM(N173:AI173)</f>
        <v>176</v>
      </c>
    </row>
    <row r="173" spans="1:45" x14ac:dyDescent="0.25">
      <c r="A173" s="46"/>
      <c r="B173" s="18" t="s">
        <v>3</v>
      </c>
      <c r="C173" s="56">
        <v>15</v>
      </c>
      <c r="D173" s="57">
        <v>27</v>
      </c>
      <c r="E173" s="57">
        <v>9</v>
      </c>
      <c r="F173" s="57">
        <v>2</v>
      </c>
      <c r="G173" s="57">
        <v>30</v>
      </c>
      <c r="H173" s="57">
        <v>7</v>
      </c>
      <c r="I173" s="57">
        <v>3</v>
      </c>
      <c r="J173" s="56">
        <v>7</v>
      </c>
      <c r="K173" s="56">
        <v>3</v>
      </c>
      <c r="L173" s="48"/>
      <c r="M173" s="18" t="s">
        <v>3</v>
      </c>
      <c r="N173" s="56">
        <v>8</v>
      </c>
      <c r="O173" s="57">
        <v>20</v>
      </c>
      <c r="P173" s="56">
        <v>7</v>
      </c>
      <c r="Q173" s="56">
        <v>2</v>
      </c>
      <c r="R173" s="56">
        <v>1</v>
      </c>
      <c r="S173" s="56">
        <v>1</v>
      </c>
      <c r="T173" s="56">
        <v>2</v>
      </c>
      <c r="U173" s="56">
        <v>13</v>
      </c>
      <c r="V173" s="56">
        <v>8</v>
      </c>
      <c r="W173" s="79"/>
      <c r="X173" s="56">
        <v>6</v>
      </c>
      <c r="Y173" s="56">
        <v>2</v>
      </c>
      <c r="Z173" s="57">
        <v>7</v>
      </c>
      <c r="AA173" s="57">
        <v>32</v>
      </c>
      <c r="AB173" s="57">
        <v>2</v>
      </c>
      <c r="AC173" s="57">
        <v>6</v>
      </c>
      <c r="AD173" s="57">
        <v>9</v>
      </c>
      <c r="AE173" s="57">
        <v>29</v>
      </c>
      <c r="AF173" s="57">
        <v>7</v>
      </c>
      <c r="AG173" s="57">
        <v>4</v>
      </c>
      <c r="AH173" s="57">
        <v>7</v>
      </c>
      <c r="AI173" s="56">
        <v>3</v>
      </c>
      <c r="AJ173" s="65"/>
      <c r="AK173" s="18" t="s">
        <v>3</v>
      </c>
      <c r="AL173" s="56">
        <v>12</v>
      </c>
      <c r="AM173" s="56">
        <v>7</v>
      </c>
      <c r="AN173" s="56">
        <v>9</v>
      </c>
      <c r="AO173" s="56">
        <v>5</v>
      </c>
      <c r="AP173" s="56">
        <v>4</v>
      </c>
      <c r="AQ173" s="56"/>
      <c r="AS173">
        <f t="shared" si="88"/>
        <v>0</v>
      </c>
    </row>
    <row r="174" spans="1:45" x14ac:dyDescent="0.25">
      <c r="A174" s="46"/>
      <c r="B174" s="18" t="s">
        <v>4</v>
      </c>
      <c r="C174" s="56"/>
      <c r="D174" s="57"/>
      <c r="E174" s="57"/>
      <c r="F174" s="57"/>
      <c r="G174" s="57"/>
      <c r="H174" s="57"/>
      <c r="I174" s="57"/>
      <c r="J174" s="56"/>
      <c r="K174" s="56"/>
      <c r="L174" s="48"/>
      <c r="M174" s="18" t="s">
        <v>4</v>
      </c>
      <c r="N174" s="56"/>
      <c r="O174" s="56"/>
      <c r="P174" s="56"/>
      <c r="Q174" s="56"/>
      <c r="R174" s="56"/>
      <c r="S174" s="56"/>
      <c r="T174" s="57"/>
      <c r="U174" s="57"/>
      <c r="V174" s="57"/>
      <c r="W174" s="79"/>
      <c r="X174" s="56"/>
      <c r="Y174" s="56"/>
      <c r="Z174" s="57"/>
      <c r="AA174" s="57"/>
      <c r="AB174" s="57"/>
      <c r="AC174" s="57"/>
      <c r="AD174" s="57"/>
      <c r="AE174" s="57"/>
      <c r="AF174" s="57"/>
      <c r="AG174" s="57"/>
      <c r="AH174" s="57"/>
      <c r="AI174" s="56"/>
      <c r="AJ174" s="65"/>
      <c r="AK174" s="18" t="s">
        <v>4</v>
      </c>
      <c r="AL174" s="56"/>
      <c r="AM174" s="56"/>
      <c r="AN174" s="56"/>
      <c r="AO174" s="56"/>
      <c r="AP174" s="56"/>
      <c r="AQ174" s="56"/>
      <c r="AS174">
        <f t="shared" si="88"/>
        <v>155</v>
      </c>
    </row>
    <row r="175" spans="1:45" x14ac:dyDescent="0.25">
      <c r="A175" s="46"/>
      <c r="B175" s="18" t="s">
        <v>5</v>
      </c>
      <c r="C175" s="56">
        <v>8</v>
      </c>
      <c r="D175" s="57">
        <v>11</v>
      </c>
      <c r="E175" s="57">
        <v>12</v>
      </c>
      <c r="F175" s="57">
        <v>6</v>
      </c>
      <c r="G175" s="57">
        <v>20</v>
      </c>
      <c r="H175" s="57">
        <v>5</v>
      </c>
      <c r="I175" s="57">
        <v>23</v>
      </c>
      <c r="J175" s="56">
        <v>9</v>
      </c>
      <c r="K175" s="56">
        <v>8</v>
      </c>
      <c r="L175" s="48"/>
      <c r="M175" s="18" t="s">
        <v>5</v>
      </c>
      <c r="N175" s="56">
        <v>0</v>
      </c>
      <c r="O175" s="56">
        <v>6</v>
      </c>
      <c r="P175" s="56">
        <v>0</v>
      </c>
      <c r="Q175" s="56">
        <v>4</v>
      </c>
      <c r="R175" s="56">
        <v>3</v>
      </c>
      <c r="S175" s="56">
        <v>2</v>
      </c>
      <c r="T175" s="57">
        <v>25</v>
      </c>
      <c r="U175" s="57">
        <v>1</v>
      </c>
      <c r="V175" s="57">
        <v>2</v>
      </c>
      <c r="W175" s="79"/>
      <c r="X175" s="56">
        <v>6</v>
      </c>
      <c r="Y175" s="56">
        <v>10</v>
      </c>
      <c r="Z175" s="57">
        <v>9</v>
      </c>
      <c r="AA175" s="57">
        <v>5</v>
      </c>
      <c r="AB175" s="57">
        <v>15</v>
      </c>
      <c r="AC175" s="57">
        <v>7</v>
      </c>
      <c r="AD175" s="57">
        <v>15</v>
      </c>
      <c r="AE175" s="57">
        <v>16</v>
      </c>
      <c r="AF175" s="57">
        <v>4</v>
      </c>
      <c r="AG175" s="57">
        <v>21</v>
      </c>
      <c r="AH175" s="57">
        <v>1</v>
      </c>
      <c r="AI175" s="56">
        <v>3</v>
      </c>
      <c r="AJ175" s="65"/>
      <c r="AK175" s="18" t="s">
        <v>5</v>
      </c>
      <c r="AL175" s="56">
        <v>7</v>
      </c>
      <c r="AM175" s="56">
        <v>5</v>
      </c>
      <c r="AN175" s="56">
        <v>3</v>
      </c>
      <c r="AO175" s="56">
        <v>0</v>
      </c>
      <c r="AP175" s="56">
        <v>11</v>
      </c>
      <c r="AQ175" s="56"/>
      <c r="AS175">
        <f t="shared" si="88"/>
        <v>0</v>
      </c>
    </row>
    <row r="176" spans="1:45" x14ac:dyDescent="0.25">
      <c r="A176" s="46"/>
      <c r="B176" s="18" t="s">
        <v>6</v>
      </c>
      <c r="C176" s="56"/>
      <c r="D176" s="57"/>
      <c r="E176" s="57"/>
      <c r="F176" s="57"/>
      <c r="G176" s="57"/>
      <c r="H176" s="57"/>
      <c r="I176" s="57"/>
      <c r="J176" s="56"/>
      <c r="K176" s="56"/>
      <c r="L176" s="48"/>
      <c r="M176" s="18" t="s">
        <v>6</v>
      </c>
      <c r="N176" s="56"/>
      <c r="O176" s="56"/>
      <c r="P176" s="56"/>
      <c r="Q176" s="56"/>
      <c r="R176" s="56"/>
      <c r="S176" s="56"/>
      <c r="T176" s="57"/>
      <c r="U176" s="57"/>
      <c r="V176" s="57"/>
      <c r="W176" s="79"/>
      <c r="X176" s="56"/>
      <c r="Y176" s="56"/>
      <c r="Z176" s="57"/>
      <c r="AA176" s="57"/>
      <c r="AB176" s="57"/>
      <c r="AC176" s="57"/>
      <c r="AD176" s="57"/>
      <c r="AE176" s="57"/>
      <c r="AF176" s="57"/>
      <c r="AG176" s="57"/>
      <c r="AH176" s="57"/>
      <c r="AI176" s="56"/>
      <c r="AJ176" s="65"/>
      <c r="AK176" s="18" t="s">
        <v>7</v>
      </c>
      <c r="AL176" s="56">
        <v>5</v>
      </c>
      <c r="AM176" s="56">
        <v>4</v>
      </c>
      <c r="AN176" s="56">
        <v>10</v>
      </c>
      <c r="AO176" s="56">
        <v>7</v>
      </c>
      <c r="AP176" s="56">
        <v>2</v>
      </c>
      <c r="AQ176" s="56"/>
      <c r="AS176">
        <f t="shared" si="88"/>
        <v>82</v>
      </c>
    </row>
    <row r="177" spans="1:45" x14ac:dyDescent="0.25">
      <c r="A177" s="46"/>
      <c r="B177" s="18" t="s">
        <v>7</v>
      </c>
      <c r="C177" s="56">
        <v>1</v>
      </c>
      <c r="D177" s="57">
        <v>8</v>
      </c>
      <c r="E177" s="57">
        <v>0</v>
      </c>
      <c r="F177" s="57">
        <v>11</v>
      </c>
      <c r="G177" s="57">
        <v>6</v>
      </c>
      <c r="H177" s="57">
        <v>7</v>
      </c>
      <c r="I177" s="57">
        <v>25</v>
      </c>
      <c r="J177" s="56">
        <v>9</v>
      </c>
      <c r="K177" s="56">
        <v>4</v>
      </c>
      <c r="L177" s="48"/>
      <c r="M177" s="18" t="s">
        <v>7</v>
      </c>
      <c r="N177" s="56">
        <v>0</v>
      </c>
      <c r="O177" s="56">
        <v>1</v>
      </c>
      <c r="P177" s="56">
        <v>3</v>
      </c>
      <c r="Q177" s="56">
        <v>2</v>
      </c>
      <c r="R177" s="56">
        <v>18</v>
      </c>
      <c r="S177" s="56">
        <v>3</v>
      </c>
      <c r="T177" s="57">
        <v>2</v>
      </c>
      <c r="U177" s="57">
        <v>0</v>
      </c>
      <c r="V177" s="57">
        <v>6</v>
      </c>
      <c r="W177" s="79"/>
      <c r="X177" s="56">
        <v>0</v>
      </c>
      <c r="Y177" s="56">
        <v>0</v>
      </c>
      <c r="Z177" s="57">
        <v>6</v>
      </c>
      <c r="AA177" s="57">
        <v>2</v>
      </c>
      <c r="AB177" s="57">
        <v>3</v>
      </c>
      <c r="AC177" s="57">
        <v>9</v>
      </c>
      <c r="AD177" s="57">
        <v>5</v>
      </c>
      <c r="AE177" s="57">
        <v>3</v>
      </c>
      <c r="AF177" s="57">
        <v>12</v>
      </c>
      <c r="AG177" s="57">
        <v>0</v>
      </c>
      <c r="AH177" s="57">
        <v>3</v>
      </c>
      <c r="AI177" s="56">
        <v>4</v>
      </c>
      <c r="AJ177" s="66" t="str">
        <f>+L178</f>
        <v>DO 1T</v>
      </c>
      <c r="AK177" s="18" t="s">
        <v>8</v>
      </c>
      <c r="AL177" s="56"/>
      <c r="AM177" s="56"/>
      <c r="AN177" s="56"/>
      <c r="AO177" s="56"/>
      <c r="AP177" s="56"/>
      <c r="AQ177" s="56"/>
      <c r="AS177">
        <f t="shared" si="88"/>
        <v>0</v>
      </c>
    </row>
    <row r="178" spans="1:45" x14ac:dyDescent="0.25">
      <c r="A178" s="49" t="s">
        <v>32</v>
      </c>
      <c r="B178" s="18" t="s">
        <v>10</v>
      </c>
      <c r="C178" s="56"/>
      <c r="D178" s="57"/>
      <c r="E178" s="57"/>
      <c r="F178" s="57"/>
      <c r="G178" s="57"/>
      <c r="H178" s="57"/>
      <c r="I178" s="57"/>
      <c r="J178" s="56"/>
      <c r="K178" s="56"/>
      <c r="L178" s="66" t="str">
        <f>A178</f>
        <v>DO 1T</v>
      </c>
      <c r="M178" s="18" t="s">
        <v>10</v>
      </c>
      <c r="N178" s="56"/>
      <c r="O178" s="56"/>
      <c r="P178" s="56"/>
      <c r="Q178" s="56"/>
      <c r="R178" s="56"/>
      <c r="S178" s="56"/>
      <c r="T178" s="57"/>
      <c r="U178" s="57"/>
      <c r="V178" s="57"/>
      <c r="W178" s="79"/>
      <c r="X178" s="56"/>
      <c r="Y178" s="56"/>
      <c r="Z178" s="57"/>
      <c r="AA178" s="57"/>
      <c r="AB178" s="57"/>
      <c r="AC178" s="57"/>
      <c r="AD178" s="57"/>
      <c r="AE178" s="57"/>
      <c r="AF178" s="57"/>
      <c r="AG178" s="57"/>
      <c r="AH178" s="57"/>
      <c r="AI178" s="56"/>
      <c r="AJ178" s="66"/>
      <c r="AK178" s="18" t="s">
        <v>11</v>
      </c>
      <c r="AL178" s="56">
        <v>2</v>
      </c>
      <c r="AM178" s="56">
        <v>9</v>
      </c>
      <c r="AN178" s="56">
        <v>9</v>
      </c>
      <c r="AO178" s="56">
        <v>2</v>
      </c>
      <c r="AP178" s="56">
        <v>7</v>
      </c>
      <c r="AQ178" s="56"/>
      <c r="AS178">
        <f t="shared" si="88"/>
        <v>126</v>
      </c>
    </row>
    <row r="179" spans="1:45" x14ac:dyDescent="0.25">
      <c r="A179" s="49"/>
      <c r="B179" s="18" t="s">
        <v>11</v>
      </c>
      <c r="C179" s="56">
        <v>5</v>
      </c>
      <c r="D179" s="57">
        <v>17</v>
      </c>
      <c r="E179" s="57">
        <v>20</v>
      </c>
      <c r="F179" s="57">
        <v>18</v>
      </c>
      <c r="G179" s="57">
        <v>3</v>
      </c>
      <c r="H179" s="57">
        <v>3</v>
      </c>
      <c r="I179" s="57">
        <v>7</v>
      </c>
      <c r="J179" s="56">
        <v>4</v>
      </c>
      <c r="K179" s="56">
        <v>3</v>
      </c>
      <c r="L179" s="66"/>
      <c r="M179" s="18" t="s">
        <v>11</v>
      </c>
      <c r="N179" s="56">
        <v>1</v>
      </c>
      <c r="O179" s="56">
        <v>9</v>
      </c>
      <c r="P179" s="56">
        <v>2</v>
      </c>
      <c r="Q179" s="56">
        <v>2</v>
      </c>
      <c r="R179" s="56">
        <v>6</v>
      </c>
      <c r="S179" s="56">
        <v>3</v>
      </c>
      <c r="T179" s="56">
        <v>4</v>
      </c>
      <c r="U179" s="56">
        <v>5</v>
      </c>
      <c r="V179" s="56">
        <v>9</v>
      </c>
      <c r="W179" s="79"/>
      <c r="X179" s="56">
        <v>14</v>
      </c>
      <c r="Y179" s="56">
        <v>6</v>
      </c>
      <c r="Z179" s="57">
        <v>23</v>
      </c>
      <c r="AA179" s="57">
        <v>1</v>
      </c>
      <c r="AB179" s="57">
        <v>3</v>
      </c>
      <c r="AC179" s="57">
        <v>9</v>
      </c>
      <c r="AD179" s="57">
        <v>9</v>
      </c>
      <c r="AE179" s="57">
        <v>5</v>
      </c>
      <c r="AF179" s="57">
        <v>0</v>
      </c>
      <c r="AG179" s="57">
        <v>3</v>
      </c>
      <c r="AH179" s="57">
        <v>3</v>
      </c>
      <c r="AI179" s="56">
        <v>9</v>
      </c>
      <c r="AJ179" s="66"/>
      <c r="AK179" s="18" t="s">
        <v>12</v>
      </c>
      <c r="AL179" s="56"/>
      <c r="AM179" s="56"/>
      <c r="AN179" s="56"/>
      <c r="AO179" s="56"/>
      <c r="AP179" s="56"/>
      <c r="AQ179" s="56"/>
    </row>
    <row r="180" spans="1:45" x14ac:dyDescent="0.25">
      <c r="A180" s="49"/>
      <c r="B180" s="18" t="s">
        <v>12</v>
      </c>
      <c r="C180" s="56"/>
      <c r="D180" s="57"/>
      <c r="E180" s="57"/>
      <c r="F180" s="57"/>
      <c r="G180" s="57"/>
      <c r="H180" s="57"/>
      <c r="I180" s="57"/>
      <c r="J180" s="56"/>
      <c r="K180" s="56"/>
      <c r="L180" s="66"/>
      <c r="M180" s="18" t="s">
        <v>12</v>
      </c>
      <c r="N180" s="56"/>
      <c r="O180" s="56"/>
      <c r="P180" s="56"/>
      <c r="Q180" s="56"/>
      <c r="R180" s="56"/>
      <c r="S180" s="56"/>
      <c r="T180" s="56"/>
      <c r="U180" s="56"/>
      <c r="V180" s="56"/>
      <c r="W180" s="79"/>
      <c r="X180" s="56"/>
      <c r="Y180" s="56"/>
      <c r="Z180" s="57"/>
      <c r="AA180" s="57"/>
      <c r="AB180" s="57"/>
      <c r="AC180" s="57"/>
      <c r="AD180" s="57"/>
      <c r="AE180" s="57"/>
      <c r="AF180" s="57"/>
      <c r="AG180" s="57"/>
      <c r="AH180" s="57"/>
      <c r="AI180" s="56"/>
      <c r="AJ180" s="66"/>
      <c r="AK180" s="18" t="s">
        <v>13</v>
      </c>
      <c r="AL180" s="56">
        <v>90</v>
      </c>
      <c r="AM180" s="56">
        <v>110</v>
      </c>
      <c r="AN180" s="56">
        <v>130</v>
      </c>
      <c r="AO180" s="56">
        <v>107</v>
      </c>
      <c r="AP180" s="56">
        <v>98</v>
      </c>
      <c r="AQ180" s="56"/>
    </row>
    <row r="181" spans="1:45" x14ac:dyDescent="0.25">
      <c r="A181" s="49"/>
      <c r="B181" s="18" t="s">
        <v>13</v>
      </c>
      <c r="C181" s="56">
        <v>135</v>
      </c>
      <c r="D181" s="57">
        <v>120</v>
      </c>
      <c r="E181" s="57">
        <v>99</v>
      </c>
      <c r="F181" s="57">
        <v>129</v>
      </c>
      <c r="G181" s="57">
        <v>130</v>
      </c>
      <c r="H181" s="57">
        <v>112</v>
      </c>
      <c r="I181" s="57">
        <v>120</v>
      </c>
      <c r="J181" s="56">
        <v>120</v>
      </c>
      <c r="K181" s="56">
        <v>135</v>
      </c>
      <c r="L181" s="66"/>
      <c r="M181" s="18" t="s">
        <v>13</v>
      </c>
      <c r="N181" s="56">
        <v>150</v>
      </c>
      <c r="O181" s="56">
        <v>137</v>
      </c>
      <c r="P181" s="56">
        <v>138</v>
      </c>
      <c r="Q181" s="56">
        <v>135</v>
      </c>
      <c r="R181" s="56">
        <v>82</v>
      </c>
      <c r="S181" s="56">
        <v>156</v>
      </c>
      <c r="T181" s="56">
        <v>127</v>
      </c>
      <c r="U181" s="56">
        <v>140</v>
      </c>
      <c r="V181" s="56">
        <v>127</v>
      </c>
      <c r="W181" s="79"/>
      <c r="X181" s="56">
        <v>98</v>
      </c>
      <c r="Y181" s="56">
        <v>72</v>
      </c>
      <c r="Z181" s="57">
        <v>108</v>
      </c>
      <c r="AA181" s="57">
        <v>114</v>
      </c>
      <c r="AB181" s="57">
        <v>118</v>
      </c>
      <c r="AC181" s="57">
        <v>135</v>
      </c>
      <c r="AD181" s="57">
        <v>97</v>
      </c>
      <c r="AE181" s="57">
        <v>80</v>
      </c>
      <c r="AF181" s="57">
        <v>104</v>
      </c>
      <c r="AG181" s="57">
        <v>135</v>
      </c>
      <c r="AH181" s="57">
        <v>149</v>
      </c>
      <c r="AI181" s="56">
        <v>122</v>
      </c>
      <c r="AJ181" s="66"/>
      <c r="AK181" s="18" t="s">
        <v>14</v>
      </c>
      <c r="AL181" s="56">
        <v>260</v>
      </c>
      <c r="AM181" s="56">
        <v>280</v>
      </c>
      <c r="AN181" s="56">
        <v>280</v>
      </c>
      <c r="AO181" s="56">
        <v>289</v>
      </c>
      <c r="AP181" s="56">
        <v>297</v>
      </c>
      <c r="AQ181" s="56"/>
    </row>
    <row r="182" spans="1:45" x14ac:dyDescent="0.25">
      <c r="A182" s="51"/>
      <c r="B182" s="32" t="s">
        <v>14</v>
      </c>
      <c r="C182" s="56">
        <v>303</v>
      </c>
      <c r="D182" s="56">
        <v>290</v>
      </c>
      <c r="E182" s="56">
        <v>248</v>
      </c>
      <c r="F182" s="56">
        <v>296</v>
      </c>
      <c r="G182" s="56">
        <v>310</v>
      </c>
      <c r="H182" s="56">
        <v>274</v>
      </c>
      <c r="I182" s="56">
        <v>290</v>
      </c>
      <c r="J182" s="56">
        <v>283</v>
      </c>
      <c r="K182" s="56">
        <v>299</v>
      </c>
      <c r="L182" s="72"/>
      <c r="M182" s="75" t="s">
        <v>14</v>
      </c>
      <c r="N182" s="56">
        <v>335</v>
      </c>
      <c r="O182" s="56">
        <v>340</v>
      </c>
      <c r="P182" s="56">
        <v>320</v>
      </c>
      <c r="Q182" s="56">
        <v>320</v>
      </c>
      <c r="R182" s="56">
        <v>320</v>
      </c>
      <c r="S182" s="56">
        <v>340</v>
      </c>
      <c r="T182" s="56">
        <v>288</v>
      </c>
      <c r="U182" s="56">
        <v>304</v>
      </c>
      <c r="V182" s="56">
        <v>306</v>
      </c>
      <c r="W182" s="79"/>
      <c r="X182" s="56">
        <v>288</v>
      </c>
      <c r="Y182" s="56">
        <v>306</v>
      </c>
      <c r="Z182" s="56">
        <v>294</v>
      </c>
      <c r="AA182" s="56">
        <v>293</v>
      </c>
      <c r="AB182" s="56">
        <v>302</v>
      </c>
      <c r="AC182" s="56">
        <v>295</v>
      </c>
      <c r="AD182" s="56">
        <v>304</v>
      </c>
      <c r="AE182" s="56">
        <v>293</v>
      </c>
      <c r="AF182" s="56">
        <v>260</v>
      </c>
      <c r="AG182" s="56">
        <v>325</v>
      </c>
      <c r="AH182" s="56">
        <v>355</v>
      </c>
      <c r="AI182" s="56">
        <v>280</v>
      </c>
      <c r="AJ182" s="61"/>
      <c r="AK182" s="16"/>
      <c r="AL182" s="56"/>
      <c r="AM182" s="56"/>
      <c r="AN182" s="56"/>
      <c r="AO182" s="56"/>
      <c r="AP182" s="56"/>
      <c r="AQ182" s="56"/>
    </row>
    <row r="183" spans="1:45" ht="15" customHeight="1" x14ac:dyDescent="0.25">
      <c r="A183" s="45">
        <f>+A171</f>
        <v>46089</v>
      </c>
      <c r="B183" s="20" t="s">
        <v>2</v>
      </c>
      <c r="C183" s="56">
        <f t="shared" ref="C183:K183" si="89">(C192*100000)/(C193*60*8)</f>
        <v>84.29276315789474</v>
      </c>
      <c r="D183" s="56">
        <f t="shared" si="89"/>
        <v>75.250836120401331</v>
      </c>
      <c r="E183" s="56">
        <f t="shared" si="89"/>
        <v>65.524193548387103</v>
      </c>
      <c r="F183" s="56">
        <f t="shared" si="89"/>
        <v>87.388143176733777</v>
      </c>
      <c r="G183" s="56">
        <f t="shared" si="89"/>
        <v>74.838187702265373</v>
      </c>
      <c r="H183" s="56">
        <f t="shared" si="89"/>
        <v>60.606060606060609</v>
      </c>
      <c r="I183" s="56">
        <f t="shared" si="89"/>
        <v>68.483275663206456</v>
      </c>
      <c r="J183" s="56">
        <f t="shared" si="89"/>
        <v>75.692041522491351</v>
      </c>
      <c r="K183" s="62">
        <f t="shared" si="89"/>
        <v>70.609619686800897</v>
      </c>
      <c r="L183" s="47">
        <f>+L171</f>
        <v>46089</v>
      </c>
      <c r="M183" s="18" t="s">
        <v>2</v>
      </c>
      <c r="N183" s="62">
        <f>(N192*100000)/(N193*60*8)</f>
        <v>78.358208955223887</v>
      </c>
      <c r="O183" s="62">
        <f t="shared" ref="O183:AI183" si="90">(O192*100000)/(O193*60*8)</f>
        <v>85.532746823069402</v>
      </c>
      <c r="P183" s="62">
        <f t="shared" si="90"/>
        <v>89.192708333333329</v>
      </c>
      <c r="Q183" s="62">
        <f t="shared" si="90"/>
        <v>87.239583333333329</v>
      </c>
      <c r="R183" s="62">
        <f t="shared" si="90"/>
        <v>79.534662867996204</v>
      </c>
      <c r="S183" s="62">
        <f t="shared" si="90"/>
        <v>75.757575757575751</v>
      </c>
      <c r="T183" s="62">
        <f t="shared" si="90"/>
        <v>79.022988505747122</v>
      </c>
      <c r="U183" s="62">
        <f t="shared" si="90"/>
        <v>71.271929824561397</v>
      </c>
      <c r="V183" s="62">
        <f t="shared" si="90"/>
        <v>84.422657952069713</v>
      </c>
      <c r="W183" s="79"/>
      <c r="X183" s="62">
        <f t="shared" si="90"/>
        <v>88.975694444444443</v>
      </c>
      <c r="Y183" s="62">
        <f t="shared" si="90"/>
        <v>85.10348583877996</v>
      </c>
      <c r="Z183" s="62">
        <f t="shared" si="90"/>
        <v>68.271396396396398</v>
      </c>
      <c r="AA183" s="62">
        <f t="shared" si="90"/>
        <v>84.613196814562002</v>
      </c>
      <c r="AB183" s="62">
        <f t="shared" si="90"/>
        <v>90.669988925802883</v>
      </c>
      <c r="AC183" s="62">
        <f t="shared" si="90"/>
        <v>70.621468926553675</v>
      </c>
      <c r="AD183" s="62">
        <f t="shared" si="90"/>
        <v>62.362938596491226</v>
      </c>
      <c r="AE183" s="62">
        <f t="shared" si="90"/>
        <v>68.735827664399096</v>
      </c>
      <c r="AF183" s="62">
        <f t="shared" si="90"/>
        <v>81.417624521072796</v>
      </c>
      <c r="AG183" s="62">
        <f t="shared" si="90"/>
        <v>62.820512820512818</v>
      </c>
      <c r="AH183" s="62">
        <f t="shared" si="90"/>
        <v>88.366104868913851</v>
      </c>
      <c r="AI183" s="62">
        <f t="shared" si="90"/>
        <v>84.051724137931032</v>
      </c>
      <c r="AJ183" s="65">
        <f>L183</f>
        <v>46089</v>
      </c>
      <c r="AK183" s="18" t="s">
        <v>2</v>
      </c>
      <c r="AL183" s="56">
        <f>(AL191*100000)/(AL192*60*8)</f>
        <v>88.407134071340707</v>
      </c>
      <c r="AM183" s="56">
        <f t="shared" ref="AM183:AP183" si="91">(AM191*100000)/(AM192*60*8)</f>
        <v>70.68452380952381</v>
      </c>
      <c r="AN183" s="56">
        <f t="shared" si="91"/>
        <v>90.029761904761898</v>
      </c>
      <c r="AO183" s="56">
        <f t="shared" si="91"/>
        <v>91.145833333333329</v>
      </c>
      <c r="AP183" s="56">
        <f t="shared" si="91"/>
        <v>86.68903803131991</v>
      </c>
      <c r="AQ183" s="56"/>
      <c r="AS183">
        <f t="shared" ref="AS183:AS189" si="92">SUM(N184:AI184)</f>
        <v>182</v>
      </c>
    </row>
    <row r="184" spans="1:45" x14ac:dyDescent="0.25">
      <c r="A184" s="46"/>
      <c r="B184" s="18" t="s">
        <v>3</v>
      </c>
      <c r="C184" s="56">
        <v>8</v>
      </c>
      <c r="D184" s="57">
        <v>33</v>
      </c>
      <c r="E184" s="57">
        <v>10</v>
      </c>
      <c r="F184" s="57">
        <v>5</v>
      </c>
      <c r="G184" s="57">
        <v>8</v>
      </c>
      <c r="H184" s="57">
        <v>3</v>
      </c>
      <c r="I184" s="57">
        <v>8</v>
      </c>
      <c r="J184" s="57">
        <v>7</v>
      </c>
      <c r="K184" s="57">
        <v>35</v>
      </c>
      <c r="L184" s="48"/>
      <c r="M184" s="18" t="s">
        <v>3</v>
      </c>
      <c r="N184" s="57">
        <v>13</v>
      </c>
      <c r="O184" s="57">
        <v>26</v>
      </c>
      <c r="P184" s="57">
        <v>4</v>
      </c>
      <c r="Q184" s="56">
        <v>0</v>
      </c>
      <c r="R184" s="56">
        <v>6</v>
      </c>
      <c r="S184" s="56">
        <v>1</v>
      </c>
      <c r="T184" s="56">
        <v>1</v>
      </c>
      <c r="U184" s="56">
        <v>16</v>
      </c>
      <c r="V184" s="56">
        <v>3</v>
      </c>
      <c r="W184" s="79"/>
      <c r="X184" s="56">
        <v>8</v>
      </c>
      <c r="Y184" s="57">
        <v>13</v>
      </c>
      <c r="Z184" s="57">
        <v>41</v>
      </c>
      <c r="AA184" s="57">
        <v>31</v>
      </c>
      <c r="AB184" s="57">
        <v>1</v>
      </c>
      <c r="AC184" s="57">
        <v>1</v>
      </c>
      <c r="AD184" s="57">
        <v>3</v>
      </c>
      <c r="AE184" s="57">
        <v>5</v>
      </c>
      <c r="AF184" s="56">
        <v>0</v>
      </c>
      <c r="AG184" s="56">
        <v>2</v>
      </c>
      <c r="AH184" s="56">
        <v>3</v>
      </c>
      <c r="AI184" s="56">
        <v>4</v>
      </c>
      <c r="AJ184" s="65"/>
      <c r="AK184" s="18" t="s">
        <v>3</v>
      </c>
      <c r="AL184" s="56">
        <v>6</v>
      </c>
      <c r="AM184" s="56">
        <v>5</v>
      </c>
      <c r="AN184" s="56">
        <v>4</v>
      </c>
      <c r="AO184" s="56">
        <v>3</v>
      </c>
      <c r="AP184" s="56">
        <v>19</v>
      </c>
      <c r="AQ184" s="56"/>
      <c r="AS184">
        <f t="shared" si="92"/>
        <v>0</v>
      </c>
    </row>
    <row r="185" spans="1:45" x14ac:dyDescent="0.25">
      <c r="A185" s="46"/>
      <c r="B185" s="18" t="s">
        <v>4</v>
      </c>
      <c r="C185" s="56"/>
      <c r="D185" s="57"/>
      <c r="E185" s="57"/>
      <c r="F185" s="57"/>
      <c r="G185" s="57"/>
      <c r="H185" s="57"/>
      <c r="I185" s="57"/>
      <c r="J185" s="57"/>
      <c r="K185" s="57"/>
      <c r="L185" s="48"/>
      <c r="M185" s="18" t="s">
        <v>4</v>
      </c>
      <c r="N185" s="57"/>
      <c r="O185" s="57"/>
      <c r="P185" s="57"/>
      <c r="Q185" s="56"/>
      <c r="R185" s="56"/>
      <c r="S185" s="56"/>
      <c r="T185" s="56"/>
      <c r="U185" s="56"/>
      <c r="V185" s="56"/>
      <c r="W185" s="79"/>
      <c r="X185" s="56"/>
      <c r="Y185" s="57"/>
      <c r="Z185" s="57"/>
      <c r="AA185" s="57"/>
      <c r="AB185" s="57"/>
      <c r="AC185" s="57"/>
      <c r="AD185" s="57"/>
      <c r="AE185" s="57"/>
      <c r="AF185" s="56"/>
      <c r="AG185" s="56"/>
      <c r="AH185" s="56"/>
      <c r="AI185" s="56"/>
      <c r="AJ185" s="65"/>
      <c r="AK185" s="18" t="s">
        <v>4</v>
      </c>
      <c r="AL185" s="56"/>
      <c r="AM185" s="56"/>
      <c r="AN185" s="56"/>
      <c r="AO185" s="56"/>
      <c r="AP185" s="56"/>
      <c r="AQ185" s="56"/>
      <c r="AS185">
        <f>SUM(N186:AI186)</f>
        <v>74</v>
      </c>
    </row>
    <row r="186" spans="1:45" x14ac:dyDescent="0.25">
      <c r="A186" s="46"/>
      <c r="B186" s="18" t="s">
        <v>5</v>
      </c>
      <c r="C186" s="56">
        <v>4</v>
      </c>
      <c r="D186" s="57">
        <v>2</v>
      </c>
      <c r="E186" s="57">
        <v>13</v>
      </c>
      <c r="F186" s="57">
        <v>4</v>
      </c>
      <c r="G186" s="57">
        <v>2</v>
      </c>
      <c r="H186" s="57">
        <v>18</v>
      </c>
      <c r="I186" s="57">
        <v>7</v>
      </c>
      <c r="J186" s="57">
        <v>4</v>
      </c>
      <c r="K186" s="57">
        <v>13</v>
      </c>
      <c r="L186" s="48"/>
      <c r="M186" s="18" t="s">
        <v>5</v>
      </c>
      <c r="N186" s="56">
        <v>1</v>
      </c>
      <c r="O186" s="56">
        <v>2</v>
      </c>
      <c r="P186" s="56">
        <v>1</v>
      </c>
      <c r="Q186" s="56">
        <v>0</v>
      </c>
      <c r="R186" s="56">
        <v>0</v>
      </c>
      <c r="S186" s="56">
        <v>2</v>
      </c>
      <c r="T186" s="56">
        <v>1</v>
      </c>
      <c r="U186" s="56">
        <v>3</v>
      </c>
      <c r="V186" s="56">
        <v>4</v>
      </c>
      <c r="W186" s="79"/>
      <c r="X186" s="56">
        <v>5</v>
      </c>
      <c r="Y186" s="57">
        <v>3</v>
      </c>
      <c r="Z186" s="57">
        <v>2</v>
      </c>
      <c r="AA186" s="57">
        <v>7</v>
      </c>
      <c r="AB186" s="57">
        <v>5</v>
      </c>
      <c r="AC186" s="57">
        <v>4</v>
      </c>
      <c r="AD186" s="57">
        <v>6</v>
      </c>
      <c r="AE186" s="57">
        <v>16</v>
      </c>
      <c r="AF186" s="56">
        <v>2</v>
      </c>
      <c r="AG186" s="56">
        <v>6</v>
      </c>
      <c r="AH186" s="56">
        <v>2</v>
      </c>
      <c r="AI186" s="56">
        <v>2</v>
      </c>
      <c r="AJ186" s="65"/>
      <c r="AK186" s="18" t="s">
        <v>5</v>
      </c>
      <c r="AL186" s="56">
        <v>3</v>
      </c>
      <c r="AM186" s="56">
        <v>9</v>
      </c>
      <c r="AN186" s="56">
        <v>9</v>
      </c>
      <c r="AO186" s="56">
        <v>7</v>
      </c>
      <c r="AP186" s="56">
        <v>5</v>
      </c>
      <c r="AQ186" s="56"/>
      <c r="AS186">
        <f t="shared" si="92"/>
        <v>0</v>
      </c>
    </row>
    <row r="187" spans="1:45" x14ac:dyDescent="0.25">
      <c r="A187" s="46"/>
      <c r="B187" s="18" t="s">
        <v>6</v>
      </c>
      <c r="C187" s="56"/>
      <c r="D187" s="56"/>
      <c r="E187" s="56"/>
      <c r="F187" s="56"/>
      <c r="G187" s="56"/>
      <c r="H187" s="56"/>
      <c r="I187" s="56"/>
      <c r="J187" s="56"/>
      <c r="K187" s="56"/>
      <c r="L187" s="48"/>
      <c r="M187" s="18" t="s">
        <v>6</v>
      </c>
      <c r="N187" s="56"/>
      <c r="O187" s="56"/>
      <c r="P187" s="56"/>
      <c r="Q187" s="56"/>
      <c r="R187" s="56"/>
      <c r="S187" s="56"/>
      <c r="T187" s="56"/>
      <c r="U187" s="56"/>
      <c r="V187" s="56"/>
      <c r="W187" s="79"/>
      <c r="X187" s="56"/>
      <c r="Y187" s="57"/>
      <c r="Z187" s="57"/>
      <c r="AA187" s="57"/>
      <c r="AB187" s="57"/>
      <c r="AC187" s="57"/>
      <c r="AD187" s="57"/>
      <c r="AE187" s="57"/>
      <c r="AF187" s="56"/>
      <c r="AG187" s="56"/>
      <c r="AH187" s="56"/>
      <c r="AI187" s="56"/>
      <c r="AJ187" s="65"/>
      <c r="AK187" s="18" t="s">
        <v>7</v>
      </c>
      <c r="AL187" s="56">
        <v>2</v>
      </c>
      <c r="AM187" s="56">
        <v>7</v>
      </c>
      <c r="AN187" s="56">
        <v>9</v>
      </c>
      <c r="AO187" s="56">
        <v>6</v>
      </c>
      <c r="AP187" s="56">
        <v>1</v>
      </c>
      <c r="AQ187" s="56"/>
      <c r="AS187">
        <f t="shared" si="92"/>
        <v>155</v>
      </c>
    </row>
    <row r="188" spans="1:45" x14ac:dyDescent="0.25">
      <c r="A188" s="46"/>
      <c r="B188" s="18" t="s">
        <v>7</v>
      </c>
      <c r="C188" s="56">
        <v>5</v>
      </c>
      <c r="D188" s="56">
        <v>0</v>
      </c>
      <c r="E188" s="56">
        <v>6</v>
      </c>
      <c r="F188" s="56">
        <v>4</v>
      </c>
      <c r="G188" s="56">
        <v>7</v>
      </c>
      <c r="H188" s="56">
        <v>14</v>
      </c>
      <c r="I188" s="56">
        <v>23</v>
      </c>
      <c r="J188" s="56">
        <v>9</v>
      </c>
      <c r="K188" s="56">
        <v>18</v>
      </c>
      <c r="L188" s="48"/>
      <c r="M188" s="18" t="s">
        <v>7</v>
      </c>
      <c r="N188" s="56">
        <v>6</v>
      </c>
      <c r="O188" s="56">
        <v>3</v>
      </c>
      <c r="P188" s="56">
        <v>3</v>
      </c>
      <c r="Q188" s="56">
        <v>3</v>
      </c>
      <c r="R188" s="56">
        <v>9</v>
      </c>
      <c r="S188" s="56">
        <v>8</v>
      </c>
      <c r="T188" s="56">
        <v>12</v>
      </c>
      <c r="U188" s="56">
        <v>12</v>
      </c>
      <c r="V188" s="56">
        <v>15</v>
      </c>
      <c r="W188" s="79"/>
      <c r="X188" s="56">
        <v>0</v>
      </c>
      <c r="Y188" s="57">
        <v>13</v>
      </c>
      <c r="Z188" s="57">
        <v>15</v>
      </c>
      <c r="AA188" s="57">
        <v>0</v>
      </c>
      <c r="AB188" s="57">
        <v>2</v>
      </c>
      <c r="AC188" s="57">
        <v>6</v>
      </c>
      <c r="AD188" s="57">
        <v>20</v>
      </c>
      <c r="AE188" s="57">
        <v>5</v>
      </c>
      <c r="AF188" s="56">
        <v>16</v>
      </c>
      <c r="AG188" s="56">
        <v>1</v>
      </c>
      <c r="AH188" s="56">
        <v>2</v>
      </c>
      <c r="AI188" s="56">
        <v>4</v>
      </c>
      <c r="AJ188" s="65"/>
      <c r="AK188" s="18" t="s">
        <v>8</v>
      </c>
      <c r="AL188" s="56"/>
      <c r="AM188" s="56"/>
      <c r="AN188" s="56"/>
      <c r="AO188" s="56"/>
      <c r="AP188" s="56"/>
      <c r="AQ188" s="56"/>
      <c r="AS188">
        <f t="shared" si="92"/>
        <v>0</v>
      </c>
    </row>
    <row r="189" spans="1:45" x14ac:dyDescent="0.25">
      <c r="A189" s="49" t="s">
        <v>33</v>
      </c>
      <c r="B189" s="18" t="s">
        <v>10</v>
      </c>
      <c r="C189" s="56"/>
      <c r="D189" s="56"/>
      <c r="E189" s="56"/>
      <c r="F189" s="56"/>
      <c r="G189" s="56"/>
      <c r="H189" s="56"/>
      <c r="I189" s="56"/>
      <c r="J189" s="56"/>
      <c r="K189" s="56"/>
      <c r="L189" s="66" t="str">
        <f>A189</f>
        <v>DO 2T</v>
      </c>
      <c r="M189" s="18" t="s">
        <v>10</v>
      </c>
      <c r="N189" s="56"/>
      <c r="O189" s="56"/>
      <c r="P189" s="56"/>
      <c r="Q189" s="56"/>
      <c r="R189" s="56"/>
      <c r="S189" s="56"/>
      <c r="T189" s="56"/>
      <c r="U189" s="56"/>
      <c r="V189" s="56"/>
      <c r="W189" s="79"/>
      <c r="X189" s="56"/>
      <c r="Y189" s="57"/>
      <c r="Z189" s="57"/>
      <c r="AA189" s="57"/>
      <c r="AB189" s="57"/>
      <c r="AC189" s="57"/>
      <c r="AD189" s="57"/>
      <c r="AE189" s="57"/>
      <c r="AF189" s="56"/>
      <c r="AG189" s="56"/>
      <c r="AH189" s="56"/>
      <c r="AI189" s="56"/>
      <c r="AJ189" s="66" t="str">
        <f>L189</f>
        <v>DO 2T</v>
      </c>
      <c r="AK189" s="18" t="s">
        <v>11</v>
      </c>
      <c r="AL189" s="56">
        <v>4</v>
      </c>
      <c r="AM189" s="56">
        <v>3</v>
      </c>
      <c r="AN189" s="56">
        <v>1</v>
      </c>
      <c r="AO189" s="56">
        <v>2</v>
      </c>
      <c r="AP189" s="56">
        <v>3</v>
      </c>
      <c r="AQ189" s="56"/>
      <c r="AS189">
        <f t="shared" si="92"/>
        <v>95</v>
      </c>
    </row>
    <row r="190" spans="1:45" x14ac:dyDescent="0.25">
      <c r="A190" s="49"/>
      <c r="B190" s="18" t="s">
        <v>11</v>
      </c>
      <c r="C190" s="56">
        <v>3</v>
      </c>
      <c r="D190" s="56">
        <v>19</v>
      </c>
      <c r="E190" s="56">
        <v>5</v>
      </c>
      <c r="F190" s="56">
        <v>14</v>
      </c>
      <c r="G190" s="56">
        <v>9</v>
      </c>
      <c r="H190" s="56">
        <v>7</v>
      </c>
      <c r="I190" s="56">
        <v>4</v>
      </c>
      <c r="J190" s="56">
        <v>5</v>
      </c>
      <c r="K190" s="56">
        <v>16</v>
      </c>
      <c r="L190" s="66"/>
      <c r="M190" s="18" t="s">
        <v>11</v>
      </c>
      <c r="N190" s="56">
        <v>1</v>
      </c>
      <c r="O190" s="56">
        <v>8</v>
      </c>
      <c r="P190" s="56">
        <v>0</v>
      </c>
      <c r="Q190" s="56">
        <v>4</v>
      </c>
      <c r="R190" s="56">
        <v>3</v>
      </c>
      <c r="S190" s="56">
        <v>6</v>
      </c>
      <c r="T190" s="56">
        <v>3</v>
      </c>
      <c r="U190" s="56">
        <v>6</v>
      </c>
      <c r="V190" s="56">
        <v>3</v>
      </c>
      <c r="W190" s="79"/>
      <c r="X190" s="56">
        <v>6</v>
      </c>
      <c r="Y190" s="57">
        <v>8</v>
      </c>
      <c r="Z190" s="57">
        <v>14</v>
      </c>
      <c r="AA190" s="57">
        <v>3</v>
      </c>
      <c r="AB190" s="57">
        <v>3</v>
      </c>
      <c r="AC190" s="57">
        <v>2</v>
      </c>
      <c r="AD190" s="57">
        <v>7</v>
      </c>
      <c r="AE190" s="57">
        <v>7</v>
      </c>
      <c r="AF190" s="56">
        <v>2</v>
      </c>
      <c r="AG190" s="56">
        <v>2</v>
      </c>
      <c r="AH190" s="56">
        <v>3</v>
      </c>
      <c r="AI190" s="56">
        <v>4</v>
      </c>
      <c r="AJ190" s="66"/>
      <c r="AK190" s="18" t="s">
        <v>12</v>
      </c>
      <c r="AL190" s="56"/>
      <c r="AM190" s="56"/>
      <c r="AN190" s="56"/>
      <c r="AO190" s="56"/>
      <c r="AP190" s="56"/>
      <c r="AQ190" s="56"/>
    </row>
    <row r="191" spans="1:45" x14ac:dyDescent="0.25">
      <c r="A191" s="49"/>
      <c r="B191" s="18" t="s">
        <v>12</v>
      </c>
      <c r="C191" s="56"/>
      <c r="D191" s="56"/>
      <c r="E191" s="56"/>
      <c r="F191" s="56"/>
      <c r="G191" s="56"/>
      <c r="H191" s="56"/>
      <c r="I191" s="56"/>
      <c r="J191" s="56"/>
      <c r="K191" s="56"/>
      <c r="L191" s="66"/>
      <c r="M191" s="18" t="s">
        <v>12</v>
      </c>
      <c r="N191" s="56"/>
      <c r="O191" s="56"/>
      <c r="P191" s="56"/>
      <c r="Q191" s="56"/>
      <c r="R191" s="56"/>
      <c r="S191" s="56"/>
      <c r="T191" s="56"/>
      <c r="U191" s="56"/>
      <c r="V191" s="56"/>
      <c r="W191" s="79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66"/>
      <c r="AK191" s="18" t="s">
        <v>13</v>
      </c>
      <c r="AL191" s="56">
        <v>115</v>
      </c>
      <c r="AM191" s="56">
        <v>95</v>
      </c>
      <c r="AN191" s="56">
        <v>121</v>
      </c>
      <c r="AO191" s="56">
        <v>126</v>
      </c>
      <c r="AP191" s="56">
        <v>124</v>
      </c>
      <c r="AQ191" s="56"/>
    </row>
    <row r="192" spans="1:45" x14ac:dyDescent="0.25">
      <c r="A192" s="49"/>
      <c r="B192" s="18" t="s">
        <v>13</v>
      </c>
      <c r="C192" s="56">
        <v>123</v>
      </c>
      <c r="D192" s="56">
        <v>108</v>
      </c>
      <c r="E192" s="56">
        <v>78</v>
      </c>
      <c r="F192" s="56">
        <v>125</v>
      </c>
      <c r="G192" s="56">
        <v>111</v>
      </c>
      <c r="H192" s="56">
        <v>80</v>
      </c>
      <c r="I192" s="56">
        <v>95</v>
      </c>
      <c r="J192" s="56">
        <v>105</v>
      </c>
      <c r="K192" s="56">
        <v>101</v>
      </c>
      <c r="L192" s="66"/>
      <c r="M192" s="18" t="s">
        <v>13</v>
      </c>
      <c r="N192" s="56">
        <v>126</v>
      </c>
      <c r="O192" s="56">
        <v>140</v>
      </c>
      <c r="P192" s="56">
        <v>137</v>
      </c>
      <c r="Q192" s="56">
        <v>134</v>
      </c>
      <c r="R192" s="56">
        <v>134</v>
      </c>
      <c r="S192" s="56">
        <v>124</v>
      </c>
      <c r="T192" s="56">
        <v>110</v>
      </c>
      <c r="U192" s="56">
        <v>104</v>
      </c>
      <c r="V192" s="56">
        <v>124</v>
      </c>
      <c r="W192" s="79"/>
      <c r="X192" s="56">
        <v>123</v>
      </c>
      <c r="Y192" s="56">
        <v>125</v>
      </c>
      <c r="Z192" s="56">
        <v>97</v>
      </c>
      <c r="AA192" s="56">
        <v>119</v>
      </c>
      <c r="AB192" s="56">
        <v>131</v>
      </c>
      <c r="AC192" s="56">
        <v>100</v>
      </c>
      <c r="AD192" s="56">
        <v>91</v>
      </c>
      <c r="AE192" s="56">
        <v>97</v>
      </c>
      <c r="AF192" s="56">
        <v>102</v>
      </c>
      <c r="AG192" s="56">
        <v>98</v>
      </c>
      <c r="AH192" s="56">
        <v>151</v>
      </c>
      <c r="AI192" s="56">
        <v>117</v>
      </c>
      <c r="AJ192" s="66"/>
      <c r="AK192" s="18" t="s">
        <v>14</v>
      </c>
      <c r="AL192" s="56">
        <v>271</v>
      </c>
      <c r="AM192" s="56">
        <v>280</v>
      </c>
      <c r="AN192" s="56">
        <v>280</v>
      </c>
      <c r="AO192" s="56">
        <v>288</v>
      </c>
      <c r="AP192" s="56">
        <v>298</v>
      </c>
      <c r="AQ192" s="56"/>
    </row>
    <row r="193" spans="1:45" x14ac:dyDescent="0.25">
      <c r="A193" s="51"/>
      <c r="B193" s="32" t="s">
        <v>14</v>
      </c>
      <c r="C193" s="56">
        <v>304</v>
      </c>
      <c r="D193" s="56">
        <v>299</v>
      </c>
      <c r="E193" s="56">
        <v>248</v>
      </c>
      <c r="F193" s="56">
        <v>298</v>
      </c>
      <c r="G193" s="56">
        <v>309</v>
      </c>
      <c r="H193" s="56">
        <v>275</v>
      </c>
      <c r="I193" s="56">
        <v>289</v>
      </c>
      <c r="J193" s="56">
        <v>289</v>
      </c>
      <c r="K193" s="56">
        <v>298</v>
      </c>
      <c r="L193" s="72"/>
      <c r="M193" s="75" t="s">
        <v>14</v>
      </c>
      <c r="N193" s="56">
        <v>335</v>
      </c>
      <c r="O193" s="56">
        <v>341</v>
      </c>
      <c r="P193" s="56">
        <v>320</v>
      </c>
      <c r="Q193" s="56">
        <v>320</v>
      </c>
      <c r="R193" s="56">
        <v>351</v>
      </c>
      <c r="S193" s="56">
        <v>341</v>
      </c>
      <c r="T193" s="56">
        <v>290</v>
      </c>
      <c r="U193" s="56">
        <v>304</v>
      </c>
      <c r="V193" s="56">
        <v>306</v>
      </c>
      <c r="W193" s="79"/>
      <c r="X193" s="56">
        <v>288</v>
      </c>
      <c r="Y193" s="56">
        <v>306</v>
      </c>
      <c r="Z193" s="56">
        <v>296</v>
      </c>
      <c r="AA193" s="56">
        <v>293</v>
      </c>
      <c r="AB193" s="56">
        <v>301</v>
      </c>
      <c r="AC193" s="56">
        <v>295</v>
      </c>
      <c r="AD193" s="56">
        <v>304</v>
      </c>
      <c r="AE193" s="56">
        <v>294</v>
      </c>
      <c r="AF193" s="56">
        <v>261</v>
      </c>
      <c r="AG193" s="56">
        <v>325</v>
      </c>
      <c r="AH193" s="56">
        <v>356</v>
      </c>
      <c r="AI193" s="56">
        <v>290</v>
      </c>
      <c r="AJ193" s="61"/>
      <c r="AK193" s="16"/>
      <c r="AL193" s="56"/>
      <c r="AM193" s="56"/>
      <c r="AN193" s="56"/>
      <c r="AO193" s="56"/>
      <c r="AP193" s="56"/>
      <c r="AQ193" s="56"/>
    </row>
    <row r="194" spans="1:45" ht="15" customHeight="1" x14ac:dyDescent="0.25">
      <c r="A194" s="45">
        <f>+A183</f>
        <v>46089</v>
      </c>
      <c r="B194" s="33" t="s">
        <v>2</v>
      </c>
      <c r="C194" s="56">
        <f t="shared" ref="C194:K194" si="93">(C203*100000)/(C204*60*8)</f>
        <v>86.633663366336634</v>
      </c>
      <c r="D194" s="56">
        <f t="shared" si="93"/>
        <v>50.167224080267559</v>
      </c>
      <c r="E194" s="56">
        <f t="shared" si="93"/>
        <v>90.725806451612897</v>
      </c>
      <c r="F194" s="56">
        <f t="shared" si="93"/>
        <v>85.867117117117118</v>
      </c>
      <c r="G194" s="56">
        <f t="shared" si="93"/>
        <v>82.254584681769146</v>
      </c>
      <c r="H194" s="56">
        <f t="shared" si="93"/>
        <v>84.397810218978108</v>
      </c>
      <c r="I194" s="56">
        <f t="shared" si="93"/>
        <v>82.900807381776247</v>
      </c>
      <c r="J194" s="56">
        <f t="shared" si="93"/>
        <v>86.130742049469958</v>
      </c>
      <c r="K194" s="62">
        <f t="shared" si="93"/>
        <v>90.18456375838926</v>
      </c>
      <c r="L194" s="47">
        <f>A194</f>
        <v>46089</v>
      </c>
      <c r="M194" s="76" t="s">
        <v>2</v>
      </c>
      <c r="N194" s="62">
        <f>(N203*100000)/(N204*60*8)</f>
        <v>90.796019900497512</v>
      </c>
      <c r="O194" s="62">
        <f t="shared" ref="O194:AI194" si="94">(O203*100000)/(O204*60*8)</f>
        <v>85.784313725490193</v>
      </c>
      <c r="P194" s="62">
        <f t="shared" si="94"/>
        <v>92.447916666666671</v>
      </c>
      <c r="Q194" s="62">
        <f t="shared" si="94"/>
        <v>89.84375</v>
      </c>
      <c r="R194" s="62">
        <f t="shared" si="94"/>
        <v>89.285714285714292</v>
      </c>
      <c r="S194" s="62">
        <f t="shared" si="94"/>
        <v>36.26543209876543</v>
      </c>
      <c r="T194" s="62">
        <f t="shared" si="94"/>
        <v>89.798850574712645</v>
      </c>
      <c r="U194" s="62">
        <f t="shared" si="94"/>
        <v>89.383938393839387</v>
      </c>
      <c r="V194" s="62">
        <f t="shared" si="94"/>
        <v>79.656862745098039</v>
      </c>
      <c r="W194" s="79"/>
      <c r="X194" s="62">
        <f t="shared" si="94"/>
        <v>71.614583333333329</v>
      </c>
      <c r="Y194" s="62">
        <f t="shared" si="94"/>
        <v>74.647122692725304</v>
      </c>
      <c r="Z194" s="62">
        <f t="shared" si="94"/>
        <v>89.386261261261268</v>
      </c>
      <c r="AA194" s="62">
        <f t="shared" si="94"/>
        <v>82.049086757990864</v>
      </c>
      <c r="AB194" s="62">
        <f t="shared" si="94"/>
        <v>95.888520971302427</v>
      </c>
      <c r="AC194" s="62">
        <f t="shared" si="94"/>
        <v>94.891552511415526</v>
      </c>
      <c r="AD194" s="62">
        <f t="shared" si="94"/>
        <v>75.632563256325639</v>
      </c>
      <c r="AE194" s="62">
        <f t="shared" si="94"/>
        <v>83.902161547212742</v>
      </c>
      <c r="AF194" s="62">
        <f t="shared" si="94"/>
        <v>80.929487179487182</v>
      </c>
      <c r="AG194" s="62">
        <f t="shared" si="94"/>
        <v>52.469135802469133</v>
      </c>
      <c r="AH194" s="62">
        <f t="shared" si="94"/>
        <v>61.032863849765256</v>
      </c>
      <c r="AI194" s="62">
        <f t="shared" si="94"/>
        <v>90.773809523809518</v>
      </c>
      <c r="AJ194" s="65">
        <f>L194</f>
        <v>46089</v>
      </c>
      <c r="AK194" s="18" t="s">
        <v>2</v>
      </c>
      <c r="AL194" s="56">
        <f>(AL202*100000)/(AL203*60*8)</f>
        <v>90.791180285343714</v>
      </c>
      <c r="AM194" s="56">
        <f t="shared" ref="AM194:AP194" si="95">(AM202*100000)/(AM203*60*8)</f>
        <v>75.148809523809518</v>
      </c>
      <c r="AN194" s="56">
        <f t="shared" si="95"/>
        <v>96.726190476190482</v>
      </c>
      <c r="AO194" s="56">
        <f t="shared" si="95"/>
        <v>72.087658592848911</v>
      </c>
      <c r="AP194" s="56">
        <f t="shared" si="95"/>
        <v>88.786353467561526</v>
      </c>
      <c r="AQ194" s="56"/>
      <c r="AS194">
        <f t="shared" ref="AS194:AS201" si="96">SUM(N195:AI195)</f>
        <v>154</v>
      </c>
    </row>
    <row r="195" spans="1:45" x14ac:dyDescent="0.25">
      <c r="A195" s="46"/>
      <c r="B195" s="18" t="s">
        <v>3</v>
      </c>
      <c r="C195" s="56">
        <v>6</v>
      </c>
      <c r="D195" s="56">
        <v>7</v>
      </c>
      <c r="E195" s="56">
        <v>6</v>
      </c>
      <c r="F195" s="56">
        <v>2</v>
      </c>
      <c r="G195" s="56">
        <v>8</v>
      </c>
      <c r="H195" s="56">
        <v>2</v>
      </c>
      <c r="I195" s="56">
        <v>8</v>
      </c>
      <c r="J195" s="56">
        <v>9</v>
      </c>
      <c r="K195" s="56">
        <v>13</v>
      </c>
      <c r="L195" s="48"/>
      <c r="M195" s="18" t="s">
        <v>3</v>
      </c>
      <c r="N195" s="56">
        <v>4</v>
      </c>
      <c r="O195" s="56">
        <v>17</v>
      </c>
      <c r="P195" s="56">
        <v>6</v>
      </c>
      <c r="Q195" s="56">
        <v>0</v>
      </c>
      <c r="R195" s="56">
        <v>2</v>
      </c>
      <c r="S195" s="56">
        <v>1</v>
      </c>
      <c r="T195" s="56">
        <v>1</v>
      </c>
      <c r="U195" s="56">
        <v>17</v>
      </c>
      <c r="V195" s="56">
        <v>3</v>
      </c>
      <c r="W195" s="79"/>
      <c r="X195" s="57">
        <v>20</v>
      </c>
      <c r="Y195" s="57">
        <v>7</v>
      </c>
      <c r="Z195" s="57">
        <v>9</v>
      </c>
      <c r="AA195" s="57">
        <v>23</v>
      </c>
      <c r="AB195" s="57">
        <v>2</v>
      </c>
      <c r="AC195" s="57">
        <v>2</v>
      </c>
      <c r="AD195" s="57">
        <v>22</v>
      </c>
      <c r="AE195" s="57">
        <v>2</v>
      </c>
      <c r="AF195" s="57">
        <v>4</v>
      </c>
      <c r="AG195" s="57">
        <v>2</v>
      </c>
      <c r="AH195" s="56">
        <v>6</v>
      </c>
      <c r="AI195" s="56">
        <v>4</v>
      </c>
      <c r="AJ195" s="65"/>
      <c r="AK195" s="18" t="s">
        <v>3</v>
      </c>
      <c r="AL195" s="56">
        <v>2</v>
      </c>
      <c r="AM195" s="56">
        <v>9</v>
      </c>
      <c r="AN195" s="56">
        <v>3</v>
      </c>
      <c r="AO195" s="56">
        <v>3</v>
      </c>
      <c r="AP195" s="56">
        <v>7</v>
      </c>
      <c r="AQ195" s="56"/>
      <c r="AS195">
        <f t="shared" si="96"/>
        <v>0</v>
      </c>
    </row>
    <row r="196" spans="1:45" x14ac:dyDescent="0.25">
      <c r="A196" s="46"/>
      <c r="B196" s="18" t="s">
        <v>4</v>
      </c>
      <c r="C196" s="56"/>
      <c r="D196" s="56"/>
      <c r="E196" s="56"/>
      <c r="F196" s="56"/>
      <c r="G196" s="56"/>
      <c r="H196" s="56"/>
      <c r="I196" s="56"/>
      <c r="J196" s="56"/>
      <c r="K196" s="56"/>
      <c r="L196" s="48"/>
      <c r="M196" s="18" t="s">
        <v>4</v>
      </c>
      <c r="N196" s="56"/>
      <c r="O196" s="56"/>
      <c r="P196" s="56"/>
      <c r="Q196" s="56"/>
      <c r="R196" s="56"/>
      <c r="S196" s="56"/>
      <c r="T196" s="56"/>
      <c r="U196" s="56"/>
      <c r="V196" s="56"/>
      <c r="W196" s="79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6"/>
      <c r="AI196" s="56"/>
      <c r="AJ196" s="65"/>
      <c r="AK196" s="18" t="s">
        <v>4</v>
      </c>
      <c r="AL196" s="56"/>
      <c r="AM196" s="56"/>
      <c r="AN196" s="56"/>
      <c r="AO196" s="56"/>
      <c r="AP196" s="56"/>
      <c r="AQ196" s="56"/>
      <c r="AS196">
        <f t="shared" si="96"/>
        <v>115</v>
      </c>
    </row>
    <row r="197" spans="1:45" x14ac:dyDescent="0.25">
      <c r="A197" s="46"/>
      <c r="B197" s="18" t="s">
        <v>5</v>
      </c>
      <c r="C197" s="56">
        <v>1</v>
      </c>
      <c r="D197" s="56">
        <v>10</v>
      </c>
      <c r="E197" s="57">
        <v>4</v>
      </c>
      <c r="F197" s="57">
        <v>2</v>
      </c>
      <c r="G197" s="57">
        <v>4</v>
      </c>
      <c r="H197" s="57">
        <v>8</v>
      </c>
      <c r="I197" s="56">
        <v>14</v>
      </c>
      <c r="J197" s="56">
        <v>3</v>
      </c>
      <c r="K197" s="56">
        <v>5</v>
      </c>
      <c r="L197" s="48"/>
      <c r="M197" s="18" t="s">
        <v>5</v>
      </c>
      <c r="N197" s="56">
        <v>0</v>
      </c>
      <c r="O197" s="56">
        <v>3</v>
      </c>
      <c r="P197" s="56">
        <v>1</v>
      </c>
      <c r="Q197" s="56">
        <v>1</v>
      </c>
      <c r="R197" s="56">
        <v>1</v>
      </c>
      <c r="S197" s="56">
        <v>5</v>
      </c>
      <c r="T197" s="56">
        <v>1</v>
      </c>
      <c r="U197" s="56">
        <v>0</v>
      </c>
      <c r="V197" s="56">
        <v>3</v>
      </c>
      <c r="W197" s="79"/>
      <c r="X197" s="57">
        <v>9</v>
      </c>
      <c r="Y197" s="57">
        <v>10</v>
      </c>
      <c r="Z197" s="57">
        <v>3</v>
      </c>
      <c r="AA197" s="57">
        <v>10</v>
      </c>
      <c r="AB197" s="57">
        <v>4</v>
      </c>
      <c r="AC197" s="57">
        <v>3</v>
      </c>
      <c r="AD197" s="57">
        <v>6</v>
      </c>
      <c r="AE197" s="57">
        <v>17</v>
      </c>
      <c r="AF197" s="57">
        <v>5</v>
      </c>
      <c r="AG197" s="57">
        <v>26</v>
      </c>
      <c r="AH197" s="56">
        <v>4</v>
      </c>
      <c r="AI197" s="56">
        <v>3</v>
      </c>
      <c r="AJ197" s="65"/>
      <c r="AK197" s="18" t="s">
        <v>5</v>
      </c>
      <c r="AL197" s="56">
        <v>14</v>
      </c>
      <c r="AM197" s="56">
        <v>5</v>
      </c>
      <c r="AN197" s="56">
        <v>5</v>
      </c>
      <c r="AO197" s="56">
        <v>0</v>
      </c>
      <c r="AP197" s="56">
        <v>0</v>
      </c>
      <c r="AQ197" s="56"/>
      <c r="AS197">
        <f t="shared" si="96"/>
        <v>0</v>
      </c>
    </row>
    <row r="198" spans="1:45" x14ac:dyDescent="0.25">
      <c r="A198" s="46"/>
      <c r="B198" s="18" t="s">
        <v>6</v>
      </c>
      <c r="C198" s="56"/>
      <c r="D198" s="56"/>
      <c r="E198" s="57"/>
      <c r="F198" s="57"/>
      <c r="G198" s="57"/>
      <c r="H198" s="57"/>
      <c r="I198" s="56"/>
      <c r="J198" s="56"/>
      <c r="K198" s="56"/>
      <c r="L198" s="48"/>
      <c r="M198" s="18" t="s">
        <v>6</v>
      </c>
      <c r="N198" s="56"/>
      <c r="O198" s="56"/>
      <c r="P198" s="56"/>
      <c r="Q198" s="56"/>
      <c r="R198" s="56"/>
      <c r="S198" s="56"/>
      <c r="T198" s="56"/>
      <c r="U198" s="56"/>
      <c r="V198" s="56"/>
      <c r="W198" s="79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6"/>
      <c r="AI198" s="56"/>
      <c r="AJ198" s="65"/>
      <c r="AK198" s="18" t="s">
        <v>7</v>
      </c>
      <c r="AL198" s="56">
        <v>3</v>
      </c>
      <c r="AM198" s="56">
        <v>7</v>
      </c>
      <c r="AN198" s="56">
        <v>4</v>
      </c>
      <c r="AO198" s="56">
        <v>7</v>
      </c>
      <c r="AP198" s="56">
        <v>2</v>
      </c>
      <c r="AQ198" s="56"/>
      <c r="AS198">
        <f t="shared" si="96"/>
        <v>145</v>
      </c>
    </row>
    <row r="199" spans="1:45" x14ac:dyDescent="0.25">
      <c r="A199" s="46"/>
      <c r="B199" s="18" t="s">
        <v>7</v>
      </c>
      <c r="C199" s="56">
        <v>15</v>
      </c>
      <c r="D199" s="56">
        <v>1</v>
      </c>
      <c r="E199" s="57">
        <v>1</v>
      </c>
      <c r="F199" s="57">
        <v>18</v>
      </c>
      <c r="G199" s="57">
        <v>20</v>
      </c>
      <c r="H199" s="57">
        <v>10</v>
      </c>
      <c r="I199" s="56">
        <v>7</v>
      </c>
      <c r="J199" s="56">
        <v>8</v>
      </c>
      <c r="K199" s="56">
        <v>8</v>
      </c>
      <c r="L199" s="48"/>
      <c r="M199" s="18" t="s">
        <v>7</v>
      </c>
      <c r="N199" s="56">
        <v>4</v>
      </c>
      <c r="O199" s="56">
        <v>0</v>
      </c>
      <c r="P199" s="56">
        <v>2</v>
      </c>
      <c r="Q199" s="56">
        <v>5</v>
      </c>
      <c r="R199" s="56">
        <v>10</v>
      </c>
      <c r="S199" s="56">
        <v>12</v>
      </c>
      <c r="T199" s="56">
        <v>14</v>
      </c>
      <c r="U199" s="56">
        <v>3</v>
      </c>
      <c r="V199" s="56">
        <v>7</v>
      </c>
      <c r="W199" s="79"/>
      <c r="X199" s="57">
        <v>4</v>
      </c>
      <c r="Y199" s="57">
        <v>35</v>
      </c>
      <c r="Z199" s="57">
        <v>5</v>
      </c>
      <c r="AA199" s="57">
        <v>0</v>
      </c>
      <c r="AB199" s="57">
        <v>2</v>
      </c>
      <c r="AC199" s="57">
        <v>3</v>
      </c>
      <c r="AD199" s="57">
        <v>11</v>
      </c>
      <c r="AE199" s="57">
        <v>4</v>
      </c>
      <c r="AF199" s="57">
        <v>8</v>
      </c>
      <c r="AG199" s="57">
        <v>7</v>
      </c>
      <c r="AH199" s="56">
        <v>4</v>
      </c>
      <c r="AI199" s="56">
        <v>5</v>
      </c>
      <c r="AJ199" s="65"/>
      <c r="AK199" s="18" t="s">
        <v>8</v>
      </c>
      <c r="AL199" s="56">
        <v>3</v>
      </c>
      <c r="AM199" s="56"/>
      <c r="AN199" s="56"/>
      <c r="AO199" s="56"/>
      <c r="AP199" s="56"/>
      <c r="AQ199" s="56"/>
      <c r="AS199">
        <f t="shared" si="96"/>
        <v>0</v>
      </c>
    </row>
    <row r="200" spans="1:45" x14ac:dyDescent="0.25">
      <c r="A200" s="49" t="s">
        <v>34</v>
      </c>
      <c r="B200" s="18" t="s">
        <v>10</v>
      </c>
      <c r="C200" s="56"/>
      <c r="D200" s="56"/>
      <c r="E200" s="57"/>
      <c r="F200" s="57"/>
      <c r="G200" s="57"/>
      <c r="H200" s="57"/>
      <c r="I200" s="56"/>
      <c r="J200" s="56"/>
      <c r="K200" s="56"/>
      <c r="L200" s="66" t="str">
        <f>A200</f>
        <v>DO 3T</v>
      </c>
      <c r="M200" s="18" t="s">
        <v>10</v>
      </c>
      <c r="N200" s="56"/>
      <c r="O200" s="56"/>
      <c r="P200" s="56"/>
      <c r="Q200" s="56"/>
      <c r="R200" s="56"/>
      <c r="S200" s="56"/>
      <c r="T200" s="56"/>
      <c r="U200" s="56"/>
      <c r="V200" s="56"/>
      <c r="W200" s="79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6"/>
      <c r="AI200" s="56"/>
      <c r="AJ200" s="66" t="str">
        <f>L200</f>
        <v>DO 3T</v>
      </c>
      <c r="AK200" s="18" t="s">
        <v>11</v>
      </c>
      <c r="AL200" s="56">
        <v>4</v>
      </c>
      <c r="AM200" s="56">
        <v>2</v>
      </c>
      <c r="AN200" s="56">
        <v>1</v>
      </c>
      <c r="AO200" s="56">
        <v>2</v>
      </c>
      <c r="AP200" s="56">
        <v>10</v>
      </c>
      <c r="AQ200" s="56"/>
      <c r="AS200">
        <f t="shared" si="96"/>
        <v>88</v>
      </c>
    </row>
    <row r="201" spans="1:45" x14ac:dyDescent="0.25">
      <c r="A201" s="49"/>
      <c r="B201" s="18" t="s">
        <v>11</v>
      </c>
      <c r="C201" s="56">
        <v>2</v>
      </c>
      <c r="D201" s="56">
        <v>7</v>
      </c>
      <c r="E201" s="57">
        <v>6</v>
      </c>
      <c r="F201" s="57">
        <v>28</v>
      </c>
      <c r="G201" s="57">
        <v>3</v>
      </c>
      <c r="H201" s="57">
        <v>3</v>
      </c>
      <c r="I201" s="56">
        <v>18</v>
      </c>
      <c r="J201" s="56">
        <v>2</v>
      </c>
      <c r="K201" s="56">
        <v>6</v>
      </c>
      <c r="L201" s="66"/>
      <c r="M201" s="18" t="s">
        <v>11</v>
      </c>
      <c r="N201" s="56">
        <v>1</v>
      </c>
      <c r="O201" s="56">
        <v>3</v>
      </c>
      <c r="P201" s="56">
        <v>0</v>
      </c>
      <c r="Q201" s="56">
        <v>4</v>
      </c>
      <c r="R201" s="56">
        <v>3</v>
      </c>
      <c r="S201" s="56">
        <v>10</v>
      </c>
      <c r="T201" s="56">
        <v>2</v>
      </c>
      <c r="U201" s="56">
        <v>3</v>
      </c>
      <c r="V201" s="56">
        <v>3</v>
      </c>
      <c r="W201" s="79"/>
      <c r="X201" s="57">
        <v>6</v>
      </c>
      <c r="Y201" s="57">
        <v>9</v>
      </c>
      <c r="Z201" s="57">
        <v>7</v>
      </c>
      <c r="AA201" s="57">
        <v>3</v>
      </c>
      <c r="AB201" s="57">
        <v>2</v>
      </c>
      <c r="AC201" s="57">
        <v>2</v>
      </c>
      <c r="AD201" s="57">
        <v>8</v>
      </c>
      <c r="AE201" s="57">
        <v>4</v>
      </c>
      <c r="AF201" s="57">
        <v>2</v>
      </c>
      <c r="AG201" s="57">
        <v>10</v>
      </c>
      <c r="AH201" s="56">
        <v>3</v>
      </c>
      <c r="AI201" s="56">
        <v>3</v>
      </c>
      <c r="AJ201" s="66"/>
      <c r="AK201" s="18" t="s">
        <v>12</v>
      </c>
      <c r="AL201" s="56"/>
      <c r="AM201" s="56"/>
      <c r="AN201" s="56"/>
      <c r="AO201" s="56"/>
      <c r="AP201" s="56"/>
      <c r="AQ201" s="56"/>
      <c r="AS201">
        <f t="shared" si="96"/>
        <v>0</v>
      </c>
    </row>
    <row r="202" spans="1:45" x14ac:dyDescent="0.25">
      <c r="A202" s="49"/>
      <c r="B202" s="18" t="s">
        <v>12</v>
      </c>
      <c r="C202" s="56"/>
      <c r="D202" s="56"/>
      <c r="E202" s="57"/>
      <c r="F202" s="57"/>
      <c r="G202" s="57"/>
      <c r="H202" s="57"/>
      <c r="I202" s="56"/>
      <c r="J202" s="56"/>
      <c r="K202" s="56"/>
      <c r="L202" s="66"/>
      <c r="M202" s="18" t="s">
        <v>12</v>
      </c>
      <c r="N202" s="56"/>
      <c r="O202" s="56"/>
      <c r="P202" s="56"/>
      <c r="Q202" s="56"/>
      <c r="R202" s="56"/>
      <c r="S202" s="56"/>
      <c r="T202" s="56"/>
      <c r="U202" s="56"/>
      <c r="V202" s="56"/>
      <c r="W202" s="79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6"/>
      <c r="AI202" s="56"/>
      <c r="AJ202" s="66"/>
      <c r="AK202" s="18" t="s">
        <v>13</v>
      </c>
      <c r="AL202" s="56">
        <v>112</v>
      </c>
      <c r="AM202" s="56">
        <v>101</v>
      </c>
      <c r="AN202" s="56">
        <v>130</v>
      </c>
      <c r="AO202" s="56">
        <v>100</v>
      </c>
      <c r="AP202" s="56">
        <v>127</v>
      </c>
      <c r="AQ202" s="56"/>
    </row>
    <row r="203" spans="1:45" x14ac:dyDescent="0.25">
      <c r="A203" s="49"/>
      <c r="B203" s="18" t="s">
        <v>13</v>
      </c>
      <c r="C203" s="56">
        <v>126</v>
      </c>
      <c r="D203" s="56">
        <v>72</v>
      </c>
      <c r="E203" s="57">
        <v>108</v>
      </c>
      <c r="F203" s="57">
        <v>122</v>
      </c>
      <c r="G203" s="57">
        <v>122</v>
      </c>
      <c r="H203" s="57">
        <v>111</v>
      </c>
      <c r="I203" s="56">
        <v>115</v>
      </c>
      <c r="J203" s="56">
        <v>117</v>
      </c>
      <c r="K203" s="56">
        <v>129</v>
      </c>
      <c r="L203" s="66"/>
      <c r="M203" s="18" t="s">
        <v>13</v>
      </c>
      <c r="N203" s="56">
        <v>146</v>
      </c>
      <c r="O203" s="56">
        <v>140</v>
      </c>
      <c r="P203" s="56">
        <v>142</v>
      </c>
      <c r="Q203" s="56">
        <v>138</v>
      </c>
      <c r="R203" s="56">
        <v>150</v>
      </c>
      <c r="S203" s="56">
        <v>47</v>
      </c>
      <c r="T203" s="56">
        <v>125</v>
      </c>
      <c r="U203" s="56">
        <v>130</v>
      </c>
      <c r="V203" s="56">
        <v>117</v>
      </c>
      <c r="W203" s="79"/>
      <c r="X203" s="56">
        <v>99</v>
      </c>
      <c r="Y203" s="56">
        <v>110</v>
      </c>
      <c r="Z203" s="56">
        <v>127</v>
      </c>
      <c r="AA203" s="56">
        <v>115</v>
      </c>
      <c r="AB203" s="56">
        <v>139</v>
      </c>
      <c r="AC203" s="56">
        <v>133</v>
      </c>
      <c r="AD203" s="56">
        <v>110</v>
      </c>
      <c r="AE203" s="56">
        <v>118</v>
      </c>
      <c r="AF203" s="56">
        <v>101</v>
      </c>
      <c r="AG203" s="56">
        <v>68</v>
      </c>
      <c r="AH203" s="56">
        <v>104</v>
      </c>
      <c r="AI203" s="56">
        <v>122</v>
      </c>
      <c r="AJ203" s="66"/>
      <c r="AK203" s="18" t="s">
        <v>14</v>
      </c>
      <c r="AL203" s="56">
        <v>257</v>
      </c>
      <c r="AM203" s="56">
        <v>280</v>
      </c>
      <c r="AN203" s="56">
        <v>280</v>
      </c>
      <c r="AO203" s="56">
        <v>289</v>
      </c>
      <c r="AP203" s="56">
        <v>298</v>
      </c>
      <c r="AQ203" s="56"/>
    </row>
    <row r="204" spans="1:45" ht="15.75" thickBot="1" x14ac:dyDescent="0.3">
      <c r="A204" s="50"/>
      <c r="B204" s="25" t="s">
        <v>14</v>
      </c>
      <c r="C204" s="56">
        <v>303</v>
      </c>
      <c r="D204" s="56">
        <v>299</v>
      </c>
      <c r="E204" s="57">
        <v>248</v>
      </c>
      <c r="F204" s="57">
        <v>296</v>
      </c>
      <c r="G204" s="57">
        <v>309</v>
      </c>
      <c r="H204" s="57">
        <v>274</v>
      </c>
      <c r="I204" s="56">
        <v>289</v>
      </c>
      <c r="J204" s="56">
        <v>283</v>
      </c>
      <c r="K204" s="56">
        <v>298</v>
      </c>
      <c r="L204" s="66"/>
      <c r="M204" s="18" t="s">
        <v>14</v>
      </c>
      <c r="N204" s="56">
        <v>335</v>
      </c>
      <c r="O204" s="56">
        <v>340</v>
      </c>
      <c r="P204" s="56">
        <v>320</v>
      </c>
      <c r="Q204" s="56">
        <v>320</v>
      </c>
      <c r="R204" s="56">
        <v>350</v>
      </c>
      <c r="S204" s="56">
        <v>270</v>
      </c>
      <c r="T204" s="56">
        <v>290</v>
      </c>
      <c r="U204" s="56">
        <v>303</v>
      </c>
      <c r="V204" s="56">
        <v>306</v>
      </c>
      <c r="W204" s="79"/>
      <c r="X204" s="56">
        <v>288</v>
      </c>
      <c r="Y204" s="56">
        <v>307</v>
      </c>
      <c r="Z204" s="56">
        <v>296</v>
      </c>
      <c r="AA204" s="56">
        <v>292</v>
      </c>
      <c r="AB204" s="56">
        <v>302</v>
      </c>
      <c r="AC204" s="56">
        <v>292</v>
      </c>
      <c r="AD204" s="56">
        <v>303</v>
      </c>
      <c r="AE204" s="56">
        <v>293</v>
      </c>
      <c r="AF204" s="56">
        <v>260</v>
      </c>
      <c r="AG204" s="56">
        <v>270</v>
      </c>
      <c r="AH204" s="56">
        <v>355</v>
      </c>
      <c r="AI204" s="56">
        <v>280</v>
      </c>
      <c r="AJ204" s="61"/>
      <c r="AK204" s="16"/>
      <c r="AL204" s="56"/>
      <c r="AM204" s="56"/>
      <c r="AN204" s="56"/>
      <c r="AO204" s="56"/>
      <c r="AP204" s="56"/>
      <c r="AQ204" s="56"/>
    </row>
    <row r="205" spans="1:45" x14ac:dyDescent="0.25">
      <c r="A205" s="41">
        <f>A194+1</f>
        <v>46090</v>
      </c>
      <c r="B205" s="20" t="s">
        <v>1</v>
      </c>
      <c r="C205" s="74">
        <v>201</v>
      </c>
      <c r="D205" s="74">
        <f>+C205+1</f>
        <v>202</v>
      </c>
      <c r="E205" s="74">
        <f>+D205+1</f>
        <v>203</v>
      </c>
      <c r="F205" s="74">
        <f>+E205+1</f>
        <v>204</v>
      </c>
      <c r="G205" s="74">
        <f>+F205+1</f>
        <v>205</v>
      </c>
      <c r="H205" s="74">
        <f>+G205+1</f>
        <v>206</v>
      </c>
      <c r="I205" s="74">
        <v>213</v>
      </c>
      <c r="J205" s="74">
        <f>+I205+1</f>
        <v>214</v>
      </c>
      <c r="K205" s="74">
        <f>+J205+1</f>
        <v>215</v>
      </c>
      <c r="L205" s="59">
        <f>A205</f>
        <v>46090</v>
      </c>
      <c r="M205" s="7" t="s">
        <v>1</v>
      </c>
      <c r="N205" s="74">
        <v>299</v>
      </c>
      <c r="O205" s="74">
        <f t="shared" ref="O205:X205" si="97">+N205+1</f>
        <v>300</v>
      </c>
      <c r="P205" s="74">
        <f t="shared" si="97"/>
        <v>301</v>
      </c>
      <c r="Q205" s="74">
        <f t="shared" si="97"/>
        <v>302</v>
      </c>
      <c r="R205" s="74">
        <f t="shared" si="97"/>
        <v>303</v>
      </c>
      <c r="S205" s="74">
        <f t="shared" si="97"/>
        <v>304</v>
      </c>
      <c r="T205" s="74">
        <f t="shared" si="97"/>
        <v>305</v>
      </c>
      <c r="U205" s="74">
        <f t="shared" si="97"/>
        <v>306</v>
      </c>
      <c r="V205" s="74">
        <f t="shared" si="97"/>
        <v>307</v>
      </c>
      <c r="W205" s="74">
        <f t="shared" si="97"/>
        <v>308</v>
      </c>
      <c r="X205" s="74">
        <f t="shared" si="97"/>
        <v>309</v>
      </c>
      <c r="Y205" s="74">
        <f>+X205+1</f>
        <v>310</v>
      </c>
      <c r="Z205" s="74">
        <f t="shared" ref="Z205:AB205" si="98">+Y205+1</f>
        <v>311</v>
      </c>
      <c r="AA205" s="74">
        <f t="shared" si="98"/>
        <v>312</v>
      </c>
      <c r="AB205" s="74">
        <f t="shared" si="98"/>
        <v>313</v>
      </c>
      <c r="AC205" s="74">
        <f>+AB205+1</f>
        <v>314</v>
      </c>
      <c r="AD205" s="74">
        <f t="shared" ref="AD205:AI205" si="99">+AC205+1</f>
        <v>315</v>
      </c>
      <c r="AE205" s="74">
        <f t="shared" si="99"/>
        <v>316</v>
      </c>
      <c r="AF205" s="74">
        <f t="shared" si="99"/>
        <v>317</v>
      </c>
      <c r="AG205" s="74">
        <f t="shared" si="99"/>
        <v>318</v>
      </c>
      <c r="AH205" s="74">
        <f t="shared" si="99"/>
        <v>319</v>
      </c>
      <c r="AI205" s="74">
        <f t="shared" si="99"/>
        <v>320</v>
      </c>
      <c r="AJ205" s="59">
        <f>L205</f>
        <v>46090</v>
      </c>
      <c r="AK205" s="11" t="s">
        <v>1</v>
      </c>
      <c r="AL205" s="74">
        <v>207</v>
      </c>
      <c r="AM205" s="74">
        <f>+AL205+1</f>
        <v>208</v>
      </c>
      <c r="AN205" s="74">
        <f>+AM205+1</f>
        <v>209</v>
      </c>
      <c r="AO205" s="74">
        <f>+AN205+1</f>
        <v>210</v>
      </c>
      <c r="AP205" s="74">
        <f>+AO205+1</f>
        <v>211</v>
      </c>
      <c r="AQ205" s="74">
        <f>+AP205+1</f>
        <v>212</v>
      </c>
    </row>
    <row r="206" spans="1:45" ht="15" customHeight="1" x14ac:dyDescent="0.25">
      <c r="A206" s="41"/>
      <c r="B206" s="20" t="s">
        <v>2</v>
      </c>
      <c r="C206" s="56">
        <f t="shared" ref="C206:K206" si="100">(C215*100000)/(C216*60*8)</f>
        <v>91.446644664466447</v>
      </c>
      <c r="D206" s="58"/>
      <c r="E206" s="56">
        <f t="shared" si="100"/>
        <v>89.885752688172047</v>
      </c>
      <c r="F206" s="56">
        <f t="shared" si="100"/>
        <v>81.64414414414415</v>
      </c>
      <c r="G206" s="56">
        <f t="shared" si="100"/>
        <v>93.042071197411005</v>
      </c>
      <c r="H206" s="56">
        <f t="shared" si="100"/>
        <v>72.992700729927009</v>
      </c>
      <c r="I206" s="56">
        <f t="shared" si="100"/>
        <v>86.505190311418687</v>
      </c>
      <c r="J206" s="56">
        <f t="shared" si="100"/>
        <v>92.756183745583044</v>
      </c>
      <c r="K206" s="62">
        <f t="shared" si="100"/>
        <v>79.697986577181211</v>
      </c>
      <c r="L206" s="54"/>
      <c r="M206" s="18" t="s">
        <v>2</v>
      </c>
      <c r="N206" s="62">
        <f>(N215*100000)/(N216*60*8)</f>
        <v>87.06467661691542</v>
      </c>
      <c r="O206" s="62">
        <f t="shared" ref="O206:S206" si="101">(O215*100000)/(O216*60*8)</f>
        <v>63.725490196078432</v>
      </c>
      <c r="P206" s="62">
        <f t="shared" si="101"/>
        <v>96.354166666666671</v>
      </c>
      <c r="Q206" s="62">
        <f t="shared" si="101"/>
        <v>84.635416666666671</v>
      </c>
      <c r="R206" s="62">
        <f t="shared" si="101"/>
        <v>88.69047619047619</v>
      </c>
      <c r="S206" s="62">
        <f t="shared" si="101"/>
        <v>74.074074074074076</v>
      </c>
      <c r="T206" s="62">
        <f>(T215*100000)/(T216*60*8)</f>
        <v>86.925287356321846</v>
      </c>
      <c r="U206" s="62">
        <f>(U215*100000)/(U216*60*8)</f>
        <v>66.006600660066013</v>
      </c>
      <c r="V206" s="62">
        <f t="shared" ref="V206:AI206" si="102">(V215*100000)/(V216*60*8)</f>
        <v>44.934640522875817</v>
      </c>
      <c r="W206" s="62">
        <f t="shared" si="102"/>
        <v>63.524590163934427</v>
      </c>
      <c r="X206" s="62">
        <f t="shared" si="102"/>
        <v>69.444444444444443</v>
      </c>
      <c r="Y206" s="79"/>
      <c r="Z206" s="62">
        <f t="shared" si="102"/>
        <v>73.902027027027032</v>
      </c>
      <c r="AA206" s="62">
        <f t="shared" si="102"/>
        <v>37.81392694063927</v>
      </c>
      <c r="AB206" s="62">
        <f t="shared" si="102"/>
        <v>73.813465783664455</v>
      </c>
      <c r="AC206" s="62">
        <f t="shared" si="102"/>
        <v>87.756849315068493</v>
      </c>
      <c r="AD206" s="62">
        <f t="shared" si="102"/>
        <v>69.444444444444443</v>
      </c>
      <c r="AE206" s="62">
        <f t="shared" si="102"/>
        <v>69.68145620022753</v>
      </c>
      <c r="AF206" s="62">
        <f t="shared" si="102"/>
        <v>83.333333333333329</v>
      </c>
      <c r="AG206" s="62">
        <f t="shared" si="102"/>
        <v>77.160493827160494</v>
      </c>
      <c r="AH206" s="62">
        <f t="shared" si="102"/>
        <v>92.72300469483568</v>
      </c>
      <c r="AI206" s="62">
        <f t="shared" si="102"/>
        <v>86.30952380952381</v>
      </c>
      <c r="AJ206" s="54"/>
      <c r="AK206" s="18" t="s">
        <v>2</v>
      </c>
      <c r="AL206" s="56">
        <f>(AL214*100000)/(AL215*60*8)</f>
        <v>59.17639429312581</v>
      </c>
      <c r="AM206" s="83"/>
      <c r="AN206" s="56">
        <f t="shared" ref="AN206:AP206" si="103">(AN214*100000)/(AN215*60*8)</f>
        <v>32.738095238095241</v>
      </c>
      <c r="AO206" s="83"/>
      <c r="AP206" s="56">
        <f t="shared" si="103"/>
        <v>74.804250559284114</v>
      </c>
      <c r="AQ206" s="56"/>
      <c r="AS206">
        <f t="shared" ref="AS206:AS212" si="104">SUM(N207:AI207)</f>
        <v>157</v>
      </c>
    </row>
    <row r="207" spans="1:45" x14ac:dyDescent="0.25">
      <c r="A207" s="41"/>
      <c r="B207" s="18" t="s">
        <v>3</v>
      </c>
      <c r="C207" s="56">
        <v>2</v>
      </c>
      <c r="D207" s="58"/>
      <c r="E207" s="57">
        <v>20</v>
      </c>
      <c r="F207" s="57">
        <v>14</v>
      </c>
      <c r="G207" s="57">
        <v>5</v>
      </c>
      <c r="H207" s="56">
        <v>6</v>
      </c>
      <c r="I207" s="56">
        <v>6</v>
      </c>
      <c r="J207" s="56">
        <v>116</v>
      </c>
      <c r="K207" s="56">
        <v>5</v>
      </c>
      <c r="L207" s="54"/>
      <c r="M207" s="18" t="s">
        <v>3</v>
      </c>
      <c r="N207" s="56">
        <v>3</v>
      </c>
      <c r="O207" s="56">
        <v>11</v>
      </c>
      <c r="P207" s="56"/>
      <c r="Q207" s="56">
        <v>1</v>
      </c>
      <c r="R207" s="56">
        <v>5</v>
      </c>
      <c r="S207" s="56">
        <v>8</v>
      </c>
      <c r="T207" s="56">
        <v>4</v>
      </c>
      <c r="U207" s="57">
        <v>19</v>
      </c>
      <c r="V207" s="57">
        <v>17</v>
      </c>
      <c r="W207" s="57">
        <v>4</v>
      </c>
      <c r="X207" s="57">
        <v>22</v>
      </c>
      <c r="Y207" s="79"/>
      <c r="Z207" s="57">
        <v>21</v>
      </c>
      <c r="AA207" s="57">
        <v>8</v>
      </c>
      <c r="AB207" s="56">
        <v>4</v>
      </c>
      <c r="AC207" s="56">
        <v>3</v>
      </c>
      <c r="AD207" s="56">
        <v>17</v>
      </c>
      <c r="AE207" s="56">
        <v>3</v>
      </c>
      <c r="AF207" s="56">
        <v>0</v>
      </c>
      <c r="AG207" s="56">
        <v>4</v>
      </c>
      <c r="AH207" s="56">
        <v>2</v>
      </c>
      <c r="AI207" s="56">
        <v>1</v>
      </c>
      <c r="AJ207" s="54"/>
      <c r="AK207" s="18" t="s">
        <v>3</v>
      </c>
      <c r="AL207" s="56">
        <v>10</v>
      </c>
      <c r="AM207" s="83"/>
      <c r="AN207" s="56">
        <v>3</v>
      </c>
      <c r="AO207" s="83"/>
      <c r="AP207" s="56">
        <v>10</v>
      </c>
      <c r="AQ207" s="56"/>
      <c r="AR207" s="30"/>
      <c r="AS207">
        <f t="shared" si="104"/>
        <v>0</v>
      </c>
    </row>
    <row r="208" spans="1:45" x14ac:dyDescent="0.25">
      <c r="A208" s="41"/>
      <c r="B208" s="18" t="s">
        <v>4</v>
      </c>
      <c r="C208" s="56"/>
      <c r="D208" s="58"/>
      <c r="E208" s="57"/>
      <c r="F208" s="57"/>
      <c r="G208" s="57"/>
      <c r="H208" s="56"/>
      <c r="I208" s="56"/>
      <c r="J208" s="56"/>
      <c r="K208" s="56"/>
      <c r="L208" s="54"/>
      <c r="M208" s="18" t="s">
        <v>4</v>
      </c>
      <c r="N208" s="56"/>
      <c r="O208" s="56"/>
      <c r="P208" s="56"/>
      <c r="Q208" s="56"/>
      <c r="R208" s="56"/>
      <c r="S208" s="56"/>
      <c r="T208" s="56"/>
      <c r="U208" s="57"/>
      <c r="V208" s="57"/>
      <c r="W208" s="57"/>
      <c r="X208" s="57"/>
      <c r="Y208" s="79"/>
      <c r="Z208" s="57"/>
      <c r="AA208" s="57"/>
      <c r="AB208" s="56"/>
      <c r="AC208" s="56"/>
      <c r="AD208" s="56"/>
      <c r="AE208" s="56"/>
      <c r="AF208" s="56"/>
      <c r="AG208" s="56"/>
      <c r="AH208" s="56"/>
      <c r="AI208" s="56"/>
      <c r="AJ208" s="54"/>
      <c r="AK208" s="18" t="s">
        <v>4</v>
      </c>
      <c r="AL208" s="56"/>
      <c r="AM208" s="83"/>
      <c r="AN208" s="56"/>
      <c r="AO208" s="83"/>
      <c r="AP208" s="56"/>
      <c r="AQ208" s="56"/>
      <c r="AS208">
        <f t="shared" si="104"/>
        <v>146</v>
      </c>
    </row>
    <row r="209" spans="1:45" x14ac:dyDescent="0.25">
      <c r="A209" s="41"/>
      <c r="B209" s="18" t="s">
        <v>5</v>
      </c>
      <c r="C209" s="56">
        <v>9</v>
      </c>
      <c r="D209" s="58"/>
      <c r="E209" s="57">
        <v>3</v>
      </c>
      <c r="F209" s="57">
        <v>9</v>
      </c>
      <c r="G209" s="57">
        <v>2</v>
      </c>
      <c r="H209" s="56">
        <v>7</v>
      </c>
      <c r="I209" s="56">
        <v>11</v>
      </c>
      <c r="J209" s="56">
        <v>3</v>
      </c>
      <c r="K209" s="56">
        <v>6</v>
      </c>
      <c r="L209" s="54"/>
      <c r="M209" s="18" t="s">
        <v>5</v>
      </c>
      <c r="N209" s="56">
        <v>2</v>
      </c>
      <c r="O209" s="56">
        <v>3</v>
      </c>
      <c r="P209" s="56"/>
      <c r="Q209" s="56">
        <v>3</v>
      </c>
      <c r="R209" s="56">
        <v>7</v>
      </c>
      <c r="S209" s="56">
        <v>6</v>
      </c>
      <c r="T209" s="56">
        <v>1</v>
      </c>
      <c r="U209" s="57">
        <v>9</v>
      </c>
      <c r="V209" s="57">
        <v>9</v>
      </c>
      <c r="W209" s="57">
        <v>16</v>
      </c>
      <c r="X209" s="57">
        <v>9</v>
      </c>
      <c r="Y209" s="79"/>
      <c r="Z209" s="57">
        <v>14</v>
      </c>
      <c r="AA209" s="57">
        <v>23</v>
      </c>
      <c r="AB209" s="56">
        <v>17</v>
      </c>
      <c r="AC209" s="56">
        <v>1</v>
      </c>
      <c r="AD209" s="56">
        <v>6</v>
      </c>
      <c r="AE209" s="56">
        <v>9</v>
      </c>
      <c r="AF209" s="56">
        <v>1</v>
      </c>
      <c r="AG209" s="56">
        <v>5</v>
      </c>
      <c r="AH209" s="56">
        <v>0</v>
      </c>
      <c r="AI209" s="56">
        <v>5</v>
      </c>
      <c r="AJ209" s="54"/>
      <c r="AK209" s="18" t="s">
        <v>5</v>
      </c>
      <c r="AL209" s="56">
        <v>3</v>
      </c>
      <c r="AM209" s="83"/>
      <c r="AN209" s="56">
        <v>3</v>
      </c>
      <c r="AO209" s="83"/>
      <c r="AP209" s="56">
        <v>5</v>
      </c>
      <c r="AQ209" s="56"/>
      <c r="AS209">
        <f t="shared" si="104"/>
        <v>0</v>
      </c>
    </row>
    <row r="210" spans="1:45" x14ac:dyDescent="0.25">
      <c r="A210" s="41"/>
      <c r="B210" s="18" t="s">
        <v>6</v>
      </c>
      <c r="C210" s="56"/>
      <c r="D210" s="58"/>
      <c r="E210" s="57"/>
      <c r="F210" s="57"/>
      <c r="G210" s="57"/>
      <c r="H210" s="56"/>
      <c r="I210" s="56"/>
      <c r="J210" s="56"/>
      <c r="K210" s="56"/>
      <c r="L210" s="54"/>
      <c r="M210" s="18" t="s">
        <v>6</v>
      </c>
      <c r="N210" s="56"/>
      <c r="O210" s="56"/>
      <c r="P210" s="56"/>
      <c r="Q210" s="56"/>
      <c r="R210" s="56"/>
      <c r="S210" s="56"/>
      <c r="T210" s="56"/>
      <c r="U210" s="57"/>
      <c r="V210" s="57"/>
      <c r="W210" s="57"/>
      <c r="X210" s="57"/>
      <c r="Y210" s="79"/>
      <c r="Z210" s="57"/>
      <c r="AA210" s="57"/>
      <c r="AB210" s="56"/>
      <c r="AC210" s="56"/>
      <c r="AD210" s="56"/>
      <c r="AE210" s="56"/>
      <c r="AF210" s="56"/>
      <c r="AG210" s="56"/>
      <c r="AH210" s="56"/>
      <c r="AI210" s="56"/>
      <c r="AJ210" s="54"/>
      <c r="AK210" s="18" t="s">
        <v>7</v>
      </c>
      <c r="AL210" s="56"/>
      <c r="AM210" s="83"/>
      <c r="AN210" s="56"/>
      <c r="AO210" s="83"/>
      <c r="AP210" s="56"/>
      <c r="AQ210" s="56"/>
      <c r="AS210">
        <f t="shared" si="104"/>
        <v>152</v>
      </c>
    </row>
    <row r="211" spans="1:45" x14ac:dyDescent="0.25">
      <c r="A211" s="41"/>
      <c r="B211" s="18" t="s">
        <v>7</v>
      </c>
      <c r="C211" s="56">
        <v>8</v>
      </c>
      <c r="D211" s="58"/>
      <c r="E211" s="57">
        <v>1</v>
      </c>
      <c r="F211" s="57">
        <v>26</v>
      </c>
      <c r="G211" s="57">
        <v>10</v>
      </c>
      <c r="H211" s="56">
        <v>5</v>
      </c>
      <c r="I211" s="56">
        <v>14</v>
      </c>
      <c r="J211" s="56">
        <v>0</v>
      </c>
      <c r="K211" s="56">
        <v>10</v>
      </c>
      <c r="L211" s="54"/>
      <c r="M211" s="18" t="s">
        <v>7</v>
      </c>
      <c r="N211" s="56">
        <v>3</v>
      </c>
      <c r="O211" s="56">
        <v>6</v>
      </c>
      <c r="P211" s="56"/>
      <c r="Q211" s="56">
        <v>5</v>
      </c>
      <c r="R211" s="56">
        <v>4</v>
      </c>
      <c r="S211" s="56">
        <v>15</v>
      </c>
      <c r="T211" s="56">
        <v>14</v>
      </c>
      <c r="U211" s="57">
        <v>22</v>
      </c>
      <c r="V211" s="57">
        <v>13</v>
      </c>
      <c r="W211" s="57">
        <v>18</v>
      </c>
      <c r="X211" s="57">
        <v>13</v>
      </c>
      <c r="Y211" s="79"/>
      <c r="Z211" s="57">
        <v>6</v>
      </c>
      <c r="AA211" s="57">
        <v>0</v>
      </c>
      <c r="AB211" s="56">
        <v>4</v>
      </c>
      <c r="AC211" s="56">
        <v>5</v>
      </c>
      <c r="AD211" s="56">
        <v>5</v>
      </c>
      <c r="AE211" s="56">
        <v>0</v>
      </c>
      <c r="AF211" s="56">
        <v>5</v>
      </c>
      <c r="AG211" s="56">
        <v>8</v>
      </c>
      <c r="AH211" s="56">
        <v>3</v>
      </c>
      <c r="AI211" s="56">
        <v>3</v>
      </c>
      <c r="AJ211" s="78"/>
      <c r="AK211" s="18" t="s">
        <v>8</v>
      </c>
      <c r="AL211" s="56">
        <v>4</v>
      </c>
      <c r="AM211" s="83"/>
      <c r="AN211" s="56">
        <v>5</v>
      </c>
      <c r="AO211" s="83"/>
      <c r="AP211" s="56">
        <v>5</v>
      </c>
      <c r="AQ211" s="56"/>
      <c r="AS211">
        <f t="shared" si="104"/>
        <v>0</v>
      </c>
    </row>
    <row r="212" spans="1:45" x14ac:dyDescent="0.25">
      <c r="A212" s="43" t="s">
        <v>35</v>
      </c>
      <c r="B212" s="18" t="s">
        <v>10</v>
      </c>
      <c r="C212" s="56"/>
      <c r="D212" s="58"/>
      <c r="E212" s="57"/>
      <c r="F212" s="57"/>
      <c r="G212" s="57"/>
      <c r="H212" s="56"/>
      <c r="I212" s="56"/>
      <c r="J212" s="56"/>
      <c r="K212" s="56"/>
      <c r="L212" s="55" t="str">
        <f>A212</f>
        <v>LU 1T</v>
      </c>
      <c r="M212" s="18" t="s">
        <v>10</v>
      </c>
      <c r="N212" s="56"/>
      <c r="O212" s="56"/>
      <c r="P212" s="56"/>
      <c r="Q212" s="56"/>
      <c r="R212" s="56"/>
      <c r="S212" s="56"/>
      <c r="T212" s="56"/>
      <c r="U212" s="57"/>
      <c r="V212" s="57"/>
      <c r="W212" s="57"/>
      <c r="X212" s="57"/>
      <c r="Y212" s="79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5" t="str">
        <f>+L212</f>
        <v>LU 1T</v>
      </c>
      <c r="AK212" s="18" t="s">
        <v>11</v>
      </c>
      <c r="AL212" s="56">
        <v>8</v>
      </c>
      <c r="AM212" s="83"/>
      <c r="AN212" s="56">
        <v>1</v>
      </c>
      <c r="AO212" s="83"/>
      <c r="AP212" s="56">
        <v>10</v>
      </c>
      <c r="AQ212" s="56"/>
      <c r="AS212">
        <f t="shared" si="104"/>
        <v>131</v>
      </c>
    </row>
    <row r="213" spans="1:45" x14ac:dyDescent="0.25">
      <c r="A213" s="43"/>
      <c r="B213" s="18" t="s">
        <v>11</v>
      </c>
      <c r="C213" s="56">
        <v>13</v>
      </c>
      <c r="D213" s="58"/>
      <c r="E213" s="57">
        <v>6</v>
      </c>
      <c r="F213" s="57">
        <v>16</v>
      </c>
      <c r="G213" s="57">
        <v>5</v>
      </c>
      <c r="H213" s="56">
        <v>4</v>
      </c>
      <c r="I213" s="56">
        <v>3</v>
      </c>
      <c r="J213" s="56">
        <v>4</v>
      </c>
      <c r="K213" s="56">
        <v>4</v>
      </c>
      <c r="L213" s="55"/>
      <c r="M213" s="18" t="s">
        <v>11</v>
      </c>
      <c r="N213" s="56">
        <v>2</v>
      </c>
      <c r="O213" s="56">
        <v>15</v>
      </c>
      <c r="P213" s="56"/>
      <c r="Q213" s="56">
        <v>11</v>
      </c>
      <c r="R213" s="56">
        <v>6</v>
      </c>
      <c r="S213" s="56">
        <v>5</v>
      </c>
      <c r="T213" s="56">
        <v>9</v>
      </c>
      <c r="U213" s="57">
        <v>9</v>
      </c>
      <c r="V213" s="57">
        <v>7</v>
      </c>
      <c r="W213" s="57">
        <v>18</v>
      </c>
      <c r="X213" s="57">
        <v>4</v>
      </c>
      <c r="Y213" s="79"/>
      <c r="Z213" s="56">
        <v>10</v>
      </c>
      <c r="AA213" s="56">
        <v>3</v>
      </c>
      <c r="AB213" s="56">
        <v>6</v>
      </c>
      <c r="AC213" s="56">
        <v>2</v>
      </c>
      <c r="AD213" s="56">
        <v>3</v>
      </c>
      <c r="AE213" s="56">
        <v>7</v>
      </c>
      <c r="AF213" s="56">
        <v>2</v>
      </c>
      <c r="AG213" s="56">
        <v>4</v>
      </c>
      <c r="AH213" s="56">
        <v>4</v>
      </c>
      <c r="AI213" s="56">
        <v>4</v>
      </c>
      <c r="AJ213" s="55"/>
      <c r="AK213" s="18" t="s">
        <v>12</v>
      </c>
      <c r="AL213" s="56"/>
      <c r="AM213" s="83"/>
      <c r="AN213" s="56"/>
      <c r="AO213" s="83"/>
      <c r="AP213" s="56"/>
      <c r="AQ213" s="56"/>
    </row>
    <row r="214" spans="1:45" x14ac:dyDescent="0.25">
      <c r="A214" s="43"/>
      <c r="B214" s="18" t="s">
        <v>12</v>
      </c>
      <c r="C214" s="56"/>
      <c r="D214" s="58"/>
      <c r="E214" s="57"/>
      <c r="F214" s="57"/>
      <c r="G214" s="57"/>
      <c r="H214" s="56"/>
      <c r="I214" s="56"/>
      <c r="J214" s="56"/>
      <c r="K214" s="56"/>
      <c r="L214" s="55"/>
      <c r="M214" s="18" t="s">
        <v>12</v>
      </c>
      <c r="N214" s="56"/>
      <c r="O214" s="56"/>
      <c r="P214" s="56"/>
      <c r="Q214" s="56"/>
      <c r="R214" s="56"/>
      <c r="S214" s="56"/>
      <c r="T214" s="56"/>
      <c r="U214" s="57"/>
      <c r="V214" s="57"/>
      <c r="W214" s="57"/>
      <c r="X214" s="57"/>
      <c r="Y214" s="79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5"/>
      <c r="AK214" s="18" t="s">
        <v>13</v>
      </c>
      <c r="AL214" s="56">
        <v>73</v>
      </c>
      <c r="AM214" s="83"/>
      <c r="AN214" s="56">
        <v>44</v>
      </c>
      <c r="AO214" s="83"/>
      <c r="AP214" s="56">
        <v>107</v>
      </c>
      <c r="AQ214" s="56"/>
    </row>
    <row r="215" spans="1:45" x14ac:dyDescent="0.25">
      <c r="A215" s="43"/>
      <c r="B215" s="18" t="s">
        <v>13</v>
      </c>
      <c r="C215" s="56">
        <v>133</v>
      </c>
      <c r="D215" s="58"/>
      <c r="E215" s="56">
        <v>107</v>
      </c>
      <c r="F215" s="56">
        <v>116</v>
      </c>
      <c r="G215" s="56">
        <v>138</v>
      </c>
      <c r="H215" s="56">
        <v>96</v>
      </c>
      <c r="I215" s="56">
        <v>120</v>
      </c>
      <c r="J215" s="56">
        <v>126</v>
      </c>
      <c r="K215" s="56">
        <v>114</v>
      </c>
      <c r="L215" s="55"/>
      <c r="M215" s="18" t="s">
        <v>13</v>
      </c>
      <c r="N215" s="56">
        <v>140</v>
      </c>
      <c r="O215" s="56">
        <v>104</v>
      </c>
      <c r="P215" s="56">
        <v>148</v>
      </c>
      <c r="Q215" s="56">
        <v>130</v>
      </c>
      <c r="R215" s="56">
        <v>149</v>
      </c>
      <c r="S215" s="56">
        <v>96</v>
      </c>
      <c r="T215" s="56">
        <v>121</v>
      </c>
      <c r="U215" s="56">
        <v>96</v>
      </c>
      <c r="V215" s="56">
        <v>66</v>
      </c>
      <c r="W215" s="56">
        <v>93</v>
      </c>
      <c r="X215" s="56">
        <v>96</v>
      </c>
      <c r="Y215" s="79"/>
      <c r="Z215" s="56">
        <v>105</v>
      </c>
      <c r="AA215" s="56">
        <v>53</v>
      </c>
      <c r="AB215" s="56">
        <v>107</v>
      </c>
      <c r="AC215" s="56">
        <v>123</v>
      </c>
      <c r="AD215" s="56">
        <v>101</v>
      </c>
      <c r="AE215" s="56">
        <v>98</v>
      </c>
      <c r="AF215" s="56">
        <v>104</v>
      </c>
      <c r="AG215" s="56">
        <v>100</v>
      </c>
      <c r="AH215" s="56">
        <v>158</v>
      </c>
      <c r="AI215" s="56">
        <v>116</v>
      </c>
      <c r="AJ215" s="55"/>
      <c r="AK215" s="18" t="s">
        <v>14</v>
      </c>
      <c r="AL215" s="56">
        <v>257</v>
      </c>
      <c r="AM215" s="83"/>
      <c r="AN215" s="56">
        <v>280</v>
      </c>
      <c r="AO215" s="83"/>
      <c r="AP215" s="56">
        <v>298</v>
      </c>
      <c r="AQ215" s="56"/>
    </row>
    <row r="216" spans="1:45" x14ac:dyDescent="0.25">
      <c r="A216" s="43"/>
      <c r="B216" s="20" t="s">
        <v>14</v>
      </c>
      <c r="C216" s="56">
        <v>303</v>
      </c>
      <c r="D216" s="58"/>
      <c r="E216" s="56">
        <v>248</v>
      </c>
      <c r="F216" s="56">
        <v>296</v>
      </c>
      <c r="G216" s="56">
        <v>309</v>
      </c>
      <c r="H216" s="56">
        <v>274</v>
      </c>
      <c r="I216" s="56">
        <v>289</v>
      </c>
      <c r="J216" s="56">
        <v>283</v>
      </c>
      <c r="K216" s="56">
        <v>298</v>
      </c>
      <c r="L216" s="55"/>
      <c r="M216" s="18" t="s">
        <v>14</v>
      </c>
      <c r="N216" s="56">
        <v>335</v>
      </c>
      <c r="O216" s="56">
        <v>340</v>
      </c>
      <c r="P216" s="56">
        <v>320</v>
      </c>
      <c r="Q216" s="56">
        <v>320</v>
      </c>
      <c r="R216" s="56">
        <v>350</v>
      </c>
      <c r="S216" s="56">
        <v>270</v>
      </c>
      <c r="T216" s="56">
        <v>290</v>
      </c>
      <c r="U216" s="56">
        <v>303</v>
      </c>
      <c r="V216" s="56">
        <v>306</v>
      </c>
      <c r="W216" s="56">
        <v>305</v>
      </c>
      <c r="X216" s="56">
        <v>288</v>
      </c>
      <c r="Y216" s="79"/>
      <c r="Z216" s="56">
        <v>296</v>
      </c>
      <c r="AA216" s="56">
        <v>292</v>
      </c>
      <c r="AB216" s="56">
        <v>302</v>
      </c>
      <c r="AC216" s="56">
        <v>292</v>
      </c>
      <c r="AD216" s="56">
        <v>303</v>
      </c>
      <c r="AE216" s="56">
        <v>293</v>
      </c>
      <c r="AF216" s="56">
        <v>260</v>
      </c>
      <c r="AG216" s="56">
        <v>270</v>
      </c>
      <c r="AH216" s="56">
        <v>355</v>
      </c>
      <c r="AI216" s="56">
        <v>280</v>
      </c>
      <c r="AJ216" s="61"/>
      <c r="AK216" s="16"/>
      <c r="AL216" s="56"/>
      <c r="AM216" s="56"/>
      <c r="AN216" s="56"/>
      <c r="AO216" s="56"/>
      <c r="AP216" s="56"/>
      <c r="AQ216" s="56"/>
    </row>
    <row r="217" spans="1:45" ht="15" customHeight="1" x14ac:dyDescent="0.25">
      <c r="A217" s="41">
        <f>+A205</f>
        <v>46090</v>
      </c>
      <c r="B217" s="20" t="s">
        <v>2</v>
      </c>
      <c r="C217" s="56">
        <f t="shared" ref="C217:K217" si="105">(C226*100000)/(C227*60*8)</f>
        <v>75.632563256325639</v>
      </c>
      <c r="D217" s="56">
        <f t="shared" si="105"/>
        <v>80.128205128205124</v>
      </c>
      <c r="E217" s="56">
        <f t="shared" si="105"/>
        <v>83.333333333333329</v>
      </c>
      <c r="F217" s="56">
        <f t="shared" si="105"/>
        <v>89.386261261261268</v>
      </c>
      <c r="G217" s="56">
        <f t="shared" si="105"/>
        <v>89.670981661272918</v>
      </c>
      <c r="H217" s="56">
        <f t="shared" si="105"/>
        <v>76.794403892944032</v>
      </c>
      <c r="I217" s="56">
        <f t="shared" si="105"/>
        <v>75.692041522491351</v>
      </c>
      <c r="J217" s="56">
        <f t="shared" si="105"/>
        <v>80.977620730270914</v>
      </c>
      <c r="K217" s="62">
        <f t="shared" si="105"/>
        <v>66.834451901565998</v>
      </c>
      <c r="L217" s="54">
        <f>+L205</f>
        <v>46090</v>
      </c>
      <c r="M217" s="18" t="s">
        <v>2</v>
      </c>
      <c r="N217" s="62">
        <f>(N226*100000)/(N227*60*8)</f>
        <v>83.333333333333329</v>
      </c>
      <c r="O217" s="62">
        <f t="shared" ref="O217:AI217" si="106">(O226*100000)/(O227*60*8)</f>
        <v>85.784313725490193</v>
      </c>
      <c r="P217" s="62">
        <f t="shared" si="106"/>
        <v>72.265625</v>
      </c>
      <c r="Q217" s="62">
        <f t="shared" si="106"/>
        <v>92.447916666666671</v>
      </c>
      <c r="R217" s="62">
        <f t="shared" si="106"/>
        <v>88.69047619047619</v>
      </c>
      <c r="S217" s="62">
        <f t="shared" si="106"/>
        <v>79.475308641975303</v>
      </c>
      <c r="T217" s="62">
        <f t="shared" si="106"/>
        <v>86.27873563218391</v>
      </c>
      <c r="U217" s="62">
        <f t="shared" si="106"/>
        <v>71.507150715071504</v>
      </c>
      <c r="V217" s="62">
        <f t="shared" si="106"/>
        <v>81.018518518518519</v>
      </c>
      <c r="W217" s="62">
        <f t="shared" si="106"/>
        <v>68.989071038251367</v>
      </c>
      <c r="X217" s="62">
        <f t="shared" si="106"/>
        <v>70.384837962962962</v>
      </c>
      <c r="Y217" s="62">
        <f t="shared" si="106"/>
        <v>70.575461454940282</v>
      </c>
      <c r="Z217" s="62">
        <f t="shared" si="106"/>
        <v>68.97522522522523</v>
      </c>
      <c r="AA217" s="81"/>
      <c r="AB217" s="62">
        <f t="shared" si="106"/>
        <v>83.471302428256067</v>
      </c>
      <c r="AC217" s="62">
        <f t="shared" si="106"/>
        <v>96.31849315068493</v>
      </c>
      <c r="AD217" s="62">
        <f t="shared" si="106"/>
        <v>82.920792079207928</v>
      </c>
      <c r="AE217" s="62">
        <f t="shared" si="106"/>
        <v>90.301478953356082</v>
      </c>
      <c r="AF217" s="62">
        <f t="shared" si="106"/>
        <v>96.15384615384616</v>
      </c>
      <c r="AG217" s="62">
        <f t="shared" si="106"/>
        <v>87.191358024691354</v>
      </c>
      <c r="AH217" s="62">
        <f t="shared" si="106"/>
        <v>89.788732394366193</v>
      </c>
      <c r="AI217" s="62">
        <f t="shared" si="106"/>
        <v>96.726190476190482</v>
      </c>
      <c r="AJ217" s="54">
        <f>L217</f>
        <v>46090</v>
      </c>
      <c r="AK217" s="18" t="s">
        <v>2</v>
      </c>
      <c r="AL217" s="56">
        <f>(AL225*100000)/(AL226*60*8)</f>
        <v>87.548638132295721</v>
      </c>
      <c r="AM217" s="56">
        <f t="shared" ref="AM217:AP217" si="107">(AM225*100000)/(AM226*60*8)</f>
        <v>75.148809523809518</v>
      </c>
      <c r="AN217" s="56">
        <f t="shared" si="107"/>
        <v>80.357142857142861</v>
      </c>
      <c r="AO217" s="56">
        <f t="shared" si="107"/>
        <v>80.017301038062286</v>
      </c>
      <c r="AP217" s="56">
        <f t="shared" si="107"/>
        <v>62.22035794183445</v>
      </c>
      <c r="AQ217" s="56"/>
      <c r="AS217">
        <f t="shared" ref="AS217:AS223" si="108">SUM(N218:AI218)</f>
        <v>176</v>
      </c>
    </row>
    <row r="218" spans="1:45" x14ac:dyDescent="0.25">
      <c r="A218" s="41"/>
      <c r="B218" s="18" t="s">
        <v>3</v>
      </c>
      <c r="C218" s="56">
        <v>9</v>
      </c>
      <c r="D218" s="57">
        <v>7</v>
      </c>
      <c r="E218" s="57">
        <v>20</v>
      </c>
      <c r="F218" s="57">
        <v>6</v>
      </c>
      <c r="G218" s="57">
        <v>4</v>
      </c>
      <c r="H218" s="57">
        <v>5</v>
      </c>
      <c r="I218" s="57">
        <v>5</v>
      </c>
      <c r="J218" s="57">
        <v>4</v>
      </c>
      <c r="K218" s="57">
        <v>4</v>
      </c>
      <c r="L218" s="54"/>
      <c r="M218" s="18" t="s">
        <v>3</v>
      </c>
      <c r="N218" s="56">
        <v>2</v>
      </c>
      <c r="O218" s="56">
        <v>9</v>
      </c>
      <c r="P218" s="56">
        <v>12</v>
      </c>
      <c r="Q218" s="56">
        <v>2</v>
      </c>
      <c r="R218" s="56">
        <v>2</v>
      </c>
      <c r="S218" s="56">
        <v>1</v>
      </c>
      <c r="T218" s="56">
        <v>4</v>
      </c>
      <c r="U218" s="56">
        <v>26</v>
      </c>
      <c r="V218" s="56">
        <v>18</v>
      </c>
      <c r="W218" s="56">
        <v>7</v>
      </c>
      <c r="X218" s="56">
        <v>17</v>
      </c>
      <c r="Y218" s="56">
        <v>13</v>
      </c>
      <c r="Z218" s="56">
        <v>36</v>
      </c>
      <c r="AA218" s="81"/>
      <c r="AB218" s="56">
        <v>0</v>
      </c>
      <c r="AC218" s="56">
        <v>4</v>
      </c>
      <c r="AD218" s="56">
        <v>6</v>
      </c>
      <c r="AE218" s="56">
        <v>9</v>
      </c>
      <c r="AF218" s="56"/>
      <c r="AG218" s="56">
        <v>2</v>
      </c>
      <c r="AH218" s="56">
        <v>5</v>
      </c>
      <c r="AI218" s="56">
        <v>1</v>
      </c>
      <c r="AJ218" s="54"/>
      <c r="AK218" s="18" t="s">
        <v>3</v>
      </c>
      <c r="AL218" s="56">
        <v>3</v>
      </c>
      <c r="AM218" s="56">
        <v>2</v>
      </c>
      <c r="AN218" s="56">
        <v>20</v>
      </c>
      <c r="AO218" s="56">
        <v>4</v>
      </c>
      <c r="AP218" s="56">
        <v>8</v>
      </c>
      <c r="AQ218" s="56"/>
      <c r="AS218">
        <f t="shared" si="108"/>
        <v>0</v>
      </c>
    </row>
    <row r="219" spans="1:45" x14ac:dyDescent="0.25">
      <c r="A219" s="41"/>
      <c r="B219" s="18" t="s">
        <v>4</v>
      </c>
      <c r="C219" s="56"/>
      <c r="D219" s="57"/>
      <c r="E219" s="57"/>
      <c r="F219" s="57"/>
      <c r="G219" s="57"/>
      <c r="H219" s="57"/>
      <c r="I219" s="57"/>
      <c r="J219" s="57"/>
      <c r="K219" s="57"/>
      <c r="L219" s="54"/>
      <c r="M219" s="18" t="s">
        <v>4</v>
      </c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81"/>
      <c r="AB219" s="56"/>
      <c r="AC219" s="56"/>
      <c r="AD219" s="56"/>
      <c r="AE219" s="56"/>
      <c r="AF219" s="56"/>
      <c r="AG219" s="56"/>
      <c r="AH219" s="56"/>
      <c r="AI219" s="56"/>
      <c r="AJ219" s="54"/>
      <c r="AK219" s="18" t="s">
        <v>4</v>
      </c>
      <c r="AL219" s="56"/>
      <c r="AM219" s="56"/>
      <c r="AN219" s="56"/>
      <c r="AO219" s="56"/>
      <c r="AP219" s="56"/>
      <c r="AQ219" s="56"/>
      <c r="AS219">
        <f t="shared" si="108"/>
        <v>141</v>
      </c>
    </row>
    <row r="220" spans="1:45" x14ac:dyDescent="0.25">
      <c r="A220" s="41"/>
      <c r="B220" s="18" t="s">
        <v>5</v>
      </c>
      <c r="C220" s="56">
        <v>9</v>
      </c>
      <c r="D220" s="57">
        <v>11</v>
      </c>
      <c r="E220" s="57">
        <v>5</v>
      </c>
      <c r="F220" s="57">
        <v>7</v>
      </c>
      <c r="G220" s="57">
        <v>7</v>
      </c>
      <c r="H220" s="57">
        <v>15</v>
      </c>
      <c r="I220" s="57">
        <v>33</v>
      </c>
      <c r="J220" s="57">
        <v>12</v>
      </c>
      <c r="K220" s="57">
        <v>10</v>
      </c>
      <c r="L220" s="54"/>
      <c r="M220" s="18" t="s">
        <v>5</v>
      </c>
      <c r="N220" s="56">
        <v>4</v>
      </c>
      <c r="O220" s="56">
        <v>2</v>
      </c>
      <c r="P220" s="56">
        <v>12</v>
      </c>
      <c r="Q220" s="56">
        <v>3</v>
      </c>
      <c r="R220" s="56">
        <v>3</v>
      </c>
      <c r="S220" s="56">
        <v>13</v>
      </c>
      <c r="T220" s="56">
        <v>2</v>
      </c>
      <c r="U220" s="56">
        <v>7</v>
      </c>
      <c r="V220" s="56">
        <v>5</v>
      </c>
      <c r="W220" s="56">
        <v>14</v>
      </c>
      <c r="X220" s="56">
        <v>13</v>
      </c>
      <c r="Y220" s="56">
        <v>3</v>
      </c>
      <c r="Z220" s="56">
        <v>16</v>
      </c>
      <c r="AA220" s="81"/>
      <c r="AB220" s="56">
        <v>15</v>
      </c>
      <c r="AC220" s="56">
        <v>1</v>
      </c>
      <c r="AD220" s="56">
        <v>16</v>
      </c>
      <c r="AE220" s="56">
        <v>4</v>
      </c>
      <c r="AF220" s="56"/>
      <c r="AG220" s="56">
        <v>2</v>
      </c>
      <c r="AH220" s="56">
        <v>5</v>
      </c>
      <c r="AI220" s="56">
        <v>1</v>
      </c>
      <c r="AJ220" s="54"/>
      <c r="AK220" s="18" t="s">
        <v>5</v>
      </c>
      <c r="AL220" s="56">
        <v>14</v>
      </c>
      <c r="AM220" s="56">
        <v>2</v>
      </c>
      <c r="AN220" s="56">
        <v>7</v>
      </c>
      <c r="AO220" s="56">
        <v>11</v>
      </c>
      <c r="AP220" s="56">
        <v>8</v>
      </c>
      <c r="AQ220" s="56"/>
      <c r="AS220">
        <f t="shared" si="108"/>
        <v>0</v>
      </c>
    </row>
    <row r="221" spans="1:45" x14ac:dyDescent="0.25">
      <c r="A221" s="41"/>
      <c r="B221" s="18" t="s">
        <v>6</v>
      </c>
      <c r="C221" s="56"/>
      <c r="D221" s="57"/>
      <c r="E221" s="57"/>
      <c r="F221" s="57"/>
      <c r="G221" s="57"/>
      <c r="H221" s="57"/>
      <c r="I221" s="57"/>
      <c r="J221" s="57"/>
      <c r="K221" s="57"/>
      <c r="L221" s="54"/>
      <c r="M221" s="18" t="s">
        <v>6</v>
      </c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81"/>
      <c r="AB221" s="56"/>
      <c r="AC221" s="56"/>
      <c r="AD221" s="56"/>
      <c r="AE221" s="56"/>
      <c r="AF221" s="56"/>
      <c r="AG221" s="56"/>
      <c r="AH221" s="56"/>
      <c r="AI221" s="56"/>
      <c r="AJ221" s="54"/>
      <c r="AK221" s="18" t="s">
        <v>7</v>
      </c>
      <c r="AL221" s="56">
        <v>2</v>
      </c>
      <c r="AM221" s="56">
        <v>4</v>
      </c>
      <c r="AN221" s="56">
        <v>1</v>
      </c>
      <c r="AO221" s="56">
        <v>2</v>
      </c>
      <c r="AP221" s="56">
        <v>2</v>
      </c>
      <c r="AQ221" s="56"/>
      <c r="AS221">
        <f t="shared" si="108"/>
        <v>124</v>
      </c>
    </row>
    <row r="222" spans="1:45" x14ac:dyDescent="0.25">
      <c r="A222" s="41"/>
      <c r="B222" s="18" t="s">
        <v>7</v>
      </c>
      <c r="C222" s="56">
        <v>10</v>
      </c>
      <c r="D222" s="57">
        <v>14</v>
      </c>
      <c r="E222" s="57">
        <v>6</v>
      </c>
      <c r="F222" s="57">
        <v>5</v>
      </c>
      <c r="G222" s="57">
        <v>7</v>
      </c>
      <c r="H222" s="57">
        <v>14</v>
      </c>
      <c r="I222" s="57">
        <v>13</v>
      </c>
      <c r="J222" s="57">
        <v>12</v>
      </c>
      <c r="K222" s="57">
        <v>12</v>
      </c>
      <c r="L222" s="54"/>
      <c r="M222" s="18" t="s">
        <v>7</v>
      </c>
      <c r="N222" s="56">
        <v>6</v>
      </c>
      <c r="O222" s="56">
        <v>1</v>
      </c>
      <c r="P222" s="56">
        <v>0</v>
      </c>
      <c r="Q222" s="56">
        <v>0</v>
      </c>
      <c r="R222" s="56">
        <v>7</v>
      </c>
      <c r="S222" s="56">
        <v>5</v>
      </c>
      <c r="T222" s="56">
        <v>10</v>
      </c>
      <c r="U222" s="56">
        <v>11</v>
      </c>
      <c r="V222" s="56">
        <v>17</v>
      </c>
      <c r="W222" s="56">
        <v>14</v>
      </c>
      <c r="X222" s="56">
        <v>13</v>
      </c>
      <c r="Y222" s="56">
        <v>13</v>
      </c>
      <c r="Z222" s="56">
        <v>4</v>
      </c>
      <c r="AA222" s="81"/>
      <c r="AB222" s="56">
        <v>6</v>
      </c>
      <c r="AC222" s="56">
        <v>0</v>
      </c>
      <c r="AD222" s="56">
        <v>3</v>
      </c>
      <c r="AE222" s="56">
        <v>0</v>
      </c>
      <c r="AF222" s="56"/>
      <c r="AG222" s="56">
        <v>5</v>
      </c>
      <c r="AH222" s="56">
        <v>6</v>
      </c>
      <c r="AI222" s="56">
        <v>3</v>
      </c>
      <c r="AJ222" s="54"/>
      <c r="AK222" s="18" t="s">
        <v>8</v>
      </c>
      <c r="AL222" s="56"/>
      <c r="AM222" s="56"/>
      <c r="AN222" s="56"/>
      <c r="AO222" s="56"/>
      <c r="AP222" s="56"/>
      <c r="AQ222" s="56"/>
      <c r="AS222">
        <f t="shared" si="108"/>
        <v>0</v>
      </c>
    </row>
    <row r="223" spans="1:45" x14ac:dyDescent="0.25">
      <c r="A223" s="40" t="s">
        <v>36</v>
      </c>
      <c r="B223" s="18" t="s">
        <v>10</v>
      </c>
      <c r="C223" s="56"/>
      <c r="D223" s="57"/>
      <c r="E223" s="57"/>
      <c r="F223" s="57"/>
      <c r="G223" s="57"/>
      <c r="H223" s="57"/>
      <c r="I223" s="57"/>
      <c r="J223" s="57"/>
      <c r="K223" s="57"/>
      <c r="L223" s="55" t="str">
        <f>A223</f>
        <v>LU 2T</v>
      </c>
      <c r="M223" s="18" t="s">
        <v>10</v>
      </c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81"/>
      <c r="AB223" s="56"/>
      <c r="AC223" s="56"/>
      <c r="AD223" s="56"/>
      <c r="AE223" s="56"/>
      <c r="AF223" s="56"/>
      <c r="AG223" s="56"/>
      <c r="AH223" s="56"/>
      <c r="AI223" s="56"/>
      <c r="AJ223" s="55" t="str">
        <f>+L223</f>
        <v>LU 2T</v>
      </c>
      <c r="AK223" s="18" t="s">
        <v>11</v>
      </c>
      <c r="AL223" s="56">
        <v>3</v>
      </c>
      <c r="AM223" s="56">
        <v>1</v>
      </c>
      <c r="AN223" s="56">
        <v>4</v>
      </c>
      <c r="AO223" s="56">
        <v>7</v>
      </c>
      <c r="AP223" s="56">
        <v>5</v>
      </c>
      <c r="AQ223" s="56"/>
      <c r="AS223">
        <f t="shared" si="108"/>
        <v>115</v>
      </c>
    </row>
    <row r="224" spans="1:45" x14ac:dyDescent="0.25">
      <c r="A224" s="40"/>
      <c r="B224" s="18" t="s">
        <v>11</v>
      </c>
      <c r="C224" s="56">
        <v>6</v>
      </c>
      <c r="D224" s="57">
        <v>41</v>
      </c>
      <c r="E224" s="57">
        <v>9</v>
      </c>
      <c r="F224" s="57">
        <v>4</v>
      </c>
      <c r="G224" s="57">
        <v>4</v>
      </c>
      <c r="H224" s="57">
        <v>5</v>
      </c>
      <c r="I224" s="57">
        <v>7</v>
      </c>
      <c r="J224" s="57">
        <v>31</v>
      </c>
      <c r="K224" s="57">
        <v>13</v>
      </c>
      <c r="L224" s="55"/>
      <c r="M224" s="18" t="s">
        <v>11</v>
      </c>
      <c r="N224" s="56">
        <v>1</v>
      </c>
      <c r="O224" s="56">
        <v>8</v>
      </c>
      <c r="P224" s="56">
        <v>8</v>
      </c>
      <c r="Q224" s="56">
        <v>4</v>
      </c>
      <c r="R224" s="56">
        <v>4</v>
      </c>
      <c r="S224" s="56">
        <v>11</v>
      </c>
      <c r="T224" s="56">
        <v>3</v>
      </c>
      <c r="U224" s="56">
        <v>7</v>
      </c>
      <c r="V224" s="56">
        <v>3</v>
      </c>
      <c r="W224" s="56">
        <v>17</v>
      </c>
      <c r="X224" s="56">
        <v>2</v>
      </c>
      <c r="Y224" s="56">
        <v>8</v>
      </c>
      <c r="Z224" s="56">
        <v>17</v>
      </c>
      <c r="AA224" s="81"/>
      <c r="AB224" s="56">
        <v>3</v>
      </c>
      <c r="AC224" s="56">
        <v>3</v>
      </c>
      <c r="AD224" s="56">
        <v>3</v>
      </c>
      <c r="AE224" s="56">
        <v>6</v>
      </c>
      <c r="AF224" s="56"/>
      <c r="AG224" s="56">
        <v>3</v>
      </c>
      <c r="AH224" s="56">
        <v>2</v>
      </c>
      <c r="AI224" s="56">
        <v>2</v>
      </c>
      <c r="AJ224" s="55"/>
      <c r="AK224" s="18" t="s">
        <v>12</v>
      </c>
      <c r="AL224" s="56"/>
      <c r="AM224" s="56"/>
      <c r="AN224" s="56"/>
      <c r="AO224" s="56"/>
      <c r="AP224" s="56"/>
      <c r="AQ224" s="56"/>
    </row>
    <row r="225" spans="1:45" x14ac:dyDescent="0.25">
      <c r="A225" s="40"/>
      <c r="B225" s="18" t="s">
        <v>12</v>
      </c>
      <c r="C225" s="56"/>
      <c r="D225" s="57"/>
      <c r="E225" s="57"/>
      <c r="F225" s="57"/>
      <c r="G225" s="57"/>
      <c r="H225" s="57"/>
      <c r="I225" s="57"/>
      <c r="J225" s="57"/>
      <c r="K225" s="57"/>
      <c r="L225" s="55"/>
      <c r="M225" s="18" t="s">
        <v>12</v>
      </c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81"/>
      <c r="AB225" s="56"/>
      <c r="AC225" s="56"/>
      <c r="AD225" s="56"/>
      <c r="AE225" s="56"/>
      <c r="AF225" s="56"/>
      <c r="AG225" s="56"/>
      <c r="AH225" s="56"/>
      <c r="AI225" s="56"/>
      <c r="AJ225" s="55"/>
      <c r="AK225" s="18" t="s">
        <v>13</v>
      </c>
      <c r="AL225" s="56">
        <v>108</v>
      </c>
      <c r="AM225" s="56">
        <v>101</v>
      </c>
      <c r="AN225" s="56">
        <v>108</v>
      </c>
      <c r="AO225" s="56">
        <v>111</v>
      </c>
      <c r="AP225" s="56">
        <v>89</v>
      </c>
      <c r="AQ225" s="56"/>
    </row>
    <row r="226" spans="1:45" x14ac:dyDescent="0.25">
      <c r="A226" s="40"/>
      <c r="B226" s="18" t="s">
        <v>13</v>
      </c>
      <c r="C226" s="56">
        <v>110</v>
      </c>
      <c r="D226" s="57">
        <v>115</v>
      </c>
      <c r="E226" s="57">
        <v>99.2</v>
      </c>
      <c r="F226" s="57">
        <v>127</v>
      </c>
      <c r="G226" s="57">
        <v>133</v>
      </c>
      <c r="H226" s="57">
        <v>101</v>
      </c>
      <c r="I226" s="57">
        <v>105</v>
      </c>
      <c r="J226" s="57">
        <v>110</v>
      </c>
      <c r="K226" s="57">
        <v>95.6</v>
      </c>
      <c r="L226" s="55"/>
      <c r="M226" s="18" t="s">
        <v>13</v>
      </c>
      <c r="N226" s="56">
        <v>134</v>
      </c>
      <c r="O226" s="56">
        <v>140</v>
      </c>
      <c r="P226" s="56">
        <v>111</v>
      </c>
      <c r="Q226" s="56">
        <v>142</v>
      </c>
      <c r="R226" s="56">
        <v>149</v>
      </c>
      <c r="S226" s="56">
        <v>103</v>
      </c>
      <c r="T226" s="56">
        <v>120.1</v>
      </c>
      <c r="U226" s="56">
        <v>104</v>
      </c>
      <c r="V226" s="56">
        <v>119</v>
      </c>
      <c r="W226" s="56">
        <v>101</v>
      </c>
      <c r="X226" s="56">
        <v>97.3</v>
      </c>
      <c r="Y226" s="56">
        <v>104</v>
      </c>
      <c r="Z226" s="56">
        <v>98</v>
      </c>
      <c r="AA226" s="81"/>
      <c r="AB226" s="56">
        <v>121</v>
      </c>
      <c r="AC226" s="56">
        <v>135</v>
      </c>
      <c r="AD226" s="56">
        <v>120.6</v>
      </c>
      <c r="AE226" s="56">
        <v>127</v>
      </c>
      <c r="AF226" s="56">
        <v>120</v>
      </c>
      <c r="AG226" s="56">
        <v>113</v>
      </c>
      <c r="AH226" s="56">
        <v>153</v>
      </c>
      <c r="AI226" s="56">
        <v>130</v>
      </c>
      <c r="AJ226" s="55"/>
      <c r="AK226" s="18" t="s">
        <v>14</v>
      </c>
      <c r="AL226" s="56">
        <v>257</v>
      </c>
      <c r="AM226" s="56">
        <v>280</v>
      </c>
      <c r="AN226" s="56">
        <v>280</v>
      </c>
      <c r="AO226" s="56">
        <v>289</v>
      </c>
      <c r="AP226" s="56">
        <v>298</v>
      </c>
      <c r="AQ226" s="56"/>
    </row>
    <row r="227" spans="1:45" x14ac:dyDescent="0.25">
      <c r="A227" s="40"/>
      <c r="B227" s="20" t="s">
        <v>14</v>
      </c>
      <c r="C227" s="56">
        <v>303</v>
      </c>
      <c r="D227" s="56">
        <v>299</v>
      </c>
      <c r="E227" s="56">
        <v>248</v>
      </c>
      <c r="F227" s="56">
        <v>296</v>
      </c>
      <c r="G227" s="56">
        <v>309</v>
      </c>
      <c r="H227" s="56">
        <v>274</v>
      </c>
      <c r="I227" s="56">
        <v>289</v>
      </c>
      <c r="J227" s="56">
        <v>283</v>
      </c>
      <c r="K227" s="56">
        <v>298</v>
      </c>
      <c r="L227" s="55"/>
      <c r="M227" s="18" t="s">
        <v>14</v>
      </c>
      <c r="N227" s="56">
        <v>335</v>
      </c>
      <c r="O227" s="56">
        <v>340</v>
      </c>
      <c r="P227" s="56">
        <v>320</v>
      </c>
      <c r="Q227" s="56">
        <v>320</v>
      </c>
      <c r="R227" s="56">
        <v>350</v>
      </c>
      <c r="S227" s="56">
        <v>270</v>
      </c>
      <c r="T227" s="56">
        <v>290</v>
      </c>
      <c r="U227" s="56">
        <v>303</v>
      </c>
      <c r="V227" s="56">
        <v>306</v>
      </c>
      <c r="W227" s="56">
        <v>305</v>
      </c>
      <c r="X227" s="56">
        <v>288</v>
      </c>
      <c r="Y227" s="56">
        <v>307</v>
      </c>
      <c r="Z227" s="56">
        <v>296</v>
      </c>
      <c r="AA227" s="81"/>
      <c r="AB227" s="56">
        <v>302</v>
      </c>
      <c r="AC227" s="56">
        <v>292</v>
      </c>
      <c r="AD227" s="56">
        <v>303</v>
      </c>
      <c r="AE227" s="56">
        <v>293</v>
      </c>
      <c r="AF227" s="56">
        <v>260</v>
      </c>
      <c r="AG227" s="56">
        <v>270</v>
      </c>
      <c r="AH227" s="56">
        <v>355</v>
      </c>
      <c r="AI227" s="56">
        <v>280</v>
      </c>
      <c r="AJ227" s="61"/>
      <c r="AK227" s="16"/>
      <c r="AL227" s="56"/>
      <c r="AM227" s="56"/>
      <c r="AN227" s="56"/>
      <c r="AO227" s="56"/>
      <c r="AP227" s="56"/>
      <c r="AQ227" s="56"/>
    </row>
    <row r="228" spans="1:45" ht="15" customHeight="1" x14ac:dyDescent="0.25">
      <c r="A228" s="41">
        <f>+A217</f>
        <v>46090</v>
      </c>
      <c r="B228" s="20" t="s">
        <v>2</v>
      </c>
      <c r="C228" s="56">
        <f t="shared" ref="C228:K228" si="109">(C237*100000)/(C238*60*8)</f>
        <v>75.883002207505513</v>
      </c>
      <c r="D228" s="56">
        <f t="shared" si="109"/>
        <v>83.892617449664428</v>
      </c>
      <c r="E228" s="56">
        <f t="shared" si="109"/>
        <v>90.725806451612897</v>
      </c>
      <c r="F228" s="56">
        <f t="shared" si="109"/>
        <v>81.64414414414415</v>
      </c>
      <c r="G228" s="56">
        <f t="shared" si="109"/>
        <v>84.422657952069713</v>
      </c>
      <c r="H228" s="56">
        <f t="shared" si="109"/>
        <v>80.59610705596107</v>
      </c>
      <c r="I228" s="56">
        <f t="shared" si="109"/>
        <v>86.505190311418687</v>
      </c>
      <c r="J228" s="56">
        <f t="shared" si="109"/>
        <v>73.087431693989075</v>
      </c>
      <c r="K228" s="62">
        <f t="shared" si="109"/>
        <v>83.193512304250561</v>
      </c>
      <c r="L228" s="54">
        <f>+L217</f>
        <v>46090</v>
      </c>
      <c r="M228" s="18" t="s">
        <v>2</v>
      </c>
      <c r="N228" s="62">
        <f>(N237*100000)/(N238*60*8)</f>
        <v>75.24875621890547</v>
      </c>
      <c r="O228" s="62">
        <f t="shared" ref="O228:AI228" si="110">(O237*100000)/(O238*60*8)</f>
        <v>79.656862745098039</v>
      </c>
      <c r="P228" s="62">
        <f t="shared" si="110"/>
        <v>82.682291666666671</v>
      </c>
      <c r="Q228" s="62">
        <f t="shared" si="110"/>
        <v>93.098958333333329</v>
      </c>
      <c r="R228" s="62">
        <f t="shared" si="110"/>
        <v>87.5</v>
      </c>
      <c r="S228" s="62">
        <f t="shared" si="110"/>
        <v>86.419753086419746</v>
      </c>
      <c r="T228" s="62">
        <f t="shared" si="110"/>
        <v>68.728522336769757</v>
      </c>
      <c r="U228" s="62">
        <f t="shared" si="110"/>
        <v>75.819672131147541</v>
      </c>
      <c r="V228" s="62">
        <f t="shared" si="110"/>
        <v>68.76361655773421</v>
      </c>
      <c r="W228" s="62">
        <f t="shared" si="110"/>
        <v>54.644808743169399</v>
      </c>
      <c r="X228" s="62">
        <f t="shared" si="110"/>
        <v>60.249709639953544</v>
      </c>
      <c r="Y228" s="62">
        <f t="shared" si="110"/>
        <v>61.274509803921568</v>
      </c>
      <c r="Z228" s="62">
        <f t="shared" si="110"/>
        <v>75.887743413516603</v>
      </c>
      <c r="AA228" s="81"/>
      <c r="AB228" s="62">
        <f t="shared" si="110"/>
        <v>92.054263565891475</v>
      </c>
      <c r="AC228" s="62">
        <f t="shared" si="110"/>
        <v>89.590443686006822</v>
      </c>
      <c r="AD228" s="62">
        <f t="shared" si="110"/>
        <v>79.757975797579761</v>
      </c>
      <c r="AE228" s="62">
        <f t="shared" si="110"/>
        <v>77.054794520547944</v>
      </c>
      <c r="AF228" s="62">
        <f t="shared" si="110"/>
        <v>89.743589743589737</v>
      </c>
      <c r="AG228" s="62">
        <f t="shared" si="110"/>
        <v>93.333333333333329</v>
      </c>
      <c r="AH228" s="62">
        <f t="shared" si="110"/>
        <v>82.74647887323944</v>
      </c>
      <c r="AI228" s="62">
        <f t="shared" si="110"/>
        <v>82.638888888888886</v>
      </c>
      <c r="AJ228" s="54">
        <f>L228</f>
        <v>46090</v>
      </c>
      <c r="AK228" s="18" t="s">
        <v>2</v>
      </c>
      <c r="AL228" s="56">
        <f>(AL236*100000)/(AL237*60*8)</f>
        <v>93.223086900129701</v>
      </c>
      <c r="AM228" s="56">
        <f t="shared" ref="AM228:AP228" si="111">(AM236*100000)/(AM237*60*8)</f>
        <v>75.418160095579452</v>
      </c>
      <c r="AN228" s="56">
        <f t="shared" si="111"/>
        <v>78.40501792114695</v>
      </c>
      <c r="AO228" s="83"/>
      <c r="AP228" s="56">
        <f t="shared" si="111"/>
        <v>86.980920314253652</v>
      </c>
      <c r="AQ228" s="56"/>
      <c r="AS228">
        <f t="shared" ref="AS228:AS234" si="112">SUM(N229:AI229)</f>
        <v>107</v>
      </c>
    </row>
    <row r="229" spans="1:45" x14ac:dyDescent="0.25">
      <c r="A229" s="41"/>
      <c r="B229" s="18" t="s">
        <v>3</v>
      </c>
      <c r="C229" s="57">
        <v>6</v>
      </c>
      <c r="D229" s="57">
        <v>23</v>
      </c>
      <c r="E229" s="57">
        <v>18</v>
      </c>
      <c r="F229" s="57">
        <v>1</v>
      </c>
      <c r="G229" s="57">
        <v>1</v>
      </c>
      <c r="H229" s="57">
        <v>10</v>
      </c>
      <c r="I229" s="57">
        <v>2</v>
      </c>
      <c r="J229" s="56">
        <v>3</v>
      </c>
      <c r="K229" s="56">
        <v>10</v>
      </c>
      <c r="L229" s="54"/>
      <c r="M229" s="18" t="s">
        <v>3</v>
      </c>
      <c r="N229" s="56">
        <v>4</v>
      </c>
      <c r="O229" s="56">
        <v>7</v>
      </c>
      <c r="P229" s="56">
        <v>3</v>
      </c>
      <c r="Q229" s="56">
        <v>1</v>
      </c>
      <c r="R229" s="56">
        <v>1</v>
      </c>
      <c r="S229" s="56">
        <v>1</v>
      </c>
      <c r="T229" s="57">
        <v>2</v>
      </c>
      <c r="U229" s="57">
        <v>23</v>
      </c>
      <c r="V229" s="57">
        <v>10</v>
      </c>
      <c r="W229" s="57">
        <v>2</v>
      </c>
      <c r="X229" s="57">
        <v>21</v>
      </c>
      <c r="Y229" s="57">
        <v>1</v>
      </c>
      <c r="Z229" s="57">
        <v>10</v>
      </c>
      <c r="AA229" s="81"/>
      <c r="AB229" s="56">
        <v>3</v>
      </c>
      <c r="AC229" s="56">
        <v>1</v>
      </c>
      <c r="AD229" s="56">
        <v>7</v>
      </c>
      <c r="AE229" s="56">
        <v>6</v>
      </c>
      <c r="AF229" s="56">
        <v>1</v>
      </c>
      <c r="AG229" s="56">
        <v>0</v>
      </c>
      <c r="AH229" s="56">
        <v>2</v>
      </c>
      <c r="AI229" s="56">
        <v>1</v>
      </c>
      <c r="AJ229" s="54"/>
      <c r="AK229" s="18" t="s">
        <v>3</v>
      </c>
      <c r="AL229" s="56">
        <v>0</v>
      </c>
      <c r="AM229" s="56">
        <v>1</v>
      </c>
      <c r="AN229" s="56">
        <v>8</v>
      </c>
      <c r="AO229" s="83"/>
      <c r="AP229" s="56">
        <v>9</v>
      </c>
      <c r="AQ229" s="56"/>
      <c r="AS229">
        <f t="shared" si="112"/>
        <v>0</v>
      </c>
    </row>
    <row r="230" spans="1:45" x14ac:dyDescent="0.25">
      <c r="A230" s="41"/>
      <c r="B230" s="18" t="s">
        <v>4</v>
      </c>
      <c r="C230" s="57"/>
      <c r="D230" s="57"/>
      <c r="E230" s="57"/>
      <c r="F230" s="57"/>
      <c r="G230" s="57"/>
      <c r="H230" s="57"/>
      <c r="I230" s="57"/>
      <c r="J230" s="56"/>
      <c r="K230" s="56"/>
      <c r="L230" s="54"/>
      <c r="M230" s="18" t="s">
        <v>4</v>
      </c>
      <c r="N230" s="56"/>
      <c r="O230" s="56"/>
      <c r="P230" s="56"/>
      <c r="Q230" s="56"/>
      <c r="R230" s="56"/>
      <c r="S230" s="56"/>
      <c r="T230" s="57"/>
      <c r="U230" s="57"/>
      <c r="V230" s="57"/>
      <c r="W230" s="57"/>
      <c r="X230" s="57"/>
      <c r="Y230" s="57"/>
      <c r="Z230" s="57"/>
      <c r="AA230" s="81"/>
      <c r="AB230" s="56"/>
      <c r="AC230" s="56"/>
      <c r="AD230" s="56"/>
      <c r="AE230" s="56"/>
      <c r="AF230" s="56"/>
      <c r="AG230" s="56"/>
      <c r="AH230" s="56"/>
      <c r="AI230" s="56"/>
      <c r="AJ230" s="54"/>
      <c r="AK230" s="18" t="s">
        <v>4</v>
      </c>
      <c r="AL230" s="56"/>
      <c r="AM230" s="56"/>
      <c r="AN230" s="56"/>
      <c r="AO230" s="83"/>
      <c r="AP230" s="56"/>
      <c r="AQ230" s="56"/>
      <c r="AS230">
        <f t="shared" si="112"/>
        <v>160</v>
      </c>
    </row>
    <row r="231" spans="1:45" x14ac:dyDescent="0.25">
      <c r="A231" s="41"/>
      <c r="B231" s="18" t="s">
        <v>5</v>
      </c>
      <c r="C231" s="57">
        <v>25</v>
      </c>
      <c r="D231" s="57">
        <v>25</v>
      </c>
      <c r="E231" s="57">
        <v>2</v>
      </c>
      <c r="F231" s="57">
        <v>1</v>
      </c>
      <c r="G231" s="57">
        <v>1</v>
      </c>
      <c r="H231" s="57">
        <v>6</v>
      </c>
      <c r="I231" s="57">
        <v>30</v>
      </c>
      <c r="J231" s="56">
        <v>10</v>
      </c>
      <c r="K231" s="56">
        <v>8</v>
      </c>
      <c r="L231" s="54"/>
      <c r="M231" s="18" t="s">
        <v>5</v>
      </c>
      <c r="N231" s="56">
        <v>5</v>
      </c>
      <c r="O231" s="56">
        <v>3</v>
      </c>
      <c r="P231" s="56">
        <v>10</v>
      </c>
      <c r="Q231" s="56">
        <v>3</v>
      </c>
      <c r="R231" s="56">
        <v>3</v>
      </c>
      <c r="S231" s="56">
        <v>9</v>
      </c>
      <c r="T231" s="57">
        <v>12</v>
      </c>
      <c r="U231" s="57">
        <v>6</v>
      </c>
      <c r="V231" s="57">
        <v>7</v>
      </c>
      <c r="W231" s="57">
        <v>19</v>
      </c>
      <c r="X231" s="57">
        <v>8</v>
      </c>
      <c r="Y231" s="57">
        <v>3</v>
      </c>
      <c r="Z231" s="57">
        <v>20</v>
      </c>
      <c r="AA231" s="81"/>
      <c r="AB231" s="56">
        <v>4</v>
      </c>
      <c r="AC231" s="56">
        <v>6</v>
      </c>
      <c r="AD231" s="56">
        <v>8</v>
      </c>
      <c r="AE231" s="56">
        <v>19</v>
      </c>
      <c r="AF231" s="56">
        <v>1</v>
      </c>
      <c r="AG231" s="56">
        <v>5</v>
      </c>
      <c r="AH231" s="56">
        <v>3</v>
      </c>
      <c r="AI231" s="56">
        <v>6</v>
      </c>
      <c r="AJ231" s="54"/>
      <c r="AK231" s="18" t="s">
        <v>5</v>
      </c>
      <c r="AL231" s="56">
        <v>12</v>
      </c>
      <c r="AM231" s="57">
        <v>30</v>
      </c>
      <c r="AN231" s="56">
        <v>13</v>
      </c>
      <c r="AO231" s="83"/>
      <c r="AP231" s="56">
        <v>7</v>
      </c>
      <c r="AQ231" s="56"/>
      <c r="AS231">
        <f t="shared" si="112"/>
        <v>0</v>
      </c>
    </row>
    <row r="232" spans="1:45" x14ac:dyDescent="0.25">
      <c r="A232" s="41"/>
      <c r="B232" s="18" t="s">
        <v>6</v>
      </c>
      <c r="C232" s="57"/>
      <c r="D232" s="57"/>
      <c r="E232" s="57"/>
      <c r="F232" s="57"/>
      <c r="G232" s="57"/>
      <c r="H232" s="57"/>
      <c r="I232" s="57"/>
      <c r="J232" s="56"/>
      <c r="K232" s="56"/>
      <c r="L232" s="54"/>
      <c r="M232" s="18" t="s">
        <v>6</v>
      </c>
      <c r="N232" s="56"/>
      <c r="O232" s="56"/>
      <c r="P232" s="56"/>
      <c r="Q232" s="56"/>
      <c r="R232" s="56"/>
      <c r="S232" s="56"/>
      <c r="T232" s="57"/>
      <c r="U232" s="57"/>
      <c r="V232" s="57"/>
      <c r="W232" s="57"/>
      <c r="X232" s="57"/>
      <c r="Y232" s="57"/>
      <c r="Z232" s="57"/>
      <c r="AA232" s="81"/>
      <c r="AB232" s="56"/>
      <c r="AC232" s="56"/>
      <c r="AD232" s="56"/>
      <c r="AE232" s="56"/>
      <c r="AF232" s="56"/>
      <c r="AG232" s="56"/>
      <c r="AH232" s="56"/>
      <c r="AI232" s="56"/>
      <c r="AJ232" s="54"/>
      <c r="AK232" s="18" t="s">
        <v>7</v>
      </c>
      <c r="AL232" s="56">
        <v>4</v>
      </c>
      <c r="AM232" s="56">
        <v>1</v>
      </c>
      <c r="AN232" s="56">
        <v>0</v>
      </c>
      <c r="AO232" s="83"/>
      <c r="AP232" s="56">
        <v>2</v>
      </c>
      <c r="AQ232" s="56"/>
      <c r="AS232">
        <f t="shared" si="112"/>
        <v>144</v>
      </c>
    </row>
    <row r="233" spans="1:45" x14ac:dyDescent="0.25">
      <c r="A233" s="41"/>
      <c r="B233" s="18" t="s">
        <v>7</v>
      </c>
      <c r="C233" s="57">
        <v>30</v>
      </c>
      <c r="D233" s="57">
        <v>16</v>
      </c>
      <c r="E233" s="57">
        <v>4</v>
      </c>
      <c r="F233" s="57">
        <v>1</v>
      </c>
      <c r="G233" s="57">
        <v>1</v>
      </c>
      <c r="H233" s="57">
        <v>14</v>
      </c>
      <c r="I233" s="57">
        <v>14</v>
      </c>
      <c r="J233" s="56">
        <v>7</v>
      </c>
      <c r="K233" s="56">
        <v>17</v>
      </c>
      <c r="L233" s="54"/>
      <c r="M233" s="18" t="s">
        <v>7</v>
      </c>
      <c r="N233" s="56">
        <v>5</v>
      </c>
      <c r="O233" s="56">
        <v>7</v>
      </c>
      <c r="P233" s="56">
        <v>6</v>
      </c>
      <c r="Q233" s="56">
        <v>0</v>
      </c>
      <c r="R233" s="56">
        <v>7</v>
      </c>
      <c r="S233" s="56">
        <v>5</v>
      </c>
      <c r="T233" s="57">
        <v>11</v>
      </c>
      <c r="U233" s="57">
        <v>12</v>
      </c>
      <c r="V233" s="57">
        <v>18</v>
      </c>
      <c r="W233" s="57">
        <v>8</v>
      </c>
      <c r="X233" s="57">
        <v>8</v>
      </c>
      <c r="Y233" s="57">
        <v>15</v>
      </c>
      <c r="Z233" s="57">
        <v>4</v>
      </c>
      <c r="AA233" s="81"/>
      <c r="AB233" s="56">
        <v>6</v>
      </c>
      <c r="AC233" s="56">
        <v>1</v>
      </c>
      <c r="AD233" s="56">
        <v>10</v>
      </c>
      <c r="AE233" s="56">
        <v>1</v>
      </c>
      <c r="AF233" s="56">
        <v>1</v>
      </c>
      <c r="AG233" s="56">
        <v>3</v>
      </c>
      <c r="AH233" s="56">
        <v>10</v>
      </c>
      <c r="AI233" s="56">
        <v>6</v>
      </c>
      <c r="AJ233" s="54"/>
      <c r="AK233" s="18" t="s">
        <v>8</v>
      </c>
      <c r="AL233" s="56"/>
      <c r="AM233" s="56"/>
      <c r="AN233" s="56"/>
      <c r="AO233" s="83"/>
      <c r="AP233" s="56"/>
      <c r="AQ233" s="56"/>
      <c r="AS233">
        <f t="shared" si="112"/>
        <v>0</v>
      </c>
    </row>
    <row r="234" spans="1:45" x14ac:dyDescent="0.25">
      <c r="A234" s="40" t="s">
        <v>37</v>
      </c>
      <c r="B234" s="18" t="s">
        <v>10</v>
      </c>
      <c r="C234" s="57"/>
      <c r="D234" s="57"/>
      <c r="E234" s="57"/>
      <c r="F234" s="57"/>
      <c r="G234" s="57"/>
      <c r="H234" s="57"/>
      <c r="I234" s="57"/>
      <c r="J234" s="56"/>
      <c r="K234" s="56"/>
      <c r="L234" s="55" t="str">
        <f>A234</f>
        <v>LU 3T</v>
      </c>
      <c r="M234" s="18" t="s">
        <v>10</v>
      </c>
      <c r="N234" s="62"/>
      <c r="O234" s="62"/>
      <c r="P234" s="62"/>
      <c r="Q234" s="62"/>
      <c r="R234" s="62"/>
      <c r="S234" s="62"/>
      <c r="T234" s="82"/>
      <c r="U234" s="82"/>
      <c r="V234" s="82"/>
      <c r="W234" s="82"/>
      <c r="X234" s="82"/>
      <c r="Y234" s="82"/>
      <c r="Z234" s="82"/>
      <c r="AA234" s="81"/>
      <c r="AB234" s="62"/>
      <c r="AC234" s="62"/>
      <c r="AD234" s="62"/>
      <c r="AE234" s="62"/>
      <c r="AF234" s="62"/>
      <c r="AG234" s="62"/>
      <c r="AH234" s="62"/>
      <c r="AI234" s="62"/>
      <c r="AJ234" s="55" t="str">
        <f>+L234</f>
        <v>LU 3T</v>
      </c>
      <c r="AK234" s="18" t="s">
        <v>11</v>
      </c>
      <c r="AL234" s="56">
        <v>2</v>
      </c>
      <c r="AM234" s="62">
        <v>1</v>
      </c>
      <c r="AN234" s="62">
        <v>5</v>
      </c>
      <c r="AO234" s="83"/>
      <c r="AP234" s="62">
        <v>0</v>
      </c>
      <c r="AQ234" s="56"/>
      <c r="AS234">
        <f t="shared" si="112"/>
        <v>106</v>
      </c>
    </row>
    <row r="235" spans="1:45" x14ac:dyDescent="0.25">
      <c r="A235" s="40"/>
      <c r="B235" s="18" t="s">
        <v>11</v>
      </c>
      <c r="C235" s="57">
        <v>8</v>
      </c>
      <c r="D235" s="57">
        <v>1</v>
      </c>
      <c r="E235" s="57">
        <v>6</v>
      </c>
      <c r="F235" s="57">
        <v>1</v>
      </c>
      <c r="G235" s="57">
        <v>1</v>
      </c>
      <c r="H235" s="57">
        <v>4</v>
      </c>
      <c r="I235" s="57">
        <v>4</v>
      </c>
      <c r="J235" s="56">
        <v>7</v>
      </c>
      <c r="K235" s="56">
        <v>3</v>
      </c>
      <c r="L235" s="55"/>
      <c r="M235" s="18" t="s">
        <v>11</v>
      </c>
      <c r="N235" s="62">
        <v>10</v>
      </c>
      <c r="O235" s="62">
        <v>3</v>
      </c>
      <c r="P235" s="62">
        <v>0</v>
      </c>
      <c r="Q235" s="62">
        <v>4</v>
      </c>
      <c r="R235" s="62">
        <v>3</v>
      </c>
      <c r="S235" s="62">
        <v>11</v>
      </c>
      <c r="T235" s="82">
        <v>7</v>
      </c>
      <c r="U235" s="82">
        <v>6</v>
      </c>
      <c r="V235" s="82">
        <v>8</v>
      </c>
      <c r="W235" s="82">
        <v>13</v>
      </c>
      <c r="X235" s="82">
        <v>9</v>
      </c>
      <c r="Y235" s="82">
        <v>0</v>
      </c>
      <c r="Z235" s="82">
        <v>3</v>
      </c>
      <c r="AA235" s="81"/>
      <c r="AB235" s="62">
        <v>5</v>
      </c>
      <c r="AC235" s="62">
        <v>3</v>
      </c>
      <c r="AD235" s="62">
        <v>5</v>
      </c>
      <c r="AE235" s="62">
        <v>5</v>
      </c>
      <c r="AF235" s="62">
        <v>1</v>
      </c>
      <c r="AG235" s="62">
        <v>3</v>
      </c>
      <c r="AH235" s="62">
        <v>3</v>
      </c>
      <c r="AI235" s="62">
        <v>4</v>
      </c>
      <c r="AJ235" s="55"/>
      <c r="AK235" s="18" t="s">
        <v>12</v>
      </c>
      <c r="AL235" s="56"/>
      <c r="AM235" s="56"/>
      <c r="AN235" s="56"/>
      <c r="AO235" s="83"/>
      <c r="AP235" s="56"/>
      <c r="AQ235" s="56"/>
    </row>
    <row r="236" spans="1:45" x14ac:dyDescent="0.25">
      <c r="A236" s="40"/>
      <c r="B236" s="18" t="s">
        <v>12</v>
      </c>
      <c r="C236" s="57"/>
      <c r="D236" s="57"/>
      <c r="E236" s="57"/>
      <c r="F236" s="57"/>
      <c r="G236" s="57"/>
      <c r="H236" s="57"/>
      <c r="I236" s="57"/>
      <c r="J236" s="56"/>
      <c r="K236" s="56"/>
      <c r="L236" s="55"/>
      <c r="M236" s="18" t="s">
        <v>12</v>
      </c>
      <c r="N236" s="62"/>
      <c r="O236" s="62"/>
      <c r="P236" s="62"/>
      <c r="Q236" s="62"/>
      <c r="R236" s="62"/>
      <c r="S236" s="62"/>
      <c r="T236" s="82"/>
      <c r="U236" s="82"/>
      <c r="V236" s="82"/>
      <c r="W236" s="82"/>
      <c r="X236" s="82"/>
      <c r="Y236" s="82"/>
      <c r="Z236" s="82"/>
      <c r="AA236" s="81"/>
      <c r="AB236" s="62"/>
      <c r="AC236" s="62"/>
      <c r="AD236" s="62"/>
      <c r="AE236" s="62"/>
      <c r="AF236" s="62"/>
      <c r="AG236" s="62"/>
      <c r="AH236" s="62"/>
      <c r="AI236" s="62"/>
      <c r="AJ236" s="55"/>
      <c r="AK236" s="18" t="s">
        <v>13</v>
      </c>
      <c r="AL236" s="56">
        <v>115</v>
      </c>
      <c r="AM236" s="62">
        <v>101</v>
      </c>
      <c r="AN236" s="62">
        <v>105</v>
      </c>
      <c r="AO236" s="83"/>
      <c r="AP236" s="62">
        <v>124</v>
      </c>
      <c r="AQ236" s="56"/>
    </row>
    <row r="237" spans="1:45" x14ac:dyDescent="0.25">
      <c r="A237" s="40"/>
      <c r="B237" s="18" t="s">
        <v>13</v>
      </c>
      <c r="C237" s="56">
        <v>110</v>
      </c>
      <c r="D237" s="56">
        <v>120</v>
      </c>
      <c r="E237" s="56">
        <v>108</v>
      </c>
      <c r="F237" s="56">
        <v>116</v>
      </c>
      <c r="G237" s="56">
        <v>124</v>
      </c>
      <c r="H237" s="56">
        <v>106</v>
      </c>
      <c r="I237" s="56">
        <v>120</v>
      </c>
      <c r="J237" s="56">
        <v>107</v>
      </c>
      <c r="K237" s="56">
        <v>119</v>
      </c>
      <c r="L237" s="55"/>
      <c r="M237" s="18" t="s">
        <v>13</v>
      </c>
      <c r="N237" s="62">
        <v>121</v>
      </c>
      <c r="O237" s="62">
        <v>130</v>
      </c>
      <c r="P237" s="62">
        <v>127</v>
      </c>
      <c r="Q237" s="62">
        <v>143</v>
      </c>
      <c r="R237" s="62">
        <v>147</v>
      </c>
      <c r="S237" s="62">
        <v>112</v>
      </c>
      <c r="T237" s="62">
        <v>96</v>
      </c>
      <c r="U237" s="62">
        <v>111</v>
      </c>
      <c r="V237" s="62">
        <v>101</v>
      </c>
      <c r="W237" s="62">
        <v>80</v>
      </c>
      <c r="X237" s="62">
        <v>83</v>
      </c>
      <c r="Y237" s="62">
        <v>90</v>
      </c>
      <c r="Z237" s="62">
        <v>106</v>
      </c>
      <c r="AA237" s="81"/>
      <c r="AB237" s="62">
        <v>133</v>
      </c>
      <c r="AC237" s="62">
        <v>126</v>
      </c>
      <c r="AD237" s="62">
        <v>116</v>
      </c>
      <c r="AE237" s="62">
        <v>108</v>
      </c>
      <c r="AF237" s="62">
        <v>112</v>
      </c>
      <c r="AG237" s="62">
        <v>112</v>
      </c>
      <c r="AH237" s="62">
        <v>141</v>
      </c>
      <c r="AI237" s="62">
        <v>119</v>
      </c>
      <c r="AJ237" s="55"/>
      <c r="AK237" s="18" t="s">
        <v>14</v>
      </c>
      <c r="AL237" s="56">
        <v>257</v>
      </c>
      <c r="AM237" s="56">
        <v>279</v>
      </c>
      <c r="AN237" s="56">
        <v>279</v>
      </c>
      <c r="AO237" s="83"/>
      <c r="AP237" s="56">
        <v>297</v>
      </c>
      <c r="AQ237" s="56"/>
    </row>
    <row r="238" spans="1:45" ht="15.75" thickBot="1" x14ac:dyDescent="0.3">
      <c r="A238" s="42"/>
      <c r="B238" s="25" t="s">
        <v>14</v>
      </c>
      <c r="C238" s="56">
        <v>302</v>
      </c>
      <c r="D238" s="56">
        <v>298</v>
      </c>
      <c r="E238" s="56">
        <v>248</v>
      </c>
      <c r="F238" s="56">
        <v>296</v>
      </c>
      <c r="G238" s="56">
        <v>306</v>
      </c>
      <c r="H238" s="56">
        <v>274</v>
      </c>
      <c r="I238" s="56">
        <v>289</v>
      </c>
      <c r="J238" s="56">
        <v>305</v>
      </c>
      <c r="K238" s="56">
        <v>298</v>
      </c>
      <c r="L238" s="73"/>
      <c r="M238" s="31" t="s">
        <v>14</v>
      </c>
      <c r="N238" s="56">
        <v>335</v>
      </c>
      <c r="O238" s="56">
        <v>340</v>
      </c>
      <c r="P238" s="56">
        <v>320</v>
      </c>
      <c r="Q238" s="56">
        <v>320</v>
      </c>
      <c r="R238" s="56">
        <v>350</v>
      </c>
      <c r="S238" s="56">
        <v>270</v>
      </c>
      <c r="T238" s="56">
        <v>291</v>
      </c>
      <c r="U238" s="56">
        <v>305</v>
      </c>
      <c r="V238" s="56">
        <v>306</v>
      </c>
      <c r="W238" s="56">
        <v>305</v>
      </c>
      <c r="X238" s="56">
        <v>287</v>
      </c>
      <c r="Y238" s="56">
        <v>306</v>
      </c>
      <c r="Z238" s="56">
        <v>291</v>
      </c>
      <c r="AA238" s="81"/>
      <c r="AB238" s="56">
        <v>301</v>
      </c>
      <c r="AC238" s="56">
        <v>293</v>
      </c>
      <c r="AD238" s="56">
        <v>303</v>
      </c>
      <c r="AE238" s="56">
        <v>292</v>
      </c>
      <c r="AF238" s="56">
        <v>260</v>
      </c>
      <c r="AG238" s="56">
        <v>250</v>
      </c>
      <c r="AH238" s="56">
        <v>355</v>
      </c>
      <c r="AI238" s="56">
        <v>300</v>
      </c>
      <c r="AJ238" s="77"/>
      <c r="AK238" s="29"/>
      <c r="AQ238" s="17"/>
    </row>
    <row r="239" spans="1:45" x14ac:dyDescent="0.25">
      <c r="A239" s="39">
        <f>A228+1</f>
        <v>46091</v>
      </c>
      <c r="B239" s="7" t="s">
        <v>1</v>
      </c>
      <c r="C239" s="63"/>
      <c r="D239" s="63"/>
      <c r="E239" s="63"/>
      <c r="F239" s="63"/>
      <c r="G239" s="63"/>
      <c r="H239" s="63"/>
      <c r="I239" s="63"/>
      <c r="J239" s="63"/>
      <c r="K239" s="64"/>
      <c r="L239" s="39">
        <f>A239</f>
        <v>46091</v>
      </c>
      <c r="M239" s="7" t="s">
        <v>1</v>
      </c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4"/>
      <c r="AJ239" s="39">
        <f>L239</f>
        <v>46091</v>
      </c>
      <c r="AK239" s="11" t="s">
        <v>1</v>
      </c>
      <c r="AL239" s="27"/>
      <c r="AM239" s="27"/>
      <c r="AN239" s="27"/>
      <c r="AO239" s="27"/>
      <c r="AP239" s="27"/>
      <c r="AQ239" s="26"/>
    </row>
    <row r="240" spans="1:45" x14ac:dyDescent="0.25">
      <c r="A240" s="36"/>
      <c r="B240" s="20" t="s">
        <v>2</v>
      </c>
      <c r="C240" s="8"/>
      <c r="D240" s="9"/>
      <c r="E240" s="9"/>
      <c r="F240" s="9"/>
      <c r="G240" s="9"/>
      <c r="H240" s="9"/>
      <c r="I240" s="9"/>
      <c r="J240" s="9"/>
      <c r="K240" s="10"/>
      <c r="L240" s="36"/>
      <c r="M240" s="18" t="s">
        <v>2</v>
      </c>
      <c r="N240" s="12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0"/>
      <c r="AJ240" s="36"/>
      <c r="AK240" s="18" t="s">
        <v>2</v>
      </c>
      <c r="AL240" s="8"/>
      <c r="AM240" s="9"/>
      <c r="AN240" s="9"/>
      <c r="AO240" s="9"/>
      <c r="AP240" s="9"/>
      <c r="AQ240" s="14"/>
      <c r="AS240">
        <f t="shared" ref="AS240:AS247" si="113">SUM(N241:AI241)</f>
        <v>0</v>
      </c>
    </row>
    <row r="241" spans="1:45" x14ac:dyDescent="0.25">
      <c r="A241" s="36"/>
      <c r="B241" s="18" t="s">
        <v>3</v>
      </c>
      <c r="C241" s="16"/>
      <c r="K241" s="17"/>
      <c r="L241" s="36"/>
      <c r="M241" s="18" t="s">
        <v>3</v>
      </c>
      <c r="N241" s="16"/>
      <c r="AI241" s="17"/>
      <c r="AJ241" s="36"/>
      <c r="AK241" s="18" t="s">
        <v>3</v>
      </c>
      <c r="AL241" s="16"/>
      <c r="AQ241" s="17"/>
      <c r="AS241">
        <f t="shared" si="113"/>
        <v>0</v>
      </c>
    </row>
    <row r="242" spans="1:45" x14ac:dyDescent="0.25">
      <c r="A242" s="36"/>
      <c r="B242" s="18" t="s">
        <v>4</v>
      </c>
      <c r="C242" s="16"/>
      <c r="K242" s="17"/>
      <c r="L242" s="36"/>
      <c r="M242" s="18" t="s">
        <v>4</v>
      </c>
      <c r="N242" s="16"/>
      <c r="AI242" s="17"/>
      <c r="AJ242" s="36"/>
      <c r="AK242" s="18" t="s">
        <v>4</v>
      </c>
      <c r="AL242" s="16"/>
      <c r="AQ242" s="17"/>
      <c r="AS242">
        <f t="shared" si="113"/>
        <v>0</v>
      </c>
    </row>
    <row r="243" spans="1:45" x14ac:dyDescent="0.25">
      <c r="A243" s="36"/>
      <c r="B243" s="18" t="s">
        <v>5</v>
      </c>
      <c r="C243" s="16"/>
      <c r="K243" s="17"/>
      <c r="L243" s="36"/>
      <c r="M243" s="18" t="s">
        <v>5</v>
      </c>
      <c r="N243" s="16"/>
      <c r="AI243" s="17"/>
      <c r="AJ243" s="36"/>
      <c r="AK243" s="18" t="s">
        <v>5</v>
      </c>
      <c r="AL243" s="16"/>
      <c r="AQ243" s="17"/>
      <c r="AS243">
        <f t="shared" si="113"/>
        <v>0</v>
      </c>
    </row>
    <row r="244" spans="1:45" x14ac:dyDescent="0.25">
      <c r="A244" s="36"/>
      <c r="B244" s="18" t="s">
        <v>6</v>
      </c>
      <c r="C244" s="16"/>
      <c r="K244" s="17"/>
      <c r="L244" s="36"/>
      <c r="M244" s="18" t="s">
        <v>6</v>
      </c>
      <c r="N244" s="16"/>
      <c r="AI244" s="17"/>
      <c r="AJ244" s="36"/>
      <c r="AK244" s="18" t="s">
        <v>7</v>
      </c>
      <c r="AL244" s="16"/>
      <c r="AQ244" s="17"/>
      <c r="AS244">
        <f t="shared" si="113"/>
        <v>0</v>
      </c>
    </row>
    <row r="245" spans="1:45" x14ac:dyDescent="0.25">
      <c r="A245" s="36"/>
      <c r="B245" s="18" t="s">
        <v>7</v>
      </c>
      <c r="C245" s="16"/>
      <c r="K245" s="17"/>
      <c r="L245" s="36"/>
      <c r="M245" s="18" t="s">
        <v>7</v>
      </c>
      <c r="N245" s="16"/>
      <c r="AI245" s="17"/>
      <c r="AJ245" s="37" t="str">
        <f>+L246</f>
        <v>MA 1T</v>
      </c>
      <c r="AK245" s="18" t="s">
        <v>8</v>
      </c>
      <c r="AL245" s="16"/>
      <c r="AQ245" s="17"/>
      <c r="AS245">
        <f t="shared" si="113"/>
        <v>0</v>
      </c>
    </row>
    <row r="246" spans="1:45" x14ac:dyDescent="0.25">
      <c r="A246" s="37" t="s">
        <v>9</v>
      </c>
      <c r="B246" s="18" t="s">
        <v>10</v>
      </c>
      <c r="C246" s="16"/>
      <c r="K246" s="17"/>
      <c r="L246" s="37" t="str">
        <f>A246</f>
        <v>MA 1T</v>
      </c>
      <c r="M246" s="18" t="s">
        <v>10</v>
      </c>
      <c r="N246" s="16"/>
      <c r="AI246" s="17"/>
      <c r="AJ246" s="37"/>
      <c r="AK246" s="18" t="s">
        <v>11</v>
      </c>
      <c r="AL246" s="16"/>
      <c r="AQ246" s="17"/>
      <c r="AS246">
        <f t="shared" si="113"/>
        <v>0</v>
      </c>
    </row>
    <row r="247" spans="1:45" x14ac:dyDescent="0.25">
      <c r="A247" s="37"/>
      <c r="B247" s="18" t="s">
        <v>11</v>
      </c>
      <c r="C247" s="16"/>
      <c r="K247" s="17"/>
      <c r="L247" s="37"/>
      <c r="M247" s="18" t="s">
        <v>11</v>
      </c>
      <c r="N247" s="16"/>
      <c r="AI247" s="17"/>
      <c r="AJ247" s="37"/>
      <c r="AK247" s="18" t="s">
        <v>12</v>
      </c>
      <c r="AL247" s="16"/>
      <c r="AQ247" s="17"/>
      <c r="AS247">
        <f t="shared" si="113"/>
        <v>0</v>
      </c>
    </row>
    <row r="248" spans="1:45" x14ac:dyDescent="0.25">
      <c r="A248" s="37"/>
      <c r="B248" s="18" t="s">
        <v>12</v>
      </c>
      <c r="C248" s="16"/>
      <c r="K248" s="17"/>
      <c r="L248" s="37"/>
      <c r="M248" s="18" t="s">
        <v>12</v>
      </c>
      <c r="N248" s="16"/>
      <c r="AI248" s="17"/>
      <c r="AJ248" s="37"/>
      <c r="AK248" s="18" t="s">
        <v>13</v>
      </c>
      <c r="AL248" s="16"/>
      <c r="AQ248" s="17"/>
    </row>
    <row r="249" spans="1:45" x14ac:dyDescent="0.25">
      <c r="A249" s="37"/>
      <c r="B249" s="18" t="s">
        <v>13</v>
      </c>
      <c r="C249" s="16"/>
      <c r="K249" s="17"/>
      <c r="L249" s="37"/>
      <c r="M249" s="18" t="s">
        <v>13</v>
      </c>
      <c r="N249" s="16"/>
      <c r="AI249" s="17"/>
      <c r="AJ249" s="37"/>
      <c r="AK249" s="18" t="s">
        <v>14</v>
      </c>
      <c r="AL249" s="21"/>
      <c r="AM249" s="22"/>
      <c r="AN249" s="22"/>
      <c r="AO249" s="22"/>
      <c r="AP249" s="22"/>
      <c r="AQ249" s="23"/>
    </row>
    <row r="250" spans="1:45" x14ac:dyDescent="0.25">
      <c r="A250" s="37"/>
      <c r="B250" s="20" t="s">
        <v>14</v>
      </c>
      <c r="C250" s="21"/>
      <c r="D250" s="22"/>
      <c r="E250" s="22"/>
      <c r="F250" s="22"/>
      <c r="G250" s="22"/>
      <c r="H250" s="22"/>
      <c r="I250" s="22"/>
      <c r="J250" s="22"/>
      <c r="K250" s="23"/>
      <c r="L250" s="37"/>
      <c r="M250" s="18" t="s">
        <v>14</v>
      </c>
      <c r="N250" s="21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3"/>
      <c r="AJ250" s="24"/>
      <c r="AK250" s="16"/>
      <c r="AQ250" s="17"/>
    </row>
    <row r="251" spans="1:45" x14ac:dyDescent="0.25">
      <c r="A251" s="36">
        <f>+A239</f>
        <v>46091</v>
      </c>
      <c r="B251" s="20" t="s">
        <v>2</v>
      </c>
      <c r="C251" s="8"/>
      <c r="D251" s="9"/>
      <c r="E251" s="9"/>
      <c r="F251" s="9"/>
      <c r="G251" s="9"/>
      <c r="H251" s="9"/>
      <c r="I251" s="9"/>
      <c r="J251" s="9"/>
      <c r="K251" s="10"/>
      <c r="L251" s="36">
        <f>+L239</f>
        <v>46091</v>
      </c>
      <c r="M251" s="18" t="s">
        <v>2</v>
      </c>
      <c r="N251" s="12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0"/>
      <c r="AJ251" s="36">
        <f>AJ239</f>
        <v>46091</v>
      </c>
      <c r="AK251" s="18" t="s">
        <v>2</v>
      </c>
      <c r="AL251" s="8"/>
      <c r="AM251" s="9"/>
      <c r="AN251" s="9"/>
      <c r="AO251" s="9"/>
      <c r="AP251" s="9"/>
      <c r="AQ251" s="14"/>
      <c r="AS251">
        <f t="shared" ref="AS251:AS257" si="114">SUM(N252:AI252)</f>
        <v>0</v>
      </c>
    </row>
    <row r="252" spans="1:45" x14ac:dyDescent="0.25">
      <c r="A252" s="36"/>
      <c r="B252" s="18" t="s">
        <v>3</v>
      </c>
      <c r="C252" s="16"/>
      <c r="K252" s="17"/>
      <c r="L252" s="36"/>
      <c r="M252" s="18" t="s">
        <v>3</v>
      </c>
      <c r="N252" s="16"/>
      <c r="AI252" s="17"/>
      <c r="AJ252" s="36"/>
      <c r="AK252" s="18" t="s">
        <v>3</v>
      </c>
      <c r="AL252" s="34"/>
      <c r="AM252" s="30"/>
      <c r="AN252" s="30"/>
      <c r="AO252" s="30"/>
      <c r="AP252" s="30"/>
      <c r="AQ252" s="17"/>
      <c r="AS252">
        <f t="shared" si="114"/>
        <v>0</v>
      </c>
    </row>
    <row r="253" spans="1:45" x14ac:dyDescent="0.25">
      <c r="A253" s="36"/>
      <c r="B253" s="18" t="s">
        <v>4</v>
      </c>
      <c r="C253" s="16"/>
      <c r="K253" s="17"/>
      <c r="L253" s="36"/>
      <c r="M253" s="18" t="s">
        <v>4</v>
      </c>
      <c r="N253" s="16"/>
      <c r="AI253" s="17"/>
      <c r="AJ253" s="36"/>
      <c r="AK253" s="18" t="s">
        <v>4</v>
      </c>
      <c r="AL253" s="16"/>
      <c r="AQ253" s="17"/>
      <c r="AS253">
        <f t="shared" si="114"/>
        <v>0</v>
      </c>
    </row>
    <row r="254" spans="1:45" x14ac:dyDescent="0.25">
      <c r="A254" s="36"/>
      <c r="B254" s="18" t="s">
        <v>5</v>
      </c>
      <c r="C254" s="16"/>
      <c r="K254" s="17"/>
      <c r="L254" s="36"/>
      <c r="M254" s="18" t="s">
        <v>5</v>
      </c>
      <c r="N254" s="16"/>
      <c r="AI254" s="17"/>
      <c r="AJ254" s="36"/>
      <c r="AK254" s="18" t="s">
        <v>5</v>
      </c>
      <c r="AL254" s="34"/>
      <c r="AM254" s="30"/>
      <c r="AN254" s="30"/>
      <c r="AO254" s="30"/>
      <c r="AP254" s="30"/>
      <c r="AQ254" s="17"/>
      <c r="AS254">
        <f t="shared" si="114"/>
        <v>0</v>
      </c>
    </row>
    <row r="255" spans="1:45" x14ac:dyDescent="0.25">
      <c r="A255" s="36"/>
      <c r="B255" s="18" t="s">
        <v>6</v>
      </c>
      <c r="C255" s="16"/>
      <c r="K255" s="17"/>
      <c r="L255" s="36"/>
      <c r="M255" s="18" t="s">
        <v>6</v>
      </c>
      <c r="N255" s="16"/>
      <c r="AI255" s="17"/>
      <c r="AJ255" s="36"/>
      <c r="AK255" s="18" t="s">
        <v>7</v>
      </c>
      <c r="AL255" s="16"/>
      <c r="AQ255" s="17"/>
      <c r="AS255">
        <f t="shared" si="114"/>
        <v>0</v>
      </c>
    </row>
    <row r="256" spans="1:45" x14ac:dyDescent="0.25">
      <c r="A256" s="36"/>
      <c r="B256" s="18" t="s">
        <v>7</v>
      </c>
      <c r="C256" s="16"/>
      <c r="K256" s="17"/>
      <c r="L256" s="36"/>
      <c r="M256" s="18" t="s">
        <v>7</v>
      </c>
      <c r="N256" s="16"/>
      <c r="AI256" s="17"/>
      <c r="AJ256" s="36"/>
      <c r="AK256" s="18" t="s">
        <v>8</v>
      </c>
      <c r="AL256" s="16"/>
      <c r="AQ256" s="17"/>
      <c r="AS256">
        <f t="shared" si="114"/>
        <v>0</v>
      </c>
    </row>
    <row r="257" spans="1:45" x14ac:dyDescent="0.25">
      <c r="A257" s="37" t="s">
        <v>15</v>
      </c>
      <c r="B257" s="18" t="s">
        <v>10</v>
      </c>
      <c r="C257" s="16"/>
      <c r="K257" s="17"/>
      <c r="L257" s="37" t="str">
        <f>A257</f>
        <v>MA 2T</v>
      </c>
      <c r="M257" s="18" t="s">
        <v>10</v>
      </c>
      <c r="N257" s="16"/>
      <c r="AJ257" s="37" t="str">
        <f>+L257</f>
        <v>MA 2T</v>
      </c>
      <c r="AK257" s="18" t="s">
        <v>11</v>
      </c>
      <c r="AL257" s="16"/>
      <c r="AQ257" s="17"/>
      <c r="AS257">
        <f t="shared" si="114"/>
        <v>0</v>
      </c>
    </row>
    <row r="258" spans="1:45" x14ac:dyDescent="0.25">
      <c r="A258" s="37"/>
      <c r="B258" s="18" t="s">
        <v>11</v>
      </c>
      <c r="C258" s="16"/>
      <c r="K258" s="17"/>
      <c r="L258" s="37"/>
      <c r="M258" s="18" t="s">
        <v>11</v>
      </c>
      <c r="N258" s="16"/>
      <c r="AI258" s="17"/>
      <c r="AJ258" s="37"/>
      <c r="AK258" s="18" t="s">
        <v>12</v>
      </c>
      <c r="AL258" s="16"/>
      <c r="AQ258" s="17"/>
    </row>
    <row r="259" spans="1:45" x14ac:dyDescent="0.25">
      <c r="A259" s="37"/>
      <c r="B259" s="18" t="s">
        <v>12</v>
      </c>
      <c r="C259" s="16"/>
      <c r="K259" s="17"/>
      <c r="L259" s="37"/>
      <c r="M259" s="18" t="s">
        <v>12</v>
      </c>
      <c r="N259" s="16"/>
      <c r="AI259" s="17"/>
      <c r="AJ259" s="37"/>
      <c r="AK259" s="18" t="s">
        <v>13</v>
      </c>
      <c r="AL259" s="16"/>
      <c r="AQ259" s="17"/>
    </row>
    <row r="260" spans="1:45" x14ac:dyDescent="0.25">
      <c r="A260" s="37"/>
      <c r="B260" s="18" t="s">
        <v>13</v>
      </c>
      <c r="C260" s="16"/>
      <c r="K260" s="17"/>
      <c r="L260" s="37"/>
      <c r="M260" s="18" t="s">
        <v>13</v>
      </c>
      <c r="N260" s="16"/>
      <c r="AI260" s="17"/>
      <c r="AJ260" s="37"/>
      <c r="AK260" s="18" t="s">
        <v>14</v>
      </c>
      <c r="AL260" s="21"/>
      <c r="AM260" s="22"/>
      <c r="AN260" s="22"/>
      <c r="AO260" s="22"/>
      <c r="AP260" s="22"/>
      <c r="AQ260" s="23"/>
    </row>
    <row r="261" spans="1:45" x14ac:dyDescent="0.25">
      <c r="A261" s="37"/>
      <c r="B261" s="20" t="s">
        <v>14</v>
      </c>
      <c r="C261" s="21"/>
      <c r="D261" s="22"/>
      <c r="E261" s="22"/>
      <c r="F261" s="22"/>
      <c r="G261" s="22"/>
      <c r="H261" s="22"/>
      <c r="I261" s="22"/>
      <c r="J261" s="22"/>
      <c r="K261" s="23"/>
      <c r="L261" s="37"/>
      <c r="M261" s="18" t="s">
        <v>14</v>
      </c>
      <c r="N261" s="21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3"/>
      <c r="AJ261" s="24"/>
      <c r="AK261" s="16"/>
      <c r="AQ261" s="17"/>
    </row>
    <row r="262" spans="1:45" x14ac:dyDescent="0.25">
      <c r="A262" s="36">
        <f>+A251</f>
        <v>46091</v>
      </c>
      <c r="B262" s="20" t="s">
        <v>2</v>
      </c>
      <c r="C262" s="8"/>
      <c r="D262" s="9"/>
      <c r="E262" s="9"/>
      <c r="F262" s="9"/>
      <c r="G262" s="9"/>
      <c r="H262" s="9"/>
      <c r="I262" s="9"/>
      <c r="J262" s="9"/>
      <c r="K262" s="10"/>
      <c r="L262" s="36">
        <f>+L251</f>
        <v>46091</v>
      </c>
      <c r="M262" s="18" t="s">
        <v>2</v>
      </c>
      <c r="N262" s="12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0"/>
      <c r="AJ262" s="36">
        <f>+AJ251</f>
        <v>46091</v>
      </c>
      <c r="AK262" s="18" t="s">
        <v>2</v>
      </c>
      <c r="AL262" s="8"/>
      <c r="AM262" s="9"/>
      <c r="AN262" s="9"/>
      <c r="AO262" s="9"/>
      <c r="AP262" s="9"/>
      <c r="AQ262" s="14"/>
      <c r="AS262">
        <f>SUM(N263:AI263)</f>
        <v>0</v>
      </c>
    </row>
    <row r="263" spans="1:45" x14ac:dyDescent="0.25">
      <c r="A263" s="36"/>
      <c r="B263" s="18" t="s">
        <v>3</v>
      </c>
      <c r="C263" s="16"/>
      <c r="K263" s="17"/>
      <c r="L263" s="36"/>
      <c r="M263" s="18" t="s">
        <v>3</v>
      </c>
      <c r="N263" s="34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5"/>
      <c r="AJ263" s="36"/>
      <c r="AK263" s="18" t="s">
        <v>3</v>
      </c>
      <c r="AL263" s="34"/>
      <c r="AM263" s="30"/>
      <c r="AN263" s="30"/>
      <c r="AO263" s="30"/>
      <c r="AP263" s="30"/>
      <c r="AQ263" s="17"/>
      <c r="AS263">
        <f t="shared" ref="AS263:AS268" si="115">SUM(N264:AI264)</f>
        <v>0</v>
      </c>
    </row>
    <row r="264" spans="1:45" x14ac:dyDescent="0.25">
      <c r="A264" s="36"/>
      <c r="B264" s="18" t="s">
        <v>4</v>
      </c>
      <c r="C264" s="16"/>
      <c r="K264" s="17"/>
      <c r="L264" s="36"/>
      <c r="M264" s="18" t="s">
        <v>4</v>
      </c>
      <c r="N264" s="34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5"/>
      <c r="AJ264" s="36"/>
      <c r="AK264" s="18" t="s">
        <v>4</v>
      </c>
      <c r="AL264" s="16"/>
      <c r="AQ264" s="17"/>
      <c r="AS264">
        <f t="shared" si="115"/>
        <v>0</v>
      </c>
    </row>
    <row r="265" spans="1:45" x14ac:dyDescent="0.25">
      <c r="A265" s="36"/>
      <c r="B265" s="18" t="s">
        <v>5</v>
      </c>
      <c r="C265" s="16"/>
      <c r="K265" s="17"/>
      <c r="L265" s="36"/>
      <c r="M265" s="18" t="s">
        <v>5</v>
      </c>
      <c r="N265" s="34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5"/>
      <c r="AJ265" s="36"/>
      <c r="AK265" s="18" t="s">
        <v>5</v>
      </c>
      <c r="AL265" s="34"/>
      <c r="AM265" s="30"/>
      <c r="AN265" s="30"/>
      <c r="AO265" s="30"/>
      <c r="AP265" s="30"/>
      <c r="AQ265" s="17"/>
      <c r="AS265">
        <f t="shared" si="115"/>
        <v>0</v>
      </c>
    </row>
    <row r="266" spans="1:45" x14ac:dyDescent="0.25">
      <c r="A266" s="36"/>
      <c r="B266" s="18" t="s">
        <v>6</v>
      </c>
      <c r="C266" s="16"/>
      <c r="K266" s="17"/>
      <c r="L266" s="36"/>
      <c r="M266" s="18" t="s">
        <v>6</v>
      </c>
      <c r="N266" s="34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5"/>
      <c r="AJ266" s="36"/>
      <c r="AK266" s="18" t="s">
        <v>7</v>
      </c>
      <c r="AL266" s="34"/>
      <c r="AM266" s="30"/>
      <c r="AN266" s="30"/>
      <c r="AO266" s="30"/>
      <c r="AP266" s="30"/>
      <c r="AQ266" s="17"/>
      <c r="AS266">
        <f t="shared" si="115"/>
        <v>0</v>
      </c>
    </row>
    <row r="267" spans="1:45" x14ac:dyDescent="0.25">
      <c r="A267" s="36"/>
      <c r="B267" s="18" t="s">
        <v>7</v>
      </c>
      <c r="C267" s="16"/>
      <c r="K267" s="17"/>
      <c r="L267" s="36"/>
      <c r="M267" s="18" t="s">
        <v>7</v>
      </c>
      <c r="N267" s="34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5"/>
      <c r="AJ267" s="36"/>
      <c r="AK267" s="18" t="s">
        <v>8</v>
      </c>
      <c r="AL267" s="16"/>
      <c r="AQ267" s="17"/>
      <c r="AS267">
        <f t="shared" si="115"/>
        <v>0</v>
      </c>
    </row>
    <row r="268" spans="1:45" x14ac:dyDescent="0.25">
      <c r="A268" s="37" t="s">
        <v>17</v>
      </c>
      <c r="B268" s="18" t="s">
        <v>10</v>
      </c>
      <c r="C268" s="16"/>
      <c r="K268" s="17"/>
      <c r="L268" s="37" t="str">
        <f>A268</f>
        <v>MA 3T</v>
      </c>
      <c r="M268" s="18" t="s">
        <v>10</v>
      </c>
      <c r="N268" s="34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5"/>
      <c r="AJ268" s="37" t="str">
        <f>L268</f>
        <v>MA 3T</v>
      </c>
      <c r="AK268" s="18" t="s">
        <v>11</v>
      </c>
      <c r="AL268" s="16"/>
      <c r="AM268" s="30"/>
      <c r="AN268" s="30"/>
      <c r="AO268" s="30"/>
      <c r="AP268" s="30"/>
      <c r="AQ268" s="17"/>
      <c r="AS268">
        <f t="shared" si="115"/>
        <v>0</v>
      </c>
    </row>
    <row r="269" spans="1:45" x14ac:dyDescent="0.25">
      <c r="A269" s="37"/>
      <c r="B269" s="18" t="s">
        <v>11</v>
      </c>
      <c r="C269" s="16"/>
      <c r="K269" s="17"/>
      <c r="L269" s="37"/>
      <c r="M269" s="18" t="s">
        <v>11</v>
      </c>
      <c r="N269" s="34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5"/>
      <c r="AJ269" s="37"/>
      <c r="AK269" s="18" t="s">
        <v>12</v>
      </c>
      <c r="AL269" s="16"/>
      <c r="AQ269" s="17"/>
    </row>
    <row r="270" spans="1:45" x14ac:dyDescent="0.25">
      <c r="A270" s="37"/>
      <c r="B270" s="18" t="s">
        <v>12</v>
      </c>
      <c r="C270" s="16"/>
      <c r="K270" s="17"/>
      <c r="L270" s="37"/>
      <c r="M270" s="18" t="s">
        <v>12</v>
      </c>
      <c r="N270" s="34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5"/>
      <c r="AJ270" s="37"/>
      <c r="AK270" s="18" t="s">
        <v>13</v>
      </c>
      <c r="AL270" s="16"/>
      <c r="AM270" s="30"/>
      <c r="AN270" s="30"/>
      <c r="AO270" s="30"/>
      <c r="AP270" s="30"/>
      <c r="AQ270" s="17"/>
    </row>
    <row r="271" spans="1:45" x14ac:dyDescent="0.25">
      <c r="A271" s="37"/>
      <c r="B271" s="18" t="s">
        <v>13</v>
      </c>
      <c r="C271" s="16"/>
      <c r="K271" s="17"/>
      <c r="L271" s="37"/>
      <c r="M271" s="18" t="s">
        <v>13</v>
      </c>
      <c r="N271" s="34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5"/>
      <c r="AJ271" s="37"/>
      <c r="AK271" s="18" t="s">
        <v>14</v>
      </c>
      <c r="AL271" s="21"/>
      <c r="AM271" s="22"/>
      <c r="AN271" s="22"/>
      <c r="AO271" s="22"/>
      <c r="AP271" s="22"/>
      <c r="AQ271" s="23"/>
    </row>
    <row r="272" spans="1:45" ht="15.75" thickBot="1" x14ac:dyDescent="0.3">
      <c r="A272" s="38"/>
      <c r="B272" s="25" t="s">
        <v>14</v>
      </c>
      <c r="C272" s="21"/>
      <c r="D272" s="22"/>
      <c r="E272" s="22"/>
      <c r="F272" s="22"/>
      <c r="G272" s="22"/>
      <c r="H272" s="22"/>
      <c r="I272" s="22"/>
      <c r="J272" s="22"/>
      <c r="K272" s="23"/>
      <c r="L272" s="38"/>
      <c r="M272" s="31" t="s">
        <v>14</v>
      </c>
      <c r="N272" s="21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3"/>
      <c r="AJ272" s="28"/>
      <c r="AK272" s="29"/>
      <c r="AQ272" s="17"/>
    </row>
  </sheetData>
  <mergeCells count="144">
    <mergeCell ref="A24:A29"/>
    <mergeCell ref="L24:L29"/>
    <mergeCell ref="AJ24:AJ29"/>
    <mergeCell ref="A13:A18"/>
    <mergeCell ref="L13:L18"/>
    <mergeCell ref="AJ13:AJ18"/>
    <mergeCell ref="A19:A23"/>
    <mergeCell ref="L19:L23"/>
    <mergeCell ref="AJ19:AJ22"/>
    <mergeCell ref="A2:A7"/>
    <mergeCell ref="L2:L7"/>
    <mergeCell ref="AJ2:AJ7"/>
    <mergeCell ref="A8:A12"/>
    <mergeCell ref="L8:L12"/>
    <mergeCell ref="AJ8:AJ11"/>
    <mergeCell ref="A35:A41"/>
    <mergeCell ref="L35:L41"/>
    <mergeCell ref="AJ35:AJ41"/>
    <mergeCell ref="A42:A46"/>
    <mergeCell ref="L42:L46"/>
    <mergeCell ref="AJ42:AJ45"/>
    <mergeCell ref="A30:A34"/>
    <mergeCell ref="L30:L34"/>
    <mergeCell ref="AJ30:AJ33"/>
    <mergeCell ref="A58:A63"/>
    <mergeCell ref="L58:L63"/>
    <mergeCell ref="AJ58:AJ63"/>
    <mergeCell ref="A64:A68"/>
    <mergeCell ref="L64:L68"/>
    <mergeCell ref="AJ64:AJ67"/>
    <mergeCell ref="A47:A52"/>
    <mergeCell ref="L47:L52"/>
    <mergeCell ref="AJ47:AJ52"/>
    <mergeCell ref="A53:A57"/>
    <mergeCell ref="L53:L57"/>
    <mergeCell ref="AJ53:AJ56"/>
    <mergeCell ref="A81:A86"/>
    <mergeCell ref="L81:L86"/>
    <mergeCell ref="AJ81:AJ86"/>
    <mergeCell ref="A87:A91"/>
    <mergeCell ref="L87:L91"/>
    <mergeCell ref="AJ87:AJ90"/>
    <mergeCell ref="A69:A75"/>
    <mergeCell ref="L69:L75"/>
    <mergeCell ref="AJ69:AJ74"/>
    <mergeCell ref="A76:A80"/>
    <mergeCell ref="L76:L80"/>
    <mergeCell ref="AJ76:AJ79"/>
    <mergeCell ref="A103:A109"/>
    <mergeCell ref="L103:L109"/>
    <mergeCell ref="AJ103:AJ108"/>
    <mergeCell ref="AJ109:AJ113"/>
    <mergeCell ref="A110:A114"/>
    <mergeCell ref="L110:L114"/>
    <mergeCell ref="A92:A97"/>
    <mergeCell ref="L92:L97"/>
    <mergeCell ref="AJ92:AJ97"/>
    <mergeCell ref="A98:A102"/>
    <mergeCell ref="L98:L102"/>
    <mergeCell ref="AJ98:AJ101"/>
    <mergeCell ref="A126:A131"/>
    <mergeCell ref="L126:L131"/>
    <mergeCell ref="AJ126:AJ131"/>
    <mergeCell ref="A132:A136"/>
    <mergeCell ref="L132:L136"/>
    <mergeCell ref="AJ132:AJ135"/>
    <mergeCell ref="A115:A120"/>
    <mergeCell ref="L115:L120"/>
    <mergeCell ref="AJ115:AJ120"/>
    <mergeCell ref="A121:A125"/>
    <mergeCell ref="L121:L125"/>
    <mergeCell ref="AJ121:AJ124"/>
    <mergeCell ref="A149:A154"/>
    <mergeCell ref="L149:L154"/>
    <mergeCell ref="AJ149:AJ154"/>
    <mergeCell ref="A155:A159"/>
    <mergeCell ref="L155:L159"/>
    <mergeCell ref="AJ155:AJ158"/>
    <mergeCell ref="A137:A143"/>
    <mergeCell ref="L137:L143"/>
    <mergeCell ref="AJ137:AJ142"/>
    <mergeCell ref="AJ143:AJ147"/>
    <mergeCell ref="A144:A148"/>
    <mergeCell ref="L144:L148"/>
    <mergeCell ref="A171:A177"/>
    <mergeCell ref="L171:L177"/>
    <mergeCell ref="AJ171:AJ176"/>
    <mergeCell ref="AJ177:AJ181"/>
    <mergeCell ref="A178:A182"/>
    <mergeCell ref="L178:L182"/>
    <mergeCell ref="A160:A165"/>
    <mergeCell ref="L160:L165"/>
    <mergeCell ref="AJ160:AJ165"/>
    <mergeCell ref="A166:A170"/>
    <mergeCell ref="L166:L170"/>
    <mergeCell ref="AJ166:AJ169"/>
    <mergeCell ref="A194:A199"/>
    <mergeCell ref="L194:L199"/>
    <mergeCell ref="AJ194:AJ199"/>
    <mergeCell ref="A200:A204"/>
    <mergeCell ref="L200:L204"/>
    <mergeCell ref="AJ200:AJ203"/>
    <mergeCell ref="A183:A188"/>
    <mergeCell ref="L183:L188"/>
    <mergeCell ref="AJ183:AJ188"/>
    <mergeCell ref="A189:A193"/>
    <mergeCell ref="L189:L193"/>
    <mergeCell ref="AJ189:AJ192"/>
    <mergeCell ref="A212:A216"/>
    <mergeCell ref="L212:L216"/>
    <mergeCell ref="AJ212:AJ215"/>
    <mergeCell ref="A217:A222"/>
    <mergeCell ref="L217:L222"/>
    <mergeCell ref="AJ217:AJ222"/>
    <mergeCell ref="A223:A227"/>
    <mergeCell ref="L223:L227"/>
    <mergeCell ref="A205:A211"/>
    <mergeCell ref="L205:L211"/>
    <mergeCell ref="AJ205:AJ210"/>
    <mergeCell ref="A239:A245"/>
    <mergeCell ref="L239:L245"/>
    <mergeCell ref="AJ239:AJ244"/>
    <mergeCell ref="AJ245:AJ249"/>
    <mergeCell ref="A246:A250"/>
    <mergeCell ref="L246:L250"/>
    <mergeCell ref="AJ223:AJ226"/>
    <mergeCell ref="A228:A233"/>
    <mergeCell ref="L228:L233"/>
    <mergeCell ref="AJ228:AJ233"/>
    <mergeCell ref="A234:A238"/>
    <mergeCell ref="L234:L238"/>
    <mergeCell ref="AJ234:AJ237"/>
    <mergeCell ref="A262:A267"/>
    <mergeCell ref="L262:L267"/>
    <mergeCell ref="AJ262:AJ267"/>
    <mergeCell ref="A268:A272"/>
    <mergeCell ref="L268:L272"/>
    <mergeCell ref="AJ268:AJ271"/>
    <mergeCell ref="A251:A256"/>
    <mergeCell ref="L251:L256"/>
    <mergeCell ref="AJ251:AJ256"/>
    <mergeCell ref="A257:A261"/>
    <mergeCell ref="L257:L261"/>
    <mergeCell ref="AJ257:AJ260"/>
  </mergeCells>
  <conditionalFormatting sqref="C2:K2 N2:AI2 AL2:AP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K24 N24:AI24 AL24:AP2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K36 N36:AI36 AL36:AP3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K47 N47:AF47 AH47:AI47 AL47:AP4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:K58 N58:AI58 AL58:AP5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:K70 N70:AI70 AL70:AP7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1:K81 N81:AE81 AG81:AI81 AL81:AP8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2:K92 N92:Z92 AB92:AI92 AL92:AP9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K104 N104:Z104 AB104:AC104 AE104:AI104 AL104:AP10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5:K115 N115:AI115 AL115:AP1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6:K126 N126:AI126 AL126:AP1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8:K138 N138:AI138 AL138:AP13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9:K149 N149:V149 X149 Z149:AI149 AL149:AO1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0:K160 N160:V160 X160:AI160 AL160:AP16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2:K172 N172:V172 X172:AI172 AL172:AP17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3:K183 N183:V183 X183:AI183 AL183:AP18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4:K194 N194:V194 X194:AI194 AL194:AP19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6:K206 N206:X206 AL206:AP206 Z206:AI20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7:K217 N217:AI217 AL217:AP217 AA2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8:K228 N228:Z228 AL228:AN228 AB228:AI228 AP2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:AI13 AL13:AP13 C13:K1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2026-03-17T19:51:10Z</dcterms:created>
  <dcterms:modified xsi:type="dcterms:W3CDTF">2026-04-14T16:16:01Z</dcterms:modified>
</cp:coreProperties>
</file>