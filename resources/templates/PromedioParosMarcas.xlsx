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sanchez\Desktop\"/>
    </mc:Choice>
  </mc:AlternateContent>
  <xr:revisionPtr revIDLastSave="0" documentId="8_{F8FC6E3E-5CFE-4238-ADAC-652E43803814}" xr6:coauthVersionLast="47" xr6:coauthVersionMax="47" xr10:uidLastSave="{00000000-0000-0000-0000-000000000000}"/>
  <bookViews>
    <workbookView xWindow="-108" yWindow="-108" windowWidth="23256" windowHeight="12456" xr2:uid="{0425D8B9-DE32-4E4D-835E-2BE4691AC91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7" i="1" l="1"/>
  <c r="L2" i="1"/>
  <c r="AJ2" i="1" s="1"/>
  <c r="AS268" i="1"/>
  <c r="L268" i="1"/>
  <c r="AJ268" i="1" s="1"/>
  <c r="AS267" i="1"/>
  <c r="AS266" i="1"/>
  <c r="AS265" i="1"/>
  <c r="AS264" i="1"/>
  <c r="AS263" i="1"/>
  <c r="AS262" i="1"/>
  <c r="AS257" i="1"/>
  <c r="L257" i="1"/>
  <c r="AJ257" i="1" s="1"/>
  <c r="AS256" i="1"/>
  <c r="AS255" i="1"/>
  <c r="AS254" i="1"/>
  <c r="AS253" i="1"/>
  <c r="AS252" i="1"/>
  <c r="AS251" i="1"/>
  <c r="AS247" i="1"/>
  <c r="AS246" i="1"/>
  <c r="L246" i="1"/>
  <c r="AJ245" i="1" s="1"/>
  <c r="AS245" i="1"/>
  <c r="AS244" i="1"/>
  <c r="AS243" i="1"/>
  <c r="AS242" i="1"/>
  <c r="AS241" i="1"/>
  <c r="AS240" i="1"/>
  <c r="L234" i="1"/>
  <c r="AJ234" i="1" s="1"/>
  <c r="AP228" i="1"/>
  <c r="AN228" i="1"/>
  <c r="AM228" i="1"/>
  <c r="AL228" i="1"/>
  <c r="AI228" i="1"/>
  <c r="AH228" i="1"/>
  <c r="AG228" i="1"/>
  <c r="AF228" i="1"/>
  <c r="AE228" i="1"/>
  <c r="AD228" i="1"/>
  <c r="AC228" i="1"/>
  <c r="AB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K228" i="1"/>
  <c r="J228" i="1"/>
  <c r="I228" i="1"/>
  <c r="H228" i="1"/>
  <c r="G228" i="1"/>
  <c r="F228" i="1"/>
  <c r="E228" i="1"/>
  <c r="D228" i="1"/>
  <c r="C228" i="1"/>
  <c r="L223" i="1"/>
  <c r="AJ223" i="1" s="1"/>
  <c r="AP217" i="1"/>
  <c r="AO217" i="1"/>
  <c r="AN217" i="1"/>
  <c r="AM217" i="1"/>
  <c r="AL217" i="1"/>
  <c r="AI217" i="1"/>
  <c r="AH217" i="1"/>
  <c r="AG217" i="1"/>
  <c r="AF217" i="1"/>
  <c r="AE217" i="1"/>
  <c r="AD217" i="1"/>
  <c r="AC217" i="1"/>
  <c r="AB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K217" i="1"/>
  <c r="J217" i="1"/>
  <c r="I217" i="1"/>
  <c r="H217" i="1"/>
  <c r="G217" i="1"/>
  <c r="F217" i="1"/>
  <c r="E217" i="1"/>
  <c r="D217" i="1"/>
  <c r="C217" i="1"/>
  <c r="L212" i="1"/>
  <c r="AJ212" i="1" s="1"/>
  <c r="AP206" i="1"/>
  <c r="AN206" i="1"/>
  <c r="AL206" i="1"/>
  <c r="AI206" i="1"/>
  <c r="AH206" i="1"/>
  <c r="AG206" i="1"/>
  <c r="AF206" i="1"/>
  <c r="AE206" i="1"/>
  <c r="AD206" i="1"/>
  <c r="AC206" i="1"/>
  <c r="AB206" i="1"/>
  <c r="AA206" i="1"/>
  <c r="Z206" i="1"/>
  <c r="X206" i="1"/>
  <c r="W206" i="1"/>
  <c r="V206" i="1"/>
  <c r="U206" i="1"/>
  <c r="T206" i="1"/>
  <c r="S206" i="1"/>
  <c r="R206" i="1"/>
  <c r="Q206" i="1"/>
  <c r="P206" i="1"/>
  <c r="O206" i="1"/>
  <c r="N206" i="1"/>
  <c r="K206" i="1"/>
  <c r="J206" i="1"/>
  <c r="I206" i="1"/>
  <c r="H206" i="1"/>
  <c r="G206" i="1"/>
  <c r="F206" i="1"/>
  <c r="E206" i="1"/>
  <c r="C206" i="1"/>
  <c r="AM205" i="1"/>
  <c r="AN205" i="1" s="1"/>
  <c r="AO205" i="1" s="1"/>
  <c r="AP205" i="1" s="1"/>
  <c r="AQ205" i="1" s="1"/>
  <c r="O205" i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AG205" i="1" s="1"/>
  <c r="AH205" i="1" s="1"/>
  <c r="AI205" i="1" s="1"/>
  <c r="J205" i="1"/>
  <c r="K205" i="1" s="1"/>
  <c r="D205" i="1"/>
  <c r="E205" i="1" s="1"/>
  <c r="F205" i="1" s="1"/>
  <c r="G205" i="1" s="1"/>
  <c r="H205" i="1" s="1"/>
  <c r="AS201" i="1"/>
  <c r="AS200" i="1"/>
  <c r="L200" i="1"/>
  <c r="AJ200" i="1" s="1"/>
  <c r="AS199" i="1"/>
  <c r="AS198" i="1"/>
  <c r="AS197" i="1"/>
  <c r="AS196" i="1"/>
  <c r="AS195" i="1"/>
  <c r="AS194" i="1"/>
  <c r="AP194" i="1"/>
  <c r="AO194" i="1"/>
  <c r="AN194" i="1"/>
  <c r="AM194" i="1"/>
  <c r="AL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V194" i="1"/>
  <c r="U194" i="1"/>
  <c r="T194" i="1"/>
  <c r="S194" i="1"/>
  <c r="R194" i="1"/>
  <c r="Q194" i="1"/>
  <c r="P194" i="1"/>
  <c r="O194" i="1"/>
  <c r="N194" i="1"/>
  <c r="K194" i="1"/>
  <c r="J194" i="1"/>
  <c r="I194" i="1"/>
  <c r="H194" i="1"/>
  <c r="G194" i="1"/>
  <c r="F194" i="1"/>
  <c r="E194" i="1"/>
  <c r="D194" i="1"/>
  <c r="C194" i="1"/>
  <c r="AS189" i="1"/>
  <c r="L189" i="1"/>
  <c r="AJ189" i="1" s="1"/>
  <c r="AS188" i="1"/>
  <c r="AS187" i="1"/>
  <c r="AS186" i="1"/>
  <c r="AS185" i="1"/>
  <c r="AS184" i="1"/>
  <c r="AS183" i="1"/>
  <c r="AP183" i="1"/>
  <c r="AO183" i="1"/>
  <c r="AN183" i="1"/>
  <c r="AM183" i="1"/>
  <c r="AL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V183" i="1"/>
  <c r="U183" i="1"/>
  <c r="T183" i="1"/>
  <c r="S183" i="1"/>
  <c r="R183" i="1"/>
  <c r="Q183" i="1"/>
  <c r="P183" i="1"/>
  <c r="O183" i="1"/>
  <c r="N183" i="1"/>
  <c r="K183" i="1"/>
  <c r="J183" i="1"/>
  <c r="I183" i="1"/>
  <c r="H183" i="1"/>
  <c r="G183" i="1"/>
  <c r="F183" i="1"/>
  <c r="E183" i="1"/>
  <c r="D183" i="1"/>
  <c r="C183" i="1"/>
  <c r="AS178" i="1"/>
  <c r="L178" i="1"/>
  <c r="AJ177" i="1" s="1"/>
  <c r="AS177" i="1"/>
  <c r="AS176" i="1"/>
  <c r="AS175" i="1"/>
  <c r="AS174" i="1"/>
  <c r="AS173" i="1"/>
  <c r="AS172" i="1"/>
  <c r="AP172" i="1"/>
  <c r="AO172" i="1"/>
  <c r="AN172" i="1"/>
  <c r="AM172" i="1"/>
  <c r="AL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V172" i="1"/>
  <c r="U172" i="1"/>
  <c r="T172" i="1"/>
  <c r="S172" i="1"/>
  <c r="R172" i="1"/>
  <c r="Q172" i="1"/>
  <c r="P172" i="1"/>
  <c r="O172" i="1"/>
  <c r="N172" i="1"/>
  <c r="K172" i="1"/>
  <c r="J172" i="1"/>
  <c r="I172" i="1"/>
  <c r="H172" i="1"/>
  <c r="G172" i="1"/>
  <c r="F172" i="1"/>
  <c r="E172" i="1"/>
  <c r="D172" i="1"/>
  <c r="C172" i="1"/>
  <c r="AM171" i="1"/>
  <c r="AN171" i="1" s="1"/>
  <c r="AO171" i="1" s="1"/>
  <c r="AP171" i="1" s="1"/>
  <c r="AQ171" i="1" s="1"/>
  <c r="O171" i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AG171" i="1" s="1"/>
  <c r="AH171" i="1" s="1"/>
  <c r="AI171" i="1" s="1"/>
  <c r="J171" i="1"/>
  <c r="K171" i="1" s="1"/>
  <c r="D171" i="1"/>
  <c r="E171" i="1" s="1"/>
  <c r="F171" i="1" s="1"/>
  <c r="G171" i="1" s="1"/>
  <c r="H171" i="1" s="1"/>
  <c r="AS166" i="1"/>
  <c r="L166" i="1"/>
  <c r="AJ166" i="1" s="1"/>
  <c r="AS165" i="1"/>
  <c r="AS164" i="1"/>
  <c r="AS163" i="1"/>
  <c r="AS162" i="1"/>
  <c r="AS161" i="1"/>
  <c r="AS160" i="1"/>
  <c r="AP160" i="1"/>
  <c r="AO160" i="1"/>
  <c r="AN160" i="1"/>
  <c r="AM160" i="1"/>
  <c r="AL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V160" i="1"/>
  <c r="U160" i="1"/>
  <c r="T160" i="1"/>
  <c r="S160" i="1"/>
  <c r="R160" i="1"/>
  <c r="Q160" i="1"/>
  <c r="P160" i="1"/>
  <c r="O160" i="1"/>
  <c r="N160" i="1"/>
  <c r="K160" i="1"/>
  <c r="J160" i="1"/>
  <c r="I160" i="1"/>
  <c r="H160" i="1"/>
  <c r="G160" i="1"/>
  <c r="F160" i="1"/>
  <c r="E160" i="1"/>
  <c r="D160" i="1"/>
  <c r="C160" i="1"/>
  <c r="AS155" i="1"/>
  <c r="L155" i="1"/>
  <c r="AJ155" i="1" s="1"/>
  <c r="AS154" i="1"/>
  <c r="AS153" i="1"/>
  <c r="AS152" i="1"/>
  <c r="AS151" i="1"/>
  <c r="AS150" i="1"/>
  <c r="AS149" i="1"/>
  <c r="AO149" i="1"/>
  <c r="AN149" i="1"/>
  <c r="AM149" i="1"/>
  <c r="AL149" i="1"/>
  <c r="AI149" i="1"/>
  <c r="AH149" i="1"/>
  <c r="AG149" i="1"/>
  <c r="AF149" i="1"/>
  <c r="AE149" i="1"/>
  <c r="AD149" i="1"/>
  <c r="AC149" i="1"/>
  <c r="AB149" i="1"/>
  <c r="AA149" i="1"/>
  <c r="Z149" i="1"/>
  <c r="X149" i="1"/>
  <c r="V149" i="1"/>
  <c r="U149" i="1"/>
  <c r="T149" i="1"/>
  <c r="S149" i="1"/>
  <c r="R149" i="1"/>
  <c r="Q149" i="1"/>
  <c r="P149" i="1"/>
  <c r="O149" i="1"/>
  <c r="N149" i="1"/>
  <c r="K149" i="1"/>
  <c r="J149" i="1"/>
  <c r="I149" i="1"/>
  <c r="H149" i="1"/>
  <c r="G149" i="1"/>
  <c r="F149" i="1"/>
  <c r="E149" i="1"/>
  <c r="D149" i="1"/>
  <c r="C149" i="1"/>
  <c r="AS145" i="1"/>
  <c r="AS144" i="1"/>
  <c r="L144" i="1"/>
  <c r="AJ143" i="1" s="1"/>
  <c r="AS143" i="1"/>
  <c r="AS142" i="1"/>
  <c r="AS141" i="1"/>
  <c r="AS140" i="1"/>
  <c r="AS139" i="1"/>
  <c r="AS138" i="1"/>
  <c r="AP138" i="1"/>
  <c r="AO138" i="1"/>
  <c r="AN138" i="1"/>
  <c r="AM138" i="1"/>
  <c r="AL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K138" i="1"/>
  <c r="J138" i="1"/>
  <c r="I138" i="1"/>
  <c r="H138" i="1"/>
  <c r="G138" i="1"/>
  <c r="F138" i="1"/>
  <c r="E138" i="1"/>
  <c r="D138" i="1"/>
  <c r="C138" i="1"/>
  <c r="AM137" i="1"/>
  <c r="AN137" i="1" s="1"/>
  <c r="AO137" i="1" s="1"/>
  <c r="AP137" i="1" s="1"/>
  <c r="AQ137" i="1" s="1"/>
  <c r="O137" i="1"/>
  <c r="P137" i="1" s="1"/>
  <c r="Q137" i="1" s="1"/>
  <c r="R137" i="1" s="1"/>
  <c r="S137" i="1" s="1"/>
  <c r="T137" i="1" s="1"/>
  <c r="U137" i="1" s="1"/>
  <c r="V137" i="1" s="1"/>
  <c r="W137" i="1" s="1"/>
  <c r="X137" i="1" s="1"/>
  <c r="Y137" i="1" s="1"/>
  <c r="Z137" i="1" s="1"/>
  <c r="AA137" i="1" s="1"/>
  <c r="AB137" i="1" s="1"/>
  <c r="AC137" i="1" s="1"/>
  <c r="AD137" i="1" s="1"/>
  <c r="AE137" i="1" s="1"/>
  <c r="AF137" i="1" s="1"/>
  <c r="AG137" i="1" s="1"/>
  <c r="AH137" i="1" s="1"/>
  <c r="AI137" i="1" s="1"/>
  <c r="J137" i="1"/>
  <c r="K137" i="1" s="1"/>
  <c r="D137" i="1"/>
  <c r="E137" i="1" s="1"/>
  <c r="F137" i="1" s="1"/>
  <c r="G137" i="1" s="1"/>
  <c r="H137" i="1" s="1"/>
  <c r="AS132" i="1"/>
  <c r="L132" i="1"/>
  <c r="AJ132" i="1" s="1"/>
  <c r="AS131" i="1"/>
  <c r="AS130" i="1"/>
  <c r="AS129" i="1"/>
  <c r="AS128" i="1"/>
  <c r="AS127" i="1"/>
  <c r="AS126" i="1"/>
  <c r="AP126" i="1"/>
  <c r="AO126" i="1"/>
  <c r="AN126" i="1"/>
  <c r="AM126" i="1"/>
  <c r="AL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K126" i="1"/>
  <c r="J126" i="1"/>
  <c r="I126" i="1"/>
  <c r="H126" i="1"/>
  <c r="G126" i="1"/>
  <c r="F126" i="1"/>
  <c r="E126" i="1"/>
  <c r="D126" i="1"/>
  <c r="C126" i="1"/>
  <c r="AS121" i="1"/>
  <c r="L121" i="1"/>
  <c r="AJ121" i="1" s="1"/>
  <c r="AS120" i="1"/>
  <c r="AS119" i="1"/>
  <c r="AS117" i="1"/>
  <c r="AS116" i="1"/>
  <c r="AS115" i="1"/>
  <c r="AP115" i="1"/>
  <c r="AO115" i="1"/>
  <c r="AN115" i="1"/>
  <c r="AM115" i="1"/>
  <c r="AL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K115" i="1"/>
  <c r="J115" i="1"/>
  <c r="I115" i="1"/>
  <c r="H115" i="1"/>
  <c r="G115" i="1"/>
  <c r="F115" i="1"/>
  <c r="E115" i="1"/>
  <c r="D115" i="1"/>
  <c r="C115" i="1"/>
  <c r="AS111" i="1"/>
  <c r="AS110" i="1"/>
  <c r="L110" i="1"/>
  <c r="AJ109" i="1" s="1"/>
  <c r="AS109" i="1"/>
  <c r="AS108" i="1"/>
  <c r="AS107" i="1"/>
  <c r="AS106" i="1"/>
  <c r="AS105" i="1"/>
  <c r="AS104" i="1"/>
  <c r="AP104" i="1"/>
  <c r="AO104" i="1"/>
  <c r="AN104" i="1"/>
  <c r="AM104" i="1"/>
  <c r="AL104" i="1"/>
  <c r="AI104" i="1"/>
  <c r="AH104" i="1"/>
  <c r="AG104" i="1"/>
  <c r="AF104" i="1"/>
  <c r="AE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K104" i="1"/>
  <c r="J104" i="1"/>
  <c r="I104" i="1"/>
  <c r="H104" i="1"/>
  <c r="G104" i="1"/>
  <c r="F104" i="1"/>
  <c r="E104" i="1"/>
  <c r="D104" i="1"/>
  <c r="C104" i="1"/>
  <c r="AM103" i="1"/>
  <c r="AN103" i="1" s="1"/>
  <c r="AO103" i="1" s="1"/>
  <c r="AP103" i="1" s="1"/>
  <c r="AQ103" i="1" s="1"/>
  <c r="O103" i="1"/>
  <c r="P103" i="1" s="1"/>
  <c r="Q103" i="1" s="1"/>
  <c r="R103" i="1" s="1"/>
  <c r="S103" i="1" s="1"/>
  <c r="T103" i="1" s="1"/>
  <c r="U103" i="1" s="1"/>
  <c r="V103" i="1" s="1"/>
  <c r="W103" i="1" s="1"/>
  <c r="X103" i="1" s="1"/>
  <c r="Y103" i="1" s="1"/>
  <c r="Z103" i="1" s="1"/>
  <c r="AA103" i="1" s="1"/>
  <c r="AB103" i="1" s="1"/>
  <c r="AC103" i="1" s="1"/>
  <c r="AD103" i="1" s="1"/>
  <c r="AE103" i="1" s="1"/>
  <c r="AF103" i="1" s="1"/>
  <c r="AG103" i="1" s="1"/>
  <c r="AH103" i="1" s="1"/>
  <c r="AI103" i="1" s="1"/>
  <c r="J103" i="1"/>
  <c r="K103" i="1" s="1"/>
  <c r="D103" i="1"/>
  <c r="E103" i="1" s="1"/>
  <c r="F103" i="1" s="1"/>
  <c r="G103" i="1" s="1"/>
  <c r="H103" i="1" s="1"/>
  <c r="AS98" i="1"/>
  <c r="L98" i="1"/>
  <c r="AJ98" i="1" s="1"/>
  <c r="AS97" i="1"/>
  <c r="AS96" i="1"/>
  <c r="AS95" i="1"/>
  <c r="AS94" i="1"/>
  <c r="AS93" i="1"/>
  <c r="AS92" i="1"/>
  <c r="AP92" i="1"/>
  <c r="AO92" i="1"/>
  <c r="AN92" i="1"/>
  <c r="AM92" i="1"/>
  <c r="AL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K92" i="1"/>
  <c r="J92" i="1"/>
  <c r="I92" i="1"/>
  <c r="H92" i="1"/>
  <c r="G92" i="1"/>
  <c r="F92" i="1"/>
  <c r="E92" i="1"/>
  <c r="D92" i="1"/>
  <c r="C92" i="1"/>
  <c r="AS87" i="1"/>
  <c r="L87" i="1"/>
  <c r="AJ87" i="1" s="1"/>
  <c r="AS86" i="1"/>
  <c r="AS85" i="1"/>
  <c r="AS84" i="1"/>
  <c r="AS83" i="1"/>
  <c r="AS82" i="1"/>
  <c r="AS81" i="1"/>
  <c r="AP81" i="1"/>
  <c r="AO81" i="1"/>
  <c r="AN81" i="1"/>
  <c r="AM81" i="1"/>
  <c r="AL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K81" i="1"/>
  <c r="J81" i="1"/>
  <c r="I81" i="1"/>
  <c r="H81" i="1"/>
  <c r="G81" i="1"/>
  <c r="F81" i="1"/>
  <c r="E81" i="1"/>
  <c r="D81" i="1"/>
  <c r="C81" i="1"/>
  <c r="AS76" i="1"/>
  <c r="L76" i="1"/>
  <c r="AJ76" i="1" s="1"/>
  <c r="AS75" i="1"/>
  <c r="AS74" i="1"/>
  <c r="AS73" i="1"/>
  <c r="AS72" i="1"/>
  <c r="AS71" i="1"/>
  <c r="AS70" i="1"/>
  <c r="AP70" i="1"/>
  <c r="AO70" i="1"/>
  <c r="AN70" i="1"/>
  <c r="AM70" i="1"/>
  <c r="AL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K70" i="1"/>
  <c r="J70" i="1"/>
  <c r="I70" i="1"/>
  <c r="H70" i="1"/>
  <c r="G70" i="1"/>
  <c r="F70" i="1"/>
  <c r="E70" i="1"/>
  <c r="D70" i="1"/>
  <c r="C70" i="1"/>
  <c r="AM69" i="1"/>
  <c r="AN69" i="1" s="1"/>
  <c r="AO69" i="1" s="1"/>
  <c r="AP69" i="1" s="1"/>
  <c r="AQ69" i="1" s="1"/>
  <c r="P69" i="1"/>
  <c r="Q69" i="1" s="1"/>
  <c r="R69" i="1" s="1"/>
  <c r="S69" i="1" s="1"/>
  <c r="T69" i="1" s="1"/>
  <c r="U69" i="1" s="1"/>
  <c r="V69" i="1" s="1"/>
  <c r="W69" i="1" s="1"/>
  <c r="X69" i="1" s="1"/>
  <c r="Y69" i="1" s="1"/>
  <c r="Z69" i="1" s="1"/>
  <c r="AA69" i="1" s="1"/>
  <c r="AB69" i="1" s="1"/>
  <c r="AC69" i="1" s="1"/>
  <c r="AD69" i="1" s="1"/>
  <c r="AE69" i="1" s="1"/>
  <c r="AF69" i="1" s="1"/>
  <c r="AG69" i="1" s="1"/>
  <c r="AH69" i="1" s="1"/>
  <c r="AI69" i="1" s="1"/>
  <c r="O69" i="1"/>
  <c r="J69" i="1"/>
  <c r="K69" i="1" s="1"/>
  <c r="D69" i="1"/>
  <c r="E69" i="1" s="1"/>
  <c r="F69" i="1" s="1"/>
  <c r="G69" i="1" s="1"/>
  <c r="H69" i="1" s="1"/>
  <c r="AS64" i="1"/>
  <c r="L64" i="1"/>
  <c r="AJ64" i="1" s="1"/>
  <c r="AS63" i="1"/>
  <c r="AS62" i="1"/>
  <c r="AS61" i="1"/>
  <c r="AS60" i="1"/>
  <c r="AS59" i="1"/>
  <c r="AS58" i="1"/>
  <c r="AP58" i="1"/>
  <c r="AO58" i="1"/>
  <c r="AN58" i="1"/>
  <c r="AM58" i="1"/>
  <c r="AL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K58" i="1"/>
  <c r="J58" i="1"/>
  <c r="I58" i="1"/>
  <c r="H58" i="1"/>
  <c r="G58" i="1"/>
  <c r="F58" i="1"/>
  <c r="E58" i="1"/>
  <c r="D58" i="1"/>
  <c r="C58" i="1"/>
  <c r="AS53" i="1"/>
  <c r="L53" i="1"/>
  <c r="AJ53" i="1" s="1"/>
  <c r="AS52" i="1"/>
  <c r="AS51" i="1"/>
  <c r="AS50" i="1"/>
  <c r="AS49" i="1"/>
  <c r="AS48" i="1"/>
  <c r="AP47" i="1"/>
  <c r="AO47" i="1"/>
  <c r="AN47" i="1"/>
  <c r="AM47" i="1"/>
  <c r="AL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K47" i="1"/>
  <c r="J47" i="1"/>
  <c r="I47" i="1"/>
  <c r="H47" i="1"/>
  <c r="G47" i="1"/>
  <c r="F47" i="1"/>
  <c r="E47" i="1"/>
  <c r="D47" i="1"/>
  <c r="C47" i="1"/>
  <c r="L42" i="1"/>
  <c r="AJ42" i="1" s="1"/>
  <c r="AP36" i="1"/>
  <c r="AO36" i="1"/>
  <c r="AN36" i="1"/>
  <c r="AM36" i="1"/>
  <c r="AL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K36" i="1"/>
  <c r="J36" i="1"/>
  <c r="I36" i="1"/>
  <c r="H36" i="1"/>
  <c r="G36" i="1"/>
  <c r="F36" i="1"/>
  <c r="E36" i="1"/>
  <c r="D36" i="1"/>
  <c r="C36" i="1"/>
  <c r="AM35" i="1"/>
  <c r="AN35" i="1" s="1"/>
  <c r="AO35" i="1" s="1"/>
  <c r="AP35" i="1" s="1"/>
  <c r="AQ35" i="1" s="1"/>
  <c r="O35" i="1"/>
  <c r="P35" i="1" s="1"/>
  <c r="Q35" i="1" s="1"/>
  <c r="R35" i="1" s="1"/>
  <c r="S35" i="1" s="1"/>
  <c r="T35" i="1" s="1"/>
  <c r="U35" i="1" s="1"/>
  <c r="V35" i="1" s="1"/>
  <c r="W35" i="1" s="1"/>
  <c r="X35" i="1" s="1"/>
  <c r="Y35" i="1" s="1"/>
  <c r="Z35" i="1" s="1"/>
  <c r="AA35" i="1" s="1"/>
  <c r="AB35" i="1" s="1"/>
  <c r="AC35" i="1" s="1"/>
  <c r="AD35" i="1" s="1"/>
  <c r="AE35" i="1" s="1"/>
  <c r="AF35" i="1" s="1"/>
  <c r="AG35" i="1" s="1"/>
  <c r="AH35" i="1" s="1"/>
  <c r="AI35" i="1" s="1"/>
  <c r="J35" i="1"/>
  <c r="K35" i="1" s="1"/>
  <c r="D35" i="1"/>
  <c r="E35" i="1" s="1"/>
  <c r="F35" i="1" s="1"/>
  <c r="G35" i="1" s="1"/>
  <c r="H35" i="1" s="1"/>
  <c r="A35" i="1"/>
  <c r="L35" i="1" s="1"/>
  <c r="AJ35" i="1" s="1"/>
  <c r="AS30" i="1"/>
  <c r="L30" i="1"/>
  <c r="AJ30" i="1" s="1"/>
  <c r="AS29" i="1"/>
  <c r="AS28" i="1"/>
  <c r="AS27" i="1"/>
  <c r="AS26" i="1"/>
  <c r="AS25" i="1"/>
  <c r="AS24" i="1"/>
  <c r="AP24" i="1"/>
  <c r="AO24" i="1"/>
  <c r="AN24" i="1"/>
  <c r="AM24" i="1"/>
  <c r="AL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K24" i="1"/>
  <c r="J24" i="1"/>
  <c r="I24" i="1"/>
  <c r="H24" i="1"/>
  <c r="G24" i="1"/>
  <c r="F24" i="1"/>
  <c r="E24" i="1"/>
  <c r="D24" i="1"/>
  <c r="C24" i="1"/>
  <c r="AS19" i="1"/>
  <c r="L19" i="1"/>
  <c r="AJ19" i="1" s="1"/>
  <c r="AS18" i="1"/>
  <c r="AS17" i="1"/>
  <c r="AS16" i="1"/>
  <c r="AS15" i="1"/>
  <c r="AS14" i="1"/>
  <c r="AS13" i="1"/>
  <c r="AP13" i="1"/>
  <c r="AO13" i="1"/>
  <c r="AN13" i="1"/>
  <c r="AM13" i="1"/>
  <c r="AL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K13" i="1"/>
  <c r="J13" i="1"/>
  <c r="I13" i="1"/>
  <c r="H13" i="1"/>
  <c r="G13" i="1"/>
  <c r="F13" i="1"/>
  <c r="D13" i="1"/>
  <c r="C13" i="1"/>
  <c r="A13" i="1"/>
  <c r="A24" i="1" s="1"/>
  <c r="AS9" i="1"/>
  <c r="AS8" i="1"/>
  <c r="L8" i="1"/>
  <c r="AJ8" i="1" s="1"/>
  <c r="AS6" i="1"/>
  <c r="AS5" i="1"/>
  <c r="AS4" i="1"/>
  <c r="AS3" i="1"/>
  <c r="AP2" i="1"/>
  <c r="AO2" i="1"/>
  <c r="AN2" i="1"/>
  <c r="AM2" i="1"/>
  <c r="AL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K2" i="1"/>
  <c r="J2" i="1"/>
  <c r="I2" i="1"/>
  <c r="H2" i="1"/>
  <c r="G2" i="1"/>
  <c r="F2" i="1"/>
  <c r="E2" i="1"/>
  <c r="D2" i="1"/>
  <c r="C2" i="1"/>
  <c r="O1" i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D1" i="1"/>
  <c r="E1" i="1" s="1"/>
  <c r="F1" i="1" s="1"/>
  <c r="G1" i="1" s="1"/>
  <c r="H1" i="1" s="1"/>
  <c r="AL1" i="1" s="1"/>
  <c r="AM1" i="1" s="1"/>
  <c r="AN1" i="1" s="1"/>
  <c r="AO1" i="1" s="1"/>
  <c r="AP1" i="1" s="1"/>
  <c r="AQ1" i="1" s="1"/>
  <c r="I1" i="1" s="1"/>
  <c r="J1" i="1" s="1"/>
  <c r="K1" i="1" s="1"/>
  <c r="L24" i="1" l="1"/>
  <c r="AJ24" i="1" s="1"/>
  <c r="A47" i="1"/>
  <c r="L13" i="1"/>
  <c r="AJ13" i="1" s="1"/>
  <c r="L47" i="1" l="1"/>
  <c r="AJ47" i="1" s="1"/>
  <c r="A58" i="1"/>
  <c r="L58" i="1" l="1"/>
  <c r="AJ58" i="1" s="1"/>
  <c r="A69" i="1"/>
  <c r="L69" i="1" l="1"/>
  <c r="AJ69" i="1" s="1"/>
  <c r="A81" i="1"/>
  <c r="A92" i="1" l="1"/>
  <c r="L81" i="1"/>
  <c r="AJ81" i="1" s="1"/>
  <c r="A103" i="1" l="1"/>
  <c r="L92" i="1"/>
  <c r="AJ92" i="1" s="1"/>
  <c r="A115" i="1" l="1"/>
  <c r="L115" i="1" s="1"/>
  <c r="AJ115" i="1" s="1"/>
  <c r="A126" i="1"/>
  <c r="L103" i="1"/>
  <c r="AJ103" i="1" s="1"/>
  <c r="A137" i="1" l="1"/>
  <c r="L126" i="1"/>
  <c r="AJ126" i="1" s="1"/>
  <c r="A149" i="1" l="1"/>
  <c r="A160" i="1" s="1"/>
  <c r="A171" i="1" s="1"/>
  <c r="L137" i="1"/>
  <c r="AJ137" i="1" l="1"/>
  <c r="L149" i="1"/>
  <c r="A183" i="1"/>
  <c r="A194" i="1" s="1"/>
  <c r="L171" i="1"/>
  <c r="A205" i="1" l="1"/>
  <c r="L194" i="1"/>
  <c r="AJ194" i="1" s="1"/>
  <c r="L183" i="1"/>
  <c r="AJ183" i="1" s="1"/>
  <c r="AJ171" i="1"/>
  <c r="L160" i="1"/>
  <c r="AJ149" i="1"/>
  <c r="AJ160" i="1" s="1"/>
  <c r="A217" i="1" l="1"/>
  <c r="A228" i="1" s="1"/>
  <c r="A239" i="1" s="1"/>
  <c r="L205" i="1"/>
  <c r="L217" i="1" l="1"/>
  <c r="AJ205" i="1"/>
  <c r="A251" i="1"/>
  <c r="A262" i="1" s="1"/>
  <c r="L239" i="1"/>
  <c r="L251" i="1" l="1"/>
  <c r="L262" i="1" s="1"/>
  <c r="AJ239" i="1"/>
  <c r="AJ251" i="1" s="1"/>
  <c r="AJ262" i="1" s="1"/>
  <c r="L228" i="1"/>
  <c r="AJ228" i="1" s="1"/>
  <c r="AJ217" i="1"/>
</calcChain>
</file>

<file path=xl/sharedStrings.xml><?xml version="1.0" encoding="utf-8"?>
<sst xmlns="http://schemas.openxmlformats.org/spreadsheetml/2006/main" count="835" uniqueCount="44">
  <si>
    <t>Fecha</t>
  </si>
  <si>
    <t>A evaluar.</t>
  </si>
  <si>
    <t xml:space="preserve">% Eficiencia </t>
  </si>
  <si>
    <t>Paros de trama</t>
  </si>
  <si>
    <t>M. P.T</t>
  </si>
  <si>
    <t xml:space="preserve">Paros de urdimbre </t>
  </si>
  <si>
    <t>M.P.U</t>
  </si>
  <si>
    <t xml:space="preserve">Paros de Rizo </t>
  </si>
  <si>
    <t>M.P.U.T.</t>
  </si>
  <si>
    <t>MA 1T</t>
  </si>
  <si>
    <t>M.P.R.</t>
  </si>
  <si>
    <t xml:space="preserve">Paros Otros </t>
  </si>
  <si>
    <t>M.P.O</t>
  </si>
  <si>
    <t>Marcas</t>
  </si>
  <si>
    <t>RPM</t>
  </si>
  <si>
    <t xml:space="preserve">DESARROLLO MODELO </t>
  </si>
  <si>
    <t>MA 2T</t>
  </si>
  <si>
    <t>L</t>
  </si>
  <si>
    <t>MA 3T</t>
  </si>
  <si>
    <t>MI 1T</t>
  </si>
  <si>
    <t>MI 2T</t>
  </si>
  <si>
    <t>MI 3T</t>
  </si>
  <si>
    <t>JU1T</t>
  </si>
  <si>
    <t>JU2T</t>
  </si>
  <si>
    <t>JU3T</t>
  </si>
  <si>
    <t>REPASO</t>
  </si>
  <si>
    <t>VI 1T</t>
  </si>
  <si>
    <t>VI 2T</t>
  </si>
  <si>
    <t>VI 3T</t>
  </si>
  <si>
    <t>SA 1T</t>
  </si>
  <si>
    <t>REFACCION</t>
  </si>
  <si>
    <t>MANTENIMIENTO</t>
  </si>
  <si>
    <t>SA 2T</t>
  </si>
  <si>
    <t>SA 3T</t>
  </si>
  <si>
    <t xml:space="preserve">                       </t>
  </si>
  <si>
    <t>DO 1T</t>
  </si>
  <si>
    <t>DO 2T</t>
  </si>
  <si>
    <t>DO 3T</t>
  </si>
  <si>
    <t>CALIDAD / FM</t>
  </si>
  <si>
    <t>CALIDAD</t>
  </si>
  <si>
    <t>LU 1T</t>
  </si>
  <si>
    <t>FM SIST ALIMENT</t>
  </si>
  <si>
    <t>LU 2T</t>
  </si>
  <si>
    <t>LU 3T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</si>
</sst>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164" fontId="0" fillId="2" borderId="0" xfId="0" applyNumberFormat="1" applyFill="1" applyAlignment="1">
      <alignment vertical="center"/>
    </xf>
    <xf numFmtId="164" fontId="0" fillId="3" borderId="1" xfId="0" applyNumberFormat="1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0" xfId="0" applyAlignment="1">
      <alignment vertical="center"/>
    </xf>
    <xf numFmtId="14" fontId="1" fillId="4" borderId="2" xfId="0" applyNumberFormat="1" applyFont="1" applyFill="1" applyBorder="1" applyAlignment="1">
      <alignment horizontal="center" textRotation="45"/>
    </xf>
    <xf numFmtId="0" fontId="0" fillId="3" borderId="3" xfId="0" applyFill="1" applyBorder="1"/>
    <xf numFmtId="0" fontId="0" fillId="0" borderId="4" xfId="0" applyBorder="1"/>
    <xf numFmtId="0" fontId="0" fillId="0" borderId="5" xfId="0" applyBorder="1"/>
    <xf numFmtId="1" fontId="0" fillId="0" borderId="6" xfId="0" applyNumberFormat="1" applyBorder="1"/>
    <xf numFmtId="0" fontId="2" fillId="3" borderId="3" xfId="0" applyFont="1" applyFill="1" applyBorder="1"/>
    <xf numFmtId="1" fontId="0" fillId="0" borderId="4" xfId="0" applyNumberFormat="1" applyBorder="1"/>
    <xf numFmtId="1" fontId="0" fillId="0" borderId="5" xfId="0" applyNumberFormat="1" applyBorder="1"/>
    <xf numFmtId="0" fontId="0" fillId="0" borderId="6" xfId="0" applyBorder="1"/>
    <xf numFmtId="14" fontId="1" fillId="4" borderId="7" xfId="0" applyNumberFormat="1" applyFont="1" applyFill="1" applyBorder="1" applyAlignment="1">
      <alignment horizontal="center" textRotation="45"/>
    </xf>
    <xf numFmtId="0" fontId="0" fillId="5" borderId="1" xfId="0" applyFill="1" applyBorder="1"/>
    <xf numFmtId="0" fontId="0" fillId="0" borderId="1" xfId="0" applyBorder="1"/>
    <xf numFmtId="0" fontId="0" fillId="6" borderId="0" xfId="0" applyFill="1"/>
    <xf numFmtId="0" fontId="0" fillId="0" borderId="8" xfId="0" applyBorder="1"/>
    <xf numFmtId="0" fontId="2" fillId="3" borderId="1" xfId="0" applyFont="1" applyFill="1" applyBorder="1"/>
    <xf numFmtId="0" fontId="0" fillId="6" borderId="1" xfId="0" applyFill="1" applyBorder="1"/>
    <xf numFmtId="0" fontId="0" fillId="5" borderId="9" xfId="0" applyFill="1" applyBorder="1"/>
    <xf numFmtId="0" fontId="0" fillId="3" borderId="1" xfId="0" applyFill="1" applyBorder="1"/>
    <xf numFmtId="14" fontId="3" fillId="4" borderId="7" xfId="0" applyNumberFormat="1" applyFont="1" applyFill="1" applyBorder="1" applyAlignment="1">
      <alignment horizontal="center" textRotation="45"/>
    </xf>
    <xf numFmtId="14" fontId="4" fillId="4" borderId="7" xfId="0" applyNumberFormat="1" applyFont="1" applyFill="1" applyBorder="1" applyAlignment="1">
      <alignment horizontal="center" textRotation="45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7" xfId="0" applyBorder="1"/>
    <xf numFmtId="0" fontId="0" fillId="3" borderId="9" xfId="0" applyFill="1" applyBorder="1"/>
    <xf numFmtId="0" fontId="0" fillId="0" borderId="5" xfId="0" applyBorder="1" applyAlignment="1">
      <alignment horizontal="center" vertical="center" textRotation="255" wrapText="1"/>
    </xf>
    <xf numFmtId="0" fontId="0" fillId="0" borderId="0" xfId="0" applyAlignment="1">
      <alignment horizontal="center" vertical="center" textRotation="255" wrapText="1"/>
    </xf>
    <xf numFmtId="0" fontId="0" fillId="6" borderId="8" xfId="0" applyFill="1" applyBorder="1"/>
    <xf numFmtId="0" fontId="0" fillId="0" borderId="11" xfId="0" applyBorder="1" applyAlignment="1">
      <alignment horizontal="center" vertical="center" textRotation="255" wrapText="1"/>
    </xf>
    <xf numFmtId="14" fontId="3" fillId="4" borderId="13" xfId="0" applyNumberFormat="1" applyFont="1" applyFill="1" applyBorder="1" applyAlignment="1">
      <alignment horizontal="center" textRotation="45"/>
    </xf>
    <xf numFmtId="0" fontId="0" fillId="3" borderId="14" xfId="0" applyFill="1" applyBorder="1"/>
    <xf numFmtId="14" fontId="1" fillId="5" borderId="2" xfId="0" applyNumberFormat="1" applyFont="1" applyFill="1" applyBorder="1" applyAlignment="1">
      <alignment horizontal="center" textRotation="45"/>
    </xf>
    <xf numFmtId="0" fontId="0" fillId="3" borderId="15" xfId="0" applyFill="1" applyBorder="1"/>
    <xf numFmtId="0" fontId="0" fillId="3" borderId="16" xfId="0" applyFill="1" applyBorder="1"/>
    <xf numFmtId="0" fontId="2" fillId="3" borderId="17" xfId="0" applyFont="1" applyFill="1" applyBorder="1"/>
    <xf numFmtId="0" fontId="0" fillId="3" borderId="18" xfId="0" applyFill="1" applyBorder="1"/>
    <xf numFmtId="14" fontId="1" fillId="5" borderId="7" xfId="0" applyNumberFormat="1" applyFont="1" applyFill="1" applyBorder="1" applyAlignment="1">
      <alignment horizontal="center" textRotation="45"/>
    </xf>
    <xf numFmtId="0" fontId="2" fillId="3" borderId="9" xfId="0" applyFont="1" applyFill="1" applyBorder="1"/>
    <xf numFmtId="14" fontId="3" fillId="5" borderId="7" xfId="0" applyNumberFormat="1" applyFont="1" applyFill="1" applyBorder="1" applyAlignment="1">
      <alignment horizontal="center" textRotation="45"/>
    </xf>
    <xf numFmtId="0" fontId="0" fillId="0" borderId="13" xfId="0" applyBorder="1"/>
    <xf numFmtId="0" fontId="0" fillId="0" borderId="14" xfId="0" applyBorder="1"/>
    <xf numFmtId="1" fontId="0" fillId="0" borderId="0" xfId="0" applyNumberFormat="1"/>
    <xf numFmtId="14" fontId="1" fillId="4" borderId="7" xfId="0" applyNumberFormat="1" applyFont="1" applyFill="1" applyBorder="1" applyAlignment="1">
      <alignment horizontal="center" textRotation="45"/>
    </xf>
    <xf numFmtId="14" fontId="3" fillId="4" borderId="19" xfId="0" applyNumberFormat="1" applyFont="1" applyFill="1" applyBorder="1" applyAlignment="1">
      <alignment horizontal="center" textRotation="45"/>
    </xf>
    <xf numFmtId="14" fontId="1" fillId="5" borderId="0" xfId="0" applyNumberFormat="1" applyFont="1" applyFill="1" applyAlignment="1">
      <alignment horizontal="center" textRotation="45"/>
    </xf>
    <xf numFmtId="1" fontId="0" fillId="0" borderId="5" xfId="0" applyNumberFormat="1" applyBorder="1" applyAlignment="1">
      <alignment horizontal="center" vertical="center" textRotation="255"/>
    </xf>
    <xf numFmtId="1" fontId="0" fillId="0" borderId="0" xfId="0" applyNumberFormat="1" applyAlignment="1">
      <alignment horizontal="center" vertical="center" textRotation="255"/>
    </xf>
    <xf numFmtId="14" fontId="3" fillId="5" borderId="0" xfId="0" applyNumberFormat="1" applyFont="1" applyFill="1" applyAlignment="1">
      <alignment horizontal="center" textRotation="45"/>
    </xf>
    <xf numFmtId="1" fontId="0" fillId="0" borderId="11" xfId="0" applyNumberFormat="1" applyBorder="1" applyAlignment="1">
      <alignment horizontal="center" vertical="center" textRotation="255"/>
    </xf>
    <xf numFmtId="14" fontId="1" fillId="7" borderId="2" xfId="0" applyNumberFormat="1" applyFont="1" applyFill="1" applyBorder="1" applyAlignment="1">
      <alignment horizontal="center" textRotation="45"/>
    </xf>
    <xf numFmtId="14" fontId="1" fillId="7" borderId="7" xfId="0" applyNumberFormat="1" applyFont="1" applyFill="1" applyBorder="1" applyAlignment="1">
      <alignment horizontal="center" textRotation="45"/>
    </xf>
    <xf numFmtId="14" fontId="3" fillId="7" borderId="7" xfId="0" applyNumberFormat="1" applyFont="1" applyFill="1" applyBorder="1" applyAlignment="1">
      <alignment horizontal="center" textRotation="45"/>
    </xf>
    <xf numFmtId="1" fontId="5" fillId="0" borderId="5" xfId="0" applyNumberFormat="1" applyFont="1" applyBorder="1" applyAlignment="1">
      <alignment horizontal="center" vertical="center" textRotation="255"/>
    </xf>
    <xf numFmtId="0" fontId="0" fillId="0" borderId="5" xfId="0" applyBorder="1" applyAlignment="1">
      <alignment horizontal="center" vertical="center" textRotation="255"/>
    </xf>
    <xf numFmtId="1" fontId="5" fillId="0" borderId="0" xfId="0" applyNumberFormat="1" applyFont="1" applyAlignment="1">
      <alignment horizontal="center" vertical="center" textRotation="255"/>
    </xf>
    <xf numFmtId="0" fontId="0" fillId="0" borderId="0" xfId="0" applyAlignment="1">
      <alignment horizontal="center" vertical="center" textRotation="255"/>
    </xf>
    <xf numFmtId="0" fontId="0" fillId="0" borderId="11" xfId="0" applyBorder="1" applyAlignment="1">
      <alignment horizontal="center" vertical="center" textRotation="255"/>
    </xf>
    <xf numFmtId="1" fontId="5" fillId="0" borderId="11" xfId="0" applyNumberFormat="1" applyFont="1" applyBorder="1" applyAlignment="1">
      <alignment horizontal="center" vertical="center" textRotation="255"/>
    </xf>
    <xf numFmtId="14" fontId="3" fillId="7" borderId="13" xfId="0" applyNumberFormat="1" applyFont="1" applyFill="1" applyBorder="1" applyAlignment="1">
      <alignment horizontal="center" textRotation="45"/>
    </xf>
    <xf numFmtId="0" fontId="2" fillId="3" borderId="14" xfId="0" applyFont="1" applyFill="1" applyBorder="1"/>
    <xf numFmtId="14" fontId="3" fillId="5" borderId="20" xfId="0" applyNumberFormat="1" applyFont="1" applyFill="1" applyBorder="1" applyAlignment="1">
      <alignment horizontal="center" textRotation="45"/>
    </xf>
    <xf numFmtId="0" fontId="0" fillId="3" borderId="21" xfId="0" applyFill="1" applyBorder="1"/>
    <xf numFmtId="0" fontId="2" fillId="3" borderId="21" xfId="0" applyFont="1" applyFill="1" applyBorder="1"/>
    <xf numFmtId="14" fontId="1" fillId="5" borderId="22" xfId="0" applyNumberFormat="1" applyFont="1" applyFill="1" applyBorder="1" applyAlignment="1">
      <alignment horizontal="center" textRotation="45"/>
    </xf>
    <xf numFmtId="14" fontId="1" fillId="5" borderId="5" xfId="0" applyNumberFormat="1" applyFont="1" applyFill="1" applyBorder="1" applyAlignment="1">
      <alignment horizontal="center" textRotation="45"/>
    </xf>
    <xf numFmtId="0" fontId="0" fillId="3" borderId="10" xfId="0" applyFill="1" applyBorder="1"/>
    <xf numFmtId="0" fontId="0" fillId="3" borderId="4" xfId="0" applyFill="1" applyBorder="1"/>
    <xf numFmtId="0" fontId="2" fillId="3" borderId="23" xfId="0" applyFont="1" applyFill="1" applyBorder="1"/>
    <xf numFmtId="14" fontId="3" fillId="5" borderId="13" xfId="0" applyNumberFormat="1" applyFont="1" applyFill="1" applyBorder="1" applyAlignment="1">
      <alignment horizontal="center" textRotation="45"/>
    </xf>
    <xf numFmtId="1" fontId="0" fillId="0" borderId="5" xfId="0" applyNumberFormat="1" applyBorder="1" applyAlignment="1">
      <alignment horizontal="center" vertical="center" textRotation="255" wrapText="1"/>
    </xf>
    <xf numFmtId="1" fontId="0" fillId="0" borderId="0" xfId="0" applyNumberFormat="1" applyAlignment="1">
      <alignment horizontal="center" vertical="center" textRotation="255" wrapText="1"/>
    </xf>
    <xf numFmtId="1" fontId="0" fillId="0" borderId="11" xfId="0" applyNumberFormat="1" applyBorder="1" applyAlignment="1">
      <alignment horizontal="center" vertical="center" textRotation="255" wrapText="1"/>
    </xf>
    <xf numFmtId="1" fontId="0" fillId="0" borderId="1" xfId="0" applyNumberFormat="1" applyBorder="1"/>
    <xf numFmtId="1" fontId="0" fillId="0" borderId="8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A5A01-BD0F-47EA-A3FA-A8F71F55AF6D}">
  <dimension ref="A1:AS272"/>
  <sheetViews>
    <sheetView tabSelected="1" workbookViewId="0">
      <selection sqref="A1:AQ272"/>
    </sheetView>
  </sheetViews>
  <sheetFormatPr baseColWidth="10" defaultRowHeight="14.4" x14ac:dyDescent="0.3"/>
  <sheetData>
    <row r="1" spans="1:45" ht="15" thickBot="1" x14ac:dyDescent="0.35">
      <c r="A1" s="1" t="s">
        <v>0</v>
      </c>
      <c r="B1" s="2" t="s">
        <v>1</v>
      </c>
      <c r="C1" s="3">
        <v>201</v>
      </c>
      <c r="D1" s="3">
        <f t="shared" ref="D1:H1" si="0">+C1+1</f>
        <v>202</v>
      </c>
      <c r="E1" s="3">
        <f t="shared" si="0"/>
        <v>203</v>
      </c>
      <c r="F1" s="3">
        <f t="shared" si="0"/>
        <v>204</v>
      </c>
      <c r="G1" s="3">
        <f>+F1+1</f>
        <v>205</v>
      </c>
      <c r="H1" s="3">
        <f t="shared" si="0"/>
        <v>206</v>
      </c>
      <c r="I1" s="3">
        <f>+AQ1+1</f>
        <v>213</v>
      </c>
      <c r="J1" s="3">
        <f>+I1+1</f>
        <v>214</v>
      </c>
      <c r="K1" s="3">
        <f>+J1+1</f>
        <v>215</v>
      </c>
      <c r="L1" s="4" t="s">
        <v>0</v>
      </c>
      <c r="M1" s="5" t="s">
        <v>1</v>
      </c>
      <c r="N1" s="3">
        <v>299</v>
      </c>
      <c r="O1" s="3">
        <f t="shared" ref="O1:AI1" si="1">+N1+1</f>
        <v>300</v>
      </c>
      <c r="P1" s="3">
        <f>+O1+1</f>
        <v>301</v>
      </c>
      <c r="Q1" s="3">
        <f t="shared" si="1"/>
        <v>302</v>
      </c>
      <c r="R1" s="3">
        <f t="shared" si="1"/>
        <v>303</v>
      </c>
      <c r="S1" s="3">
        <f t="shared" si="1"/>
        <v>304</v>
      </c>
      <c r="T1" s="3">
        <f t="shared" si="1"/>
        <v>305</v>
      </c>
      <c r="U1" s="3">
        <f t="shared" si="1"/>
        <v>306</v>
      </c>
      <c r="V1" s="3">
        <f>C12323+U1+1</f>
        <v>307</v>
      </c>
      <c r="W1" s="3">
        <f t="shared" si="1"/>
        <v>308</v>
      </c>
      <c r="X1" s="3">
        <f t="shared" si="1"/>
        <v>309</v>
      </c>
      <c r="Y1" s="3">
        <f>+X1+1</f>
        <v>310</v>
      </c>
      <c r="Z1" s="3">
        <f t="shared" si="1"/>
        <v>311</v>
      </c>
      <c r="AA1" s="3">
        <f t="shared" si="1"/>
        <v>312</v>
      </c>
      <c r="AB1" s="3">
        <f t="shared" si="1"/>
        <v>313</v>
      </c>
      <c r="AC1" s="3">
        <f>+AB1+1</f>
        <v>314</v>
      </c>
      <c r="AD1" s="3">
        <f t="shared" si="1"/>
        <v>315</v>
      </c>
      <c r="AE1" s="3">
        <f t="shared" si="1"/>
        <v>316</v>
      </c>
      <c r="AF1" s="3">
        <f t="shared" si="1"/>
        <v>317</v>
      </c>
      <c r="AG1" s="3">
        <f t="shared" si="1"/>
        <v>318</v>
      </c>
      <c r="AH1" s="3">
        <f t="shared" si="1"/>
        <v>319</v>
      </c>
      <c r="AI1" s="3">
        <f t="shared" si="1"/>
        <v>320</v>
      </c>
      <c r="AJ1" s="4" t="s">
        <v>0</v>
      </c>
      <c r="AK1" s="5" t="s">
        <v>1</v>
      </c>
      <c r="AL1" s="3">
        <f>+H1+1</f>
        <v>207</v>
      </c>
      <c r="AM1" s="3">
        <f>+AL1+1</f>
        <v>208</v>
      </c>
      <c r="AN1" s="3">
        <f>+AM1+1</f>
        <v>209</v>
      </c>
      <c r="AO1" s="3">
        <f>+AN1+1</f>
        <v>210</v>
      </c>
      <c r="AP1" s="3">
        <f>+AO1+1</f>
        <v>211</v>
      </c>
      <c r="AQ1" s="3">
        <f>+AP1+1</f>
        <v>212</v>
      </c>
      <c r="AR1" s="6"/>
      <c r="AS1" s="6"/>
    </row>
    <row r="2" spans="1:45" x14ac:dyDescent="0.3">
      <c r="A2" s="7">
        <v>46084</v>
      </c>
      <c r="B2" s="8" t="s">
        <v>2</v>
      </c>
      <c r="C2" s="9">
        <f t="shared" ref="C2:K2" si="2">(C11*100000)/(C12*60*8)</f>
        <v>89.775219298245617</v>
      </c>
      <c r="D2" s="10">
        <f t="shared" si="2"/>
        <v>83.056478405315616</v>
      </c>
      <c r="E2" s="10">
        <f t="shared" si="2"/>
        <v>91.56586021505376</v>
      </c>
      <c r="F2" s="10">
        <f t="shared" si="2"/>
        <v>90.793918918918919</v>
      </c>
      <c r="G2" s="10">
        <f t="shared" si="2"/>
        <v>75.081168831168824</v>
      </c>
      <c r="H2" s="10">
        <f t="shared" si="2"/>
        <v>83.786231884057969</v>
      </c>
      <c r="I2" s="10">
        <f t="shared" si="2"/>
        <v>78.575547866205312</v>
      </c>
      <c r="J2" s="10">
        <f t="shared" si="2"/>
        <v>91.145833333333329</v>
      </c>
      <c r="K2" s="11">
        <f t="shared" si="2"/>
        <v>86.399108138238574</v>
      </c>
      <c r="L2" s="7">
        <f>A2</f>
        <v>46084</v>
      </c>
      <c r="M2" s="12" t="s">
        <v>2</v>
      </c>
      <c r="N2" s="13">
        <f>(N11*100000)/(N12*60*8)</f>
        <v>87.68656716417911</v>
      </c>
      <c r="O2" s="14">
        <f t="shared" ref="O2:AI2" si="3">(O11*100000)/(O12*60*8)</f>
        <v>83.333333333333329</v>
      </c>
      <c r="P2" s="14">
        <f t="shared" si="3"/>
        <v>89.192708333333329</v>
      </c>
      <c r="Q2" s="14">
        <f t="shared" si="3"/>
        <v>91.071428571428569</v>
      </c>
      <c r="R2" s="14">
        <f t="shared" si="3"/>
        <v>83.928571428571431</v>
      </c>
      <c r="S2" s="14">
        <f t="shared" si="3"/>
        <v>91.299019607843135</v>
      </c>
      <c r="T2" s="14">
        <f>(T11*100000)/(T12*60*8)</f>
        <v>89.285714285714292</v>
      </c>
      <c r="U2" s="14">
        <f>(U11*100000)/(U12*60*8)</f>
        <v>92.896174863387984</v>
      </c>
      <c r="V2" s="14">
        <f t="shared" si="3"/>
        <v>83.74183006535948</v>
      </c>
      <c r="W2" s="14">
        <f t="shared" si="3"/>
        <v>83.607456140350877</v>
      </c>
      <c r="X2" s="14">
        <f t="shared" si="3"/>
        <v>86.082175925925924</v>
      </c>
      <c r="Y2" s="14">
        <f t="shared" si="3"/>
        <v>85.784313725490193</v>
      </c>
      <c r="Z2" s="14">
        <f t="shared" si="3"/>
        <v>72.525597269624569</v>
      </c>
      <c r="AA2" s="14">
        <f t="shared" si="3"/>
        <v>85.61643835616438</v>
      </c>
      <c r="AB2" s="14">
        <f t="shared" si="3"/>
        <v>82.78145695364239</v>
      </c>
      <c r="AC2" s="14">
        <f t="shared" si="3"/>
        <v>89.88294314381271</v>
      </c>
      <c r="AD2" s="14">
        <f t="shared" si="3"/>
        <v>83.061002178649233</v>
      </c>
      <c r="AE2" s="14">
        <f t="shared" si="3"/>
        <v>64.102564102564102</v>
      </c>
      <c r="AF2" s="14">
        <f t="shared" si="3"/>
        <v>92.592592592592595</v>
      </c>
      <c r="AG2" s="14">
        <f t="shared" si="3"/>
        <v>81.395348837209298</v>
      </c>
      <c r="AH2" s="14">
        <f t="shared" si="3"/>
        <v>76.171875</v>
      </c>
      <c r="AI2" s="11">
        <f t="shared" si="3"/>
        <v>80.176767676767682</v>
      </c>
      <c r="AJ2" s="7">
        <f>+L2</f>
        <v>46084</v>
      </c>
      <c r="AK2" s="12" t="s">
        <v>2</v>
      </c>
      <c r="AL2" s="9">
        <f>(AL10*100000)/(AL11*60*8)</f>
        <v>45.572916666666664</v>
      </c>
      <c r="AM2" s="10">
        <f t="shared" ref="AM2:AP2" si="4">(AM10*100000)/(AM11*60*8)</f>
        <v>95.238095238095241</v>
      </c>
      <c r="AN2" s="10">
        <f t="shared" si="4"/>
        <v>73.994252873563212</v>
      </c>
      <c r="AO2" s="10">
        <f t="shared" si="4"/>
        <v>74.354657687991022</v>
      </c>
      <c r="AP2" s="10">
        <f t="shared" si="4"/>
        <v>86.279461279461273</v>
      </c>
      <c r="AQ2" s="15"/>
    </row>
    <row r="3" spans="1:45" x14ac:dyDescent="0.3">
      <c r="A3" s="16"/>
      <c r="B3" s="17" t="s">
        <v>3</v>
      </c>
      <c r="C3" s="18">
        <v>12</v>
      </c>
      <c r="D3" s="19">
        <v>33</v>
      </c>
      <c r="E3">
        <v>1</v>
      </c>
      <c r="F3">
        <v>9</v>
      </c>
      <c r="G3">
        <v>11</v>
      </c>
      <c r="H3">
        <v>7</v>
      </c>
      <c r="I3">
        <v>16</v>
      </c>
      <c r="J3">
        <v>1</v>
      </c>
      <c r="K3" s="20">
        <v>1</v>
      </c>
      <c r="L3" s="16"/>
      <c r="M3" s="21" t="s">
        <v>3</v>
      </c>
      <c r="N3" s="18">
        <v>13</v>
      </c>
      <c r="O3">
        <v>8</v>
      </c>
      <c r="P3">
        <v>14</v>
      </c>
      <c r="Q3">
        <v>1</v>
      </c>
      <c r="R3">
        <v>2</v>
      </c>
      <c r="S3">
        <v>4</v>
      </c>
      <c r="T3">
        <v>4</v>
      </c>
      <c r="U3" s="19">
        <v>22</v>
      </c>
      <c r="V3">
        <v>1</v>
      </c>
      <c r="W3">
        <v>18</v>
      </c>
      <c r="X3">
        <v>2</v>
      </c>
      <c r="Y3" s="19">
        <v>20</v>
      </c>
      <c r="Z3">
        <v>4</v>
      </c>
      <c r="AA3" s="19">
        <v>32</v>
      </c>
      <c r="AB3">
        <v>2</v>
      </c>
      <c r="AC3">
        <v>4</v>
      </c>
      <c r="AD3">
        <v>1</v>
      </c>
      <c r="AE3">
        <v>1</v>
      </c>
      <c r="AF3">
        <v>0</v>
      </c>
      <c r="AG3">
        <v>0</v>
      </c>
      <c r="AH3">
        <v>1</v>
      </c>
      <c r="AI3" s="20">
        <v>13</v>
      </c>
      <c r="AJ3" s="16"/>
      <c r="AK3" s="21" t="s">
        <v>3</v>
      </c>
      <c r="AL3" s="22">
        <v>38</v>
      </c>
      <c r="AM3">
        <v>8</v>
      </c>
      <c r="AN3">
        <v>7</v>
      </c>
      <c r="AO3">
        <v>2</v>
      </c>
      <c r="AP3">
        <v>14</v>
      </c>
      <c r="AQ3" s="20"/>
      <c r="AS3">
        <f>SUM(O3:AI3)</f>
        <v>154</v>
      </c>
    </row>
    <row r="4" spans="1:45" x14ac:dyDescent="0.3">
      <c r="A4" s="16"/>
      <c r="B4" s="21" t="s">
        <v>4</v>
      </c>
      <c r="C4" s="18"/>
      <c r="K4" s="20"/>
      <c r="L4" s="16"/>
      <c r="M4" s="21" t="s">
        <v>4</v>
      </c>
      <c r="N4" s="18"/>
      <c r="AJ4" s="16"/>
      <c r="AK4" s="21" t="s">
        <v>4</v>
      </c>
      <c r="AL4" s="18"/>
      <c r="AQ4" s="20"/>
      <c r="AS4">
        <f t="shared" ref="AS4:AS9" si="5">SUM(O4:AI4)</f>
        <v>0</v>
      </c>
    </row>
    <row r="5" spans="1:45" x14ac:dyDescent="0.3">
      <c r="A5" s="16"/>
      <c r="B5" s="23" t="s">
        <v>5</v>
      </c>
      <c r="C5" s="18">
        <v>3</v>
      </c>
      <c r="D5">
        <v>4</v>
      </c>
      <c r="E5">
        <v>5</v>
      </c>
      <c r="F5">
        <v>3</v>
      </c>
      <c r="G5">
        <v>6</v>
      </c>
      <c r="H5">
        <v>5</v>
      </c>
      <c r="I5">
        <v>12</v>
      </c>
      <c r="J5">
        <v>4</v>
      </c>
      <c r="K5" s="20">
        <v>9</v>
      </c>
      <c r="L5" s="16"/>
      <c r="M5" s="21" t="s">
        <v>5</v>
      </c>
      <c r="N5" s="18">
        <v>3</v>
      </c>
      <c r="O5">
        <v>4</v>
      </c>
      <c r="P5">
        <v>3</v>
      </c>
      <c r="Q5">
        <v>4</v>
      </c>
      <c r="R5">
        <v>9</v>
      </c>
      <c r="S5">
        <v>7</v>
      </c>
      <c r="T5">
        <v>4</v>
      </c>
      <c r="U5">
        <v>0</v>
      </c>
      <c r="V5">
        <v>10</v>
      </c>
      <c r="W5">
        <v>8</v>
      </c>
      <c r="X5">
        <v>12</v>
      </c>
      <c r="Y5">
        <v>2</v>
      </c>
      <c r="Z5">
        <v>17</v>
      </c>
      <c r="AA5">
        <v>8</v>
      </c>
      <c r="AB5">
        <v>5</v>
      </c>
      <c r="AC5">
        <v>3</v>
      </c>
      <c r="AD5">
        <v>3</v>
      </c>
      <c r="AE5">
        <v>6</v>
      </c>
      <c r="AF5">
        <v>1</v>
      </c>
      <c r="AG5" s="19">
        <v>24</v>
      </c>
      <c r="AH5">
        <v>4</v>
      </c>
      <c r="AI5" s="20">
        <v>5</v>
      </c>
      <c r="AJ5" s="16"/>
      <c r="AK5" s="21" t="s">
        <v>5</v>
      </c>
      <c r="AL5" s="18">
        <v>6</v>
      </c>
      <c r="AM5">
        <v>8</v>
      </c>
      <c r="AN5">
        <v>8</v>
      </c>
      <c r="AO5">
        <v>2</v>
      </c>
      <c r="AP5">
        <v>4</v>
      </c>
      <c r="AQ5" s="20"/>
      <c r="AS5">
        <f>SUM(O5:AI5)</f>
        <v>139</v>
      </c>
    </row>
    <row r="6" spans="1:45" x14ac:dyDescent="0.3">
      <c r="A6" s="16"/>
      <c r="B6" s="24" t="s">
        <v>6</v>
      </c>
      <c r="C6" s="18"/>
      <c r="K6" s="20"/>
      <c r="L6" s="16"/>
      <c r="M6" s="21" t="s">
        <v>6</v>
      </c>
      <c r="N6" s="18"/>
      <c r="AI6" s="20"/>
      <c r="AJ6" s="16"/>
      <c r="AK6" s="21" t="s">
        <v>7</v>
      </c>
      <c r="AL6" s="18">
        <v>1</v>
      </c>
      <c r="AM6">
        <v>2</v>
      </c>
      <c r="AN6">
        <v>7</v>
      </c>
      <c r="AO6">
        <v>4</v>
      </c>
      <c r="AP6">
        <v>1</v>
      </c>
      <c r="AQ6" s="20"/>
      <c r="AS6">
        <f t="shared" si="5"/>
        <v>0</v>
      </c>
    </row>
    <row r="7" spans="1:45" x14ac:dyDescent="0.3">
      <c r="A7" s="16"/>
      <c r="B7" s="17" t="s">
        <v>7</v>
      </c>
      <c r="C7" s="18">
        <v>3</v>
      </c>
      <c r="D7">
        <v>4</v>
      </c>
      <c r="E7">
        <v>10</v>
      </c>
      <c r="F7">
        <v>8</v>
      </c>
      <c r="G7" s="19">
        <v>20</v>
      </c>
      <c r="H7">
        <v>4</v>
      </c>
      <c r="I7">
        <v>9</v>
      </c>
      <c r="J7">
        <v>6</v>
      </c>
      <c r="K7" s="20">
        <v>1</v>
      </c>
      <c r="L7" s="16"/>
      <c r="M7" s="21" t="s">
        <v>7</v>
      </c>
      <c r="N7" s="18">
        <v>3</v>
      </c>
      <c r="O7">
        <v>2</v>
      </c>
      <c r="P7">
        <v>5</v>
      </c>
      <c r="Q7">
        <v>2</v>
      </c>
      <c r="R7">
        <v>7</v>
      </c>
      <c r="S7">
        <v>2</v>
      </c>
      <c r="T7">
        <v>9</v>
      </c>
      <c r="U7">
        <v>15</v>
      </c>
      <c r="V7">
        <v>12</v>
      </c>
      <c r="W7">
        <v>10</v>
      </c>
      <c r="X7">
        <v>11</v>
      </c>
      <c r="Y7">
        <v>3</v>
      </c>
      <c r="Z7">
        <v>11</v>
      </c>
      <c r="AA7">
        <v>3</v>
      </c>
      <c r="AB7">
        <v>5</v>
      </c>
      <c r="AC7">
        <v>1</v>
      </c>
      <c r="AD7">
        <v>5</v>
      </c>
      <c r="AE7">
        <v>4</v>
      </c>
      <c r="AF7">
        <v>5</v>
      </c>
      <c r="AG7">
        <v>0</v>
      </c>
      <c r="AH7">
        <v>10</v>
      </c>
      <c r="AI7" s="20">
        <v>10</v>
      </c>
      <c r="AJ7" s="16"/>
      <c r="AK7" s="21" t="s">
        <v>8</v>
      </c>
      <c r="AL7" s="18"/>
      <c r="AQ7" s="20"/>
      <c r="AS7">
        <f>SUM(O7:AI7)</f>
        <v>132</v>
      </c>
    </row>
    <row r="8" spans="1:45" x14ac:dyDescent="0.3">
      <c r="A8" s="25" t="s">
        <v>9</v>
      </c>
      <c r="B8" s="24" t="s">
        <v>10</v>
      </c>
      <c r="C8" s="18"/>
      <c r="K8" s="20"/>
      <c r="L8" s="25" t="str">
        <f>A8</f>
        <v>MA 1T</v>
      </c>
      <c r="M8" s="21" t="s">
        <v>10</v>
      </c>
      <c r="N8" s="18"/>
      <c r="AI8" s="20"/>
      <c r="AJ8" s="26" t="str">
        <f>L8</f>
        <v>MA 1T</v>
      </c>
      <c r="AK8" s="21" t="s">
        <v>11</v>
      </c>
      <c r="AL8" s="18">
        <v>0</v>
      </c>
      <c r="AM8">
        <v>5</v>
      </c>
      <c r="AN8">
        <v>8</v>
      </c>
      <c r="AO8">
        <v>1</v>
      </c>
      <c r="AP8">
        <v>2</v>
      </c>
      <c r="AQ8" s="20"/>
      <c r="AS8">
        <f t="shared" si="5"/>
        <v>0</v>
      </c>
    </row>
    <row r="9" spans="1:45" x14ac:dyDescent="0.3">
      <c r="A9" s="25"/>
      <c r="B9" s="17" t="s">
        <v>11</v>
      </c>
      <c r="C9" s="18">
        <v>8</v>
      </c>
      <c r="D9">
        <v>9</v>
      </c>
      <c r="E9">
        <v>5</v>
      </c>
      <c r="F9">
        <v>15</v>
      </c>
      <c r="G9">
        <v>6</v>
      </c>
      <c r="H9">
        <v>5</v>
      </c>
      <c r="I9">
        <v>4</v>
      </c>
      <c r="J9">
        <v>5</v>
      </c>
      <c r="K9" s="20">
        <v>7</v>
      </c>
      <c r="L9" s="25"/>
      <c r="M9" s="21" t="s">
        <v>11</v>
      </c>
      <c r="N9" s="18">
        <v>1</v>
      </c>
      <c r="O9">
        <v>6</v>
      </c>
      <c r="P9">
        <v>2</v>
      </c>
      <c r="Q9">
        <v>6</v>
      </c>
      <c r="R9">
        <v>10</v>
      </c>
      <c r="S9">
        <v>6</v>
      </c>
      <c r="T9">
        <v>14</v>
      </c>
      <c r="U9">
        <v>7</v>
      </c>
      <c r="V9">
        <v>3</v>
      </c>
      <c r="W9">
        <v>16</v>
      </c>
      <c r="X9">
        <v>4</v>
      </c>
      <c r="Y9">
        <v>9</v>
      </c>
      <c r="Z9">
        <v>8</v>
      </c>
      <c r="AA9">
        <v>9</v>
      </c>
      <c r="AB9">
        <v>3</v>
      </c>
      <c r="AC9">
        <v>3</v>
      </c>
      <c r="AD9">
        <v>5</v>
      </c>
      <c r="AE9">
        <v>10</v>
      </c>
      <c r="AF9">
        <v>2</v>
      </c>
      <c r="AG9">
        <v>2</v>
      </c>
      <c r="AH9">
        <v>3</v>
      </c>
      <c r="AI9" s="20">
        <v>6</v>
      </c>
      <c r="AJ9" s="26"/>
      <c r="AK9" s="21" t="s">
        <v>12</v>
      </c>
      <c r="AL9" s="18"/>
      <c r="AQ9" s="20"/>
      <c r="AS9">
        <f t="shared" si="5"/>
        <v>134</v>
      </c>
    </row>
    <row r="10" spans="1:45" x14ac:dyDescent="0.3">
      <c r="A10" s="25"/>
      <c r="B10" s="24" t="s">
        <v>12</v>
      </c>
      <c r="C10" s="18"/>
      <c r="K10" s="20"/>
      <c r="L10" s="25"/>
      <c r="M10" s="21" t="s">
        <v>12</v>
      </c>
      <c r="N10" s="18"/>
      <c r="AI10" s="20"/>
      <c r="AJ10" s="26"/>
      <c r="AK10" s="21" t="s">
        <v>13</v>
      </c>
      <c r="AL10" s="18">
        <v>56</v>
      </c>
      <c r="AM10">
        <v>128</v>
      </c>
      <c r="AN10">
        <v>103</v>
      </c>
      <c r="AO10">
        <v>106</v>
      </c>
      <c r="AP10">
        <v>123</v>
      </c>
      <c r="AQ10" s="20"/>
    </row>
    <row r="11" spans="1:45" x14ac:dyDescent="0.3">
      <c r="A11" s="25"/>
      <c r="B11" s="17" t="s">
        <v>13</v>
      </c>
      <c r="C11" s="18">
        <v>131</v>
      </c>
      <c r="D11">
        <v>120</v>
      </c>
      <c r="E11">
        <v>109</v>
      </c>
      <c r="F11">
        <v>129</v>
      </c>
      <c r="G11">
        <v>111</v>
      </c>
      <c r="H11">
        <v>111</v>
      </c>
      <c r="I11">
        <v>109</v>
      </c>
      <c r="J11">
        <v>126</v>
      </c>
      <c r="K11" s="20">
        <v>124</v>
      </c>
      <c r="L11" s="25"/>
      <c r="M11" s="21" t="s">
        <v>13</v>
      </c>
      <c r="N11" s="18">
        <v>141</v>
      </c>
      <c r="O11">
        <v>140</v>
      </c>
      <c r="P11">
        <v>137</v>
      </c>
      <c r="Q11">
        <v>153</v>
      </c>
      <c r="R11">
        <v>141</v>
      </c>
      <c r="S11">
        <v>149</v>
      </c>
      <c r="T11">
        <v>123</v>
      </c>
      <c r="U11">
        <v>136</v>
      </c>
      <c r="V11">
        <v>123</v>
      </c>
      <c r="W11">
        <v>122</v>
      </c>
      <c r="X11">
        <v>119</v>
      </c>
      <c r="Y11">
        <v>126</v>
      </c>
      <c r="Z11">
        <v>102</v>
      </c>
      <c r="AA11">
        <v>120</v>
      </c>
      <c r="AB11">
        <v>120</v>
      </c>
      <c r="AC11">
        <v>129</v>
      </c>
      <c r="AD11">
        <v>122</v>
      </c>
      <c r="AE11">
        <v>92</v>
      </c>
      <c r="AF11">
        <v>120</v>
      </c>
      <c r="AG11">
        <v>84</v>
      </c>
      <c r="AH11">
        <v>117</v>
      </c>
      <c r="AI11" s="20">
        <v>127</v>
      </c>
      <c r="AJ11" s="26"/>
      <c r="AK11" s="21" t="s">
        <v>14</v>
      </c>
      <c r="AL11" s="27">
        <v>256</v>
      </c>
      <c r="AM11" s="28">
        <v>280</v>
      </c>
      <c r="AN11" s="28">
        <v>290</v>
      </c>
      <c r="AO11" s="28">
        <v>297</v>
      </c>
      <c r="AP11" s="28">
        <v>297</v>
      </c>
      <c r="AQ11" s="29"/>
    </row>
    <row r="12" spans="1:45" x14ac:dyDescent="0.3">
      <c r="A12" s="25"/>
      <c r="B12" s="17" t="s">
        <v>14</v>
      </c>
      <c r="C12" s="27">
        <v>304</v>
      </c>
      <c r="D12" s="28">
        <v>301</v>
      </c>
      <c r="E12" s="28">
        <v>248</v>
      </c>
      <c r="F12" s="28">
        <v>296</v>
      </c>
      <c r="G12" s="28">
        <v>308</v>
      </c>
      <c r="H12" s="28">
        <v>276</v>
      </c>
      <c r="I12" s="28">
        <v>289</v>
      </c>
      <c r="J12" s="28">
        <v>288</v>
      </c>
      <c r="K12" s="29">
        <v>299</v>
      </c>
      <c r="L12" s="25"/>
      <c r="M12" s="21" t="s">
        <v>14</v>
      </c>
      <c r="N12" s="27">
        <v>335</v>
      </c>
      <c r="O12" s="28">
        <v>350</v>
      </c>
      <c r="P12" s="28">
        <v>320</v>
      </c>
      <c r="Q12" s="28">
        <v>350</v>
      </c>
      <c r="R12" s="28">
        <v>350</v>
      </c>
      <c r="S12" s="28">
        <v>340</v>
      </c>
      <c r="T12" s="28">
        <v>287</v>
      </c>
      <c r="U12" s="28">
        <v>305</v>
      </c>
      <c r="V12" s="28">
        <v>306</v>
      </c>
      <c r="W12" s="28">
        <v>304</v>
      </c>
      <c r="X12" s="28">
        <v>288</v>
      </c>
      <c r="Y12" s="28">
        <v>306</v>
      </c>
      <c r="Z12" s="28">
        <v>293</v>
      </c>
      <c r="AA12" s="28">
        <v>292</v>
      </c>
      <c r="AB12" s="28">
        <v>302</v>
      </c>
      <c r="AC12" s="28">
        <v>299</v>
      </c>
      <c r="AD12" s="28">
        <v>306</v>
      </c>
      <c r="AE12" s="28">
        <v>299</v>
      </c>
      <c r="AF12" s="28">
        <v>270</v>
      </c>
      <c r="AG12" s="28">
        <v>215</v>
      </c>
      <c r="AH12" s="28">
        <v>320</v>
      </c>
      <c r="AI12" s="29">
        <v>330</v>
      </c>
      <c r="AJ12" s="30"/>
      <c r="AK12" s="18"/>
      <c r="AQ12" s="20"/>
    </row>
    <row r="13" spans="1:45" x14ac:dyDescent="0.3">
      <c r="A13" s="16">
        <f>A2</f>
        <v>46084</v>
      </c>
      <c r="B13" s="31" t="s">
        <v>2</v>
      </c>
      <c r="C13" s="9">
        <f t="shared" ref="C13:K13" si="6">(C22*100000)/(C23*60*8)</f>
        <v>88.815789473684205</v>
      </c>
      <c r="D13" s="10">
        <f t="shared" si="6"/>
        <v>59.246954595791806</v>
      </c>
      <c r="E13" s="32" t="s">
        <v>15</v>
      </c>
      <c r="F13" s="10">
        <f t="shared" si="6"/>
        <v>87.556306306306311</v>
      </c>
      <c r="G13" s="10">
        <f t="shared" si="6"/>
        <v>81.168831168831176</v>
      </c>
      <c r="H13" s="10">
        <f t="shared" si="6"/>
        <v>76.388888888888886</v>
      </c>
      <c r="I13" s="10">
        <f t="shared" si="6"/>
        <v>61.274509803921568</v>
      </c>
      <c r="J13" s="10">
        <f t="shared" si="6"/>
        <v>75.954861111111114</v>
      </c>
      <c r="K13" s="11">
        <f t="shared" si="6"/>
        <v>82.218506131549603</v>
      </c>
      <c r="L13" s="16">
        <f>A13</f>
        <v>46084</v>
      </c>
      <c r="M13" s="21" t="s">
        <v>2</v>
      </c>
      <c r="N13" s="13">
        <f>(N22*100000)/(N23*60*8)</f>
        <v>88.308457711442784</v>
      </c>
      <c r="O13" s="14">
        <f t="shared" ref="O13:AI13" si="7">(O22*100000)/(O23*60*8)</f>
        <v>82.142857142857139</v>
      </c>
      <c r="P13" s="14">
        <f t="shared" si="7"/>
        <v>91.145833333333329</v>
      </c>
      <c r="Q13" s="14">
        <f t="shared" si="7"/>
        <v>89.88095238095238</v>
      </c>
      <c r="R13" s="14">
        <f t="shared" si="7"/>
        <v>49.404761904761905</v>
      </c>
      <c r="S13" s="14">
        <f t="shared" si="7"/>
        <v>92.524509803921575</v>
      </c>
      <c r="T13" s="14">
        <f t="shared" si="7"/>
        <v>82.026713124274096</v>
      </c>
      <c r="U13" s="14">
        <f t="shared" si="7"/>
        <v>77.185792349726782</v>
      </c>
      <c r="V13" s="14">
        <f t="shared" si="7"/>
        <v>70.806100217864923</v>
      </c>
      <c r="W13" s="14">
        <f t="shared" si="7"/>
        <v>78.125</v>
      </c>
      <c r="X13" s="14">
        <f t="shared" si="7"/>
        <v>55.700231481481481</v>
      </c>
      <c r="Y13" s="14">
        <f t="shared" si="7"/>
        <v>91.911764705882348</v>
      </c>
      <c r="Z13" s="14">
        <f t="shared" si="7"/>
        <v>66.83731513083049</v>
      </c>
      <c r="AA13" s="14">
        <f t="shared" si="7"/>
        <v>63.213470319634702</v>
      </c>
      <c r="AB13" s="14">
        <f t="shared" si="7"/>
        <v>86.437637969094922</v>
      </c>
      <c r="AC13" s="14">
        <f t="shared" si="7"/>
        <v>94.063545150501668</v>
      </c>
      <c r="AD13" s="14">
        <f t="shared" si="7"/>
        <v>81.699346405228752</v>
      </c>
      <c r="AE13" s="14">
        <f t="shared" si="7"/>
        <v>14.074693422519509</v>
      </c>
      <c r="AF13" s="14">
        <f t="shared" si="7"/>
        <v>89.506172839506178</v>
      </c>
      <c r="AG13" s="14">
        <f t="shared" si="7"/>
        <v>82.36434108527132</v>
      </c>
      <c r="AH13" s="14">
        <f t="shared" si="7"/>
        <v>83.333333333333329</v>
      </c>
      <c r="AI13" s="11">
        <f t="shared" si="7"/>
        <v>78.914141414141412</v>
      </c>
      <c r="AJ13" s="16">
        <f>L13</f>
        <v>46084</v>
      </c>
      <c r="AK13" s="21" t="s">
        <v>2</v>
      </c>
      <c r="AL13" s="9">
        <f>(AL21*100000)/(AL22*60*8)</f>
        <v>59.407552083333336</v>
      </c>
      <c r="AM13" s="10">
        <f t="shared" ref="AM13:AP13" si="8">(AM21*100000)/(AM22*60*8)</f>
        <v>93.75</v>
      </c>
      <c r="AN13" s="10">
        <f t="shared" si="8"/>
        <v>91.235632183908052</v>
      </c>
      <c r="AO13" s="10">
        <f t="shared" si="8"/>
        <v>89.786756453423124</v>
      </c>
      <c r="AP13" s="10">
        <f t="shared" si="8"/>
        <v>87.682379349046016</v>
      </c>
      <c r="AQ13" s="15"/>
      <c r="AS13">
        <f t="shared" ref="AS13:AS19" si="9">SUM(N14:AI14)</f>
        <v>177</v>
      </c>
    </row>
    <row r="14" spans="1:45" x14ac:dyDescent="0.3">
      <c r="A14" s="16"/>
      <c r="B14" s="24" t="s">
        <v>3</v>
      </c>
      <c r="C14" s="18">
        <v>8</v>
      </c>
      <c r="D14">
        <v>15</v>
      </c>
      <c r="E14" s="33"/>
      <c r="F14">
        <v>10</v>
      </c>
      <c r="G14">
        <v>9</v>
      </c>
      <c r="H14">
        <v>6</v>
      </c>
      <c r="I14">
        <v>11</v>
      </c>
      <c r="J14">
        <v>6</v>
      </c>
      <c r="K14" s="20">
        <v>9</v>
      </c>
      <c r="L14" s="16"/>
      <c r="M14" s="21" t="s">
        <v>3</v>
      </c>
      <c r="N14" s="18">
        <v>5</v>
      </c>
      <c r="O14" s="19">
        <v>28</v>
      </c>
      <c r="P14">
        <v>9</v>
      </c>
      <c r="Q14">
        <v>1</v>
      </c>
      <c r="R14">
        <v>4</v>
      </c>
      <c r="S14">
        <v>1</v>
      </c>
      <c r="T14">
        <v>9</v>
      </c>
      <c r="U14" s="19">
        <v>22</v>
      </c>
      <c r="V14">
        <v>4</v>
      </c>
      <c r="W14">
        <v>12</v>
      </c>
      <c r="X14">
        <v>2</v>
      </c>
      <c r="Y14">
        <v>3</v>
      </c>
      <c r="Z14">
        <v>6</v>
      </c>
      <c r="AA14" s="19">
        <v>47</v>
      </c>
      <c r="AB14">
        <v>0</v>
      </c>
      <c r="AC14">
        <v>1</v>
      </c>
      <c r="AD14">
        <v>3</v>
      </c>
      <c r="AE14">
        <v>0</v>
      </c>
      <c r="AF14">
        <v>0</v>
      </c>
      <c r="AG14">
        <v>0</v>
      </c>
      <c r="AH14">
        <v>4</v>
      </c>
      <c r="AI14" s="20">
        <v>16</v>
      </c>
      <c r="AJ14" s="16"/>
      <c r="AK14" s="21" t="s">
        <v>3</v>
      </c>
      <c r="AL14" s="22">
        <v>20</v>
      </c>
      <c r="AM14">
        <v>2</v>
      </c>
      <c r="AN14">
        <v>9</v>
      </c>
      <c r="AO14">
        <v>3</v>
      </c>
      <c r="AP14">
        <v>10</v>
      </c>
      <c r="AQ14" s="20"/>
      <c r="AS14">
        <f t="shared" si="9"/>
        <v>0</v>
      </c>
    </row>
    <row r="15" spans="1:45" x14ac:dyDescent="0.3">
      <c r="A15" s="16"/>
      <c r="B15" s="24" t="s">
        <v>4</v>
      </c>
      <c r="E15" s="33"/>
      <c r="K15" s="20"/>
      <c r="L15" s="16"/>
      <c r="M15" s="21" t="s">
        <v>4</v>
      </c>
      <c r="N15" s="18"/>
      <c r="AJ15" s="16"/>
      <c r="AK15" s="21" t="s">
        <v>4</v>
      </c>
      <c r="AL15" s="18"/>
      <c r="AQ15" s="20"/>
      <c r="AS15">
        <f>SUM(N16:AI16)</f>
        <v>167</v>
      </c>
    </row>
    <row r="16" spans="1:45" x14ac:dyDescent="0.3">
      <c r="A16" s="16"/>
      <c r="B16" s="31" t="s">
        <v>5</v>
      </c>
      <c r="C16" s="18">
        <v>4</v>
      </c>
      <c r="D16">
        <v>8</v>
      </c>
      <c r="E16" s="33"/>
      <c r="F16">
        <v>7</v>
      </c>
      <c r="G16">
        <v>7</v>
      </c>
      <c r="H16">
        <v>17</v>
      </c>
      <c r="I16" s="19">
        <v>21</v>
      </c>
      <c r="J16">
        <v>17</v>
      </c>
      <c r="K16" s="20">
        <v>8</v>
      </c>
      <c r="L16" s="16"/>
      <c r="M16" s="21" t="s">
        <v>5</v>
      </c>
      <c r="N16" s="18">
        <v>6</v>
      </c>
      <c r="O16">
        <v>4</v>
      </c>
      <c r="P16">
        <v>1</v>
      </c>
      <c r="Q16">
        <v>6</v>
      </c>
      <c r="R16">
        <v>7</v>
      </c>
      <c r="S16">
        <v>2</v>
      </c>
      <c r="T16">
        <v>2</v>
      </c>
      <c r="U16">
        <v>3</v>
      </c>
      <c r="V16" s="19">
        <v>32</v>
      </c>
      <c r="W16">
        <v>16</v>
      </c>
      <c r="X16">
        <v>10</v>
      </c>
      <c r="Y16">
        <v>3</v>
      </c>
      <c r="Z16">
        <v>6</v>
      </c>
      <c r="AA16" s="19">
        <v>28</v>
      </c>
      <c r="AB16">
        <v>4</v>
      </c>
      <c r="AC16">
        <v>0</v>
      </c>
      <c r="AD16">
        <v>2</v>
      </c>
      <c r="AE16">
        <v>2</v>
      </c>
      <c r="AF16">
        <v>3</v>
      </c>
      <c r="AG16">
        <v>17</v>
      </c>
      <c r="AH16">
        <v>11</v>
      </c>
      <c r="AI16" s="20">
        <v>2</v>
      </c>
      <c r="AJ16" s="16"/>
      <c r="AK16" s="21" t="s">
        <v>5</v>
      </c>
      <c r="AL16" s="18">
        <v>18</v>
      </c>
      <c r="AM16">
        <v>2</v>
      </c>
      <c r="AN16">
        <v>1</v>
      </c>
      <c r="AO16">
        <v>0</v>
      </c>
      <c r="AP16">
        <v>3</v>
      </c>
      <c r="AQ16" s="20"/>
      <c r="AS16">
        <f t="shared" si="9"/>
        <v>0</v>
      </c>
    </row>
    <row r="17" spans="1:45" x14ac:dyDescent="0.3">
      <c r="A17" s="16"/>
      <c r="B17" s="24" t="s">
        <v>6</v>
      </c>
      <c r="C17" s="18"/>
      <c r="E17" s="33"/>
      <c r="K17" s="20"/>
      <c r="L17" s="16"/>
      <c r="M17" s="21" t="s">
        <v>6</v>
      </c>
      <c r="N17" s="18"/>
      <c r="AI17" s="20"/>
      <c r="AJ17" s="16"/>
      <c r="AK17" s="21" t="s">
        <v>7</v>
      </c>
      <c r="AL17" s="18">
        <v>5</v>
      </c>
      <c r="AM17">
        <v>4</v>
      </c>
      <c r="AN17">
        <v>1</v>
      </c>
      <c r="AO17">
        <v>8</v>
      </c>
      <c r="AP17">
        <v>4</v>
      </c>
      <c r="AQ17" s="20"/>
      <c r="AS17">
        <f t="shared" si="9"/>
        <v>157</v>
      </c>
    </row>
    <row r="18" spans="1:45" x14ac:dyDescent="0.3">
      <c r="A18" s="16"/>
      <c r="B18" s="24" t="s">
        <v>7</v>
      </c>
      <c r="C18" s="18">
        <v>3</v>
      </c>
      <c r="D18">
        <v>10</v>
      </c>
      <c r="E18" s="33"/>
      <c r="F18">
        <v>6</v>
      </c>
      <c r="G18">
        <v>11</v>
      </c>
      <c r="H18">
        <v>11</v>
      </c>
      <c r="I18">
        <v>6</v>
      </c>
      <c r="J18">
        <v>11</v>
      </c>
      <c r="K18" s="20">
        <v>10</v>
      </c>
      <c r="L18" s="16"/>
      <c r="M18" s="21" t="s">
        <v>7</v>
      </c>
      <c r="N18" s="18">
        <v>3</v>
      </c>
      <c r="O18">
        <v>4</v>
      </c>
      <c r="P18">
        <v>0</v>
      </c>
      <c r="Q18">
        <v>0</v>
      </c>
      <c r="R18">
        <v>14</v>
      </c>
      <c r="S18">
        <v>3</v>
      </c>
      <c r="T18">
        <v>7</v>
      </c>
      <c r="U18">
        <v>15</v>
      </c>
      <c r="V18">
        <v>9</v>
      </c>
      <c r="W18">
        <v>4</v>
      </c>
      <c r="X18">
        <v>9</v>
      </c>
      <c r="Y18">
        <v>4</v>
      </c>
      <c r="Z18">
        <v>15</v>
      </c>
      <c r="AA18">
        <v>7</v>
      </c>
      <c r="AB18">
        <v>13</v>
      </c>
      <c r="AC18">
        <v>3</v>
      </c>
      <c r="AD18">
        <v>4</v>
      </c>
      <c r="AE18">
        <v>1</v>
      </c>
      <c r="AF18">
        <v>4</v>
      </c>
      <c r="AG18">
        <v>13</v>
      </c>
      <c r="AH18">
        <v>4</v>
      </c>
      <c r="AI18" s="34">
        <v>21</v>
      </c>
      <c r="AJ18" s="16"/>
      <c r="AK18" s="21" t="s">
        <v>8</v>
      </c>
      <c r="AL18" s="18"/>
      <c r="AQ18" s="20"/>
      <c r="AS18">
        <f t="shared" si="9"/>
        <v>0</v>
      </c>
    </row>
    <row r="19" spans="1:45" x14ac:dyDescent="0.3">
      <c r="A19" s="25" t="s">
        <v>16</v>
      </c>
      <c r="B19" s="24" t="s">
        <v>10</v>
      </c>
      <c r="C19" s="18"/>
      <c r="E19" s="33"/>
      <c r="K19" s="20"/>
      <c r="L19" s="25" t="str">
        <f>A19</f>
        <v>MA 2T</v>
      </c>
      <c r="M19" s="21" t="s">
        <v>10</v>
      </c>
      <c r="N19" s="18"/>
      <c r="AI19" s="20"/>
      <c r="AJ19" s="16" t="str">
        <f>L19</f>
        <v>MA 2T</v>
      </c>
      <c r="AK19" s="21" t="s">
        <v>11</v>
      </c>
      <c r="AL19" s="18">
        <v>3</v>
      </c>
      <c r="AM19">
        <v>1</v>
      </c>
      <c r="AN19">
        <v>3</v>
      </c>
      <c r="AO19">
        <v>3</v>
      </c>
      <c r="AP19">
        <v>2</v>
      </c>
      <c r="AQ19" s="20"/>
      <c r="AS19">
        <f t="shared" si="9"/>
        <v>130</v>
      </c>
    </row>
    <row r="20" spans="1:45" x14ac:dyDescent="0.3">
      <c r="A20" s="25"/>
      <c r="B20" s="24" t="s">
        <v>11</v>
      </c>
      <c r="C20" s="18">
        <v>3</v>
      </c>
      <c r="D20">
        <v>11</v>
      </c>
      <c r="E20" s="33"/>
      <c r="F20" s="19">
        <v>26</v>
      </c>
      <c r="G20">
        <v>7</v>
      </c>
      <c r="H20">
        <v>5</v>
      </c>
      <c r="I20">
        <v>10</v>
      </c>
      <c r="J20">
        <v>5</v>
      </c>
      <c r="K20" s="20">
        <v>5</v>
      </c>
      <c r="L20" s="25"/>
      <c r="M20" s="21" t="s">
        <v>11</v>
      </c>
      <c r="N20" s="18">
        <v>1</v>
      </c>
      <c r="O20">
        <v>0</v>
      </c>
      <c r="P20">
        <v>1</v>
      </c>
      <c r="Q20">
        <v>3</v>
      </c>
      <c r="R20">
        <v>5</v>
      </c>
      <c r="S20">
        <v>4</v>
      </c>
      <c r="T20">
        <v>12</v>
      </c>
      <c r="U20">
        <v>3</v>
      </c>
      <c r="V20">
        <v>15</v>
      </c>
      <c r="W20">
        <v>9</v>
      </c>
      <c r="X20">
        <v>9</v>
      </c>
      <c r="Y20">
        <v>5</v>
      </c>
      <c r="Z20">
        <v>3</v>
      </c>
      <c r="AA20">
        <v>16</v>
      </c>
      <c r="AB20">
        <v>12</v>
      </c>
      <c r="AC20">
        <v>5</v>
      </c>
      <c r="AD20">
        <v>5</v>
      </c>
      <c r="AE20">
        <v>6</v>
      </c>
      <c r="AF20">
        <v>1</v>
      </c>
      <c r="AG20">
        <v>3</v>
      </c>
      <c r="AH20">
        <v>8</v>
      </c>
      <c r="AI20" s="20">
        <v>4</v>
      </c>
      <c r="AJ20" s="16"/>
      <c r="AK20" s="21" t="s">
        <v>12</v>
      </c>
      <c r="AL20" s="18"/>
      <c r="AQ20" s="20"/>
    </row>
    <row r="21" spans="1:45" x14ac:dyDescent="0.3">
      <c r="A21" s="25"/>
      <c r="B21" s="24" t="s">
        <v>12</v>
      </c>
      <c r="C21" s="18"/>
      <c r="E21" s="33"/>
      <c r="K21" s="20"/>
      <c r="L21" s="25"/>
      <c r="M21" s="21" t="s">
        <v>12</v>
      </c>
      <c r="N21" s="18"/>
      <c r="AI21" s="20"/>
      <c r="AJ21" s="16"/>
      <c r="AK21" s="21" t="s">
        <v>13</v>
      </c>
      <c r="AL21" s="18">
        <v>73</v>
      </c>
      <c r="AM21">
        <v>126</v>
      </c>
      <c r="AN21">
        <v>127</v>
      </c>
      <c r="AO21">
        <v>128</v>
      </c>
      <c r="AP21">
        <v>125</v>
      </c>
      <c r="AQ21" s="20"/>
    </row>
    <row r="22" spans="1:45" x14ac:dyDescent="0.3">
      <c r="A22" s="25"/>
      <c r="B22" s="24" t="s">
        <v>13</v>
      </c>
      <c r="C22" s="18">
        <v>129.6</v>
      </c>
      <c r="D22">
        <v>85.6</v>
      </c>
      <c r="E22" s="33"/>
      <c r="F22">
        <v>124.4</v>
      </c>
      <c r="G22">
        <v>120</v>
      </c>
      <c r="H22">
        <v>101.2</v>
      </c>
      <c r="I22">
        <v>85</v>
      </c>
      <c r="J22">
        <v>105</v>
      </c>
      <c r="K22" s="20">
        <v>118</v>
      </c>
      <c r="L22" s="25"/>
      <c r="M22" s="21" t="s">
        <v>13</v>
      </c>
      <c r="N22" s="18">
        <v>142</v>
      </c>
      <c r="O22">
        <v>138</v>
      </c>
      <c r="P22">
        <v>140</v>
      </c>
      <c r="Q22">
        <v>151</v>
      </c>
      <c r="R22">
        <v>83</v>
      </c>
      <c r="S22">
        <v>151</v>
      </c>
      <c r="T22">
        <v>113</v>
      </c>
      <c r="U22">
        <v>113</v>
      </c>
      <c r="V22">
        <v>104</v>
      </c>
      <c r="W22">
        <v>114</v>
      </c>
      <c r="X22">
        <v>77</v>
      </c>
      <c r="Y22">
        <v>135</v>
      </c>
      <c r="Z22">
        <v>94</v>
      </c>
      <c r="AA22">
        <v>88.6</v>
      </c>
      <c r="AB22">
        <v>125.3</v>
      </c>
      <c r="AC22">
        <v>135</v>
      </c>
      <c r="AD22">
        <v>120</v>
      </c>
      <c r="AE22">
        <v>20.2</v>
      </c>
      <c r="AF22">
        <v>116</v>
      </c>
      <c r="AG22">
        <v>85</v>
      </c>
      <c r="AH22">
        <v>128</v>
      </c>
      <c r="AI22" s="20">
        <v>125</v>
      </c>
      <c r="AJ22" s="16"/>
      <c r="AK22" s="21" t="s">
        <v>14</v>
      </c>
      <c r="AL22" s="27">
        <v>256</v>
      </c>
      <c r="AM22" s="28">
        <v>280</v>
      </c>
      <c r="AN22" s="28">
        <v>290</v>
      </c>
      <c r="AO22" s="28">
        <v>297</v>
      </c>
      <c r="AP22" s="28">
        <v>297</v>
      </c>
      <c r="AQ22" s="29"/>
    </row>
    <row r="23" spans="1:45" x14ac:dyDescent="0.3">
      <c r="A23" s="25"/>
      <c r="B23" s="24" t="s">
        <v>17</v>
      </c>
      <c r="C23" s="27">
        <v>304</v>
      </c>
      <c r="D23" s="28">
        <v>301</v>
      </c>
      <c r="E23" s="35"/>
      <c r="F23" s="28">
        <v>296</v>
      </c>
      <c r="G23" s="28">
        <v>308</v>
      </c>
      <c r="H23" s="28">
        <v>276</v>
      </c>
      <c r="I23" s="28">
        <v>289</v>
      </c>
      <c r="J23" s="28">
        <v>288</v>
      </c>
      <c r="K23" s="29">
        <v>299</v>
      </c>
      <c r="L23" s="25"/>
      <c r="M23" s="21" t="s">
        <v>14</v>
      </c>
      <c r="N23" s="27">
        <v>335</v>
      </c>
      <c r="O23" s="28">
        <v>350</v>
      </c>
      <c r="P23" s="28">
        <v>320</v>
      </c>
      <c r="Q23" s="28">
        <v>350</v>
      </c>
      <c r="R23" s="28">
        <v>350</v>
      </c>
      <c r="S23" s="28">
        <v>340</v>
      </c>
      <c r="T23" s="28">
        <v>287</v>
      </c>
      <c r="U23" s="28">
        <v>305</v>
      </c>
      <c r="V23" s="28">
        <v>306</v>
      </c>
      <c r="W23" s="28">
        <v>304</v>
      </c>
      <c r="X23" s="28">
        <v>288</v>
      </c>
      <c r="Y23" s="28">
        <v>306</v>
      </c>
      <c r="Z23" s="28">
        <v>293</v>
      </c>
      <c r="AA23" s="28">
        <v>292</v>
      </c>
      <c r="AB23" s="28">
        <v>302</v>
      </c>
      <c r="AC23" s="28">
        <v>299</v>
      </c>
      <c r="AD23" s="28">
        <v>306</v>
      </c>
      <c r="AE23" s="28">
        <v>299</v>
      </c>
      <c r="AF23" s="28">
        <v>270</v>
      </c>
      <c r="AG23" s="28">
        <v>215</v>
      </c>
      <c r="AH23" s="28">
        <v>320</v>
      </c>
      <c r="AI23" s="29">
        <v>330</v>
      </c>
      <c r="AJ23" s="30"/>
      <c r="AK23" s="18"/>
      <c r="AQ23" s="20"/>
    </row>
    <row r="24" spans="1:45" x14ac:dyDescent="0.3">
      <c r="A24" s="16">
        <f>A13</f>
        <v>46084</v>
      </c>
      <c r="B24" s="24" t="s">
        <v>2</v>
      </c>
      <c r="C24" s="9">
        <f t="shared" ref="C24:K24" si="10">(C33*100000)/(C34*60*8)</f>
        <v>75.383771929824562</v>
      </c>
      <c r="D24" s="10">
        <f t="shared" si="10"/>
        <v>82.36434108527132</v>
      </c>
      <c r="E24" s="10">
        <f t="shared" si="10"/>
        <v>74.76478494623656</v>
      </c>
      <c r="F24" s="10">
        <f t="shared" si="10"/>
        <v>76.013513513513516</v>
      </c>
      <c r="G24" s="10">
        <f t="shared" si="10"/>
        <v>82.92880258899676</v>
      </c>
      <c r="H24" s="10">
        <f t="shared" si="10"/>
        <v>65.433212996389898</v>
      </c>
      <c r="I24" s="10">
        <f t="shared" si="10"/>
        <v>79.296424452133792</v>
      </c>
      <c r="J24" s="10">
        <f t="shared" si="10"/>
        <v>86.206896551724142</v>
      </c>
      <c r="K24" s="11">
        <f t="shared" si="10"/>
        <v>68.28316610925306</v>
      </c>
      <c r="L24" s="16">
        <f>A24</f>
        <v>46084</v>
      </c>
      <c r="M24" s="21" t="s">
        <v>2</v>
      </c>
      <c r="N24" s="13">
        <f>(N33*100000)/(N34*60*8)</f>
        <v>87.06467661691542</v>
      </c>
      <c r="O24" s="14">
        <f t="shared" ref="O24:AI24" si="11">(O33*100000)/(O34*60*8)</f>
        <v>84.28300094966761</v>
      </c>
      <c r="P24" s="14">
        <f t="shared" si="11"/>
        <v>93.098958333333329</v>
      </c>
      <c r="Q24" s="14">
        <f t="shared" si="11"/>
        <v>87.5</v>
      </c>
      <c r="R24" s="14">
        <f t="shared" si="11"/>
        <v>82.738095238095241</v>
      </c>
      <c r="S24" s="14">
        <f t="shared" si="11"/>
        <v>94.362745098039213</v>
      </c>
      <c r="T24" s="14">
        <f t="shared" si="11"/>
        <v>88.774341351660937</v>
      </c>
      <c r="U24" s="14">
        <f t="shared" si="11"/>
        <v>90.163934426229503</v>
      </c>
      <c r="V24" s="14">
        <f t="shared" si="11"/>
        <v>68.082788671023962</v>
      </c>
      <c r="W24" s="14">
        <f t="shared" si="11"/>
        <v>75.136612021857928</v>
      </c>
      <c r="X24" s="14">
        <f t="shared" si="11"/>
        <v>77.854671280276818</v>
      </c>
      <c r="Y24" s="14">
        <f t="shared" si="11"/>
        <v>86.465141612200441</v>
      </c>
      <c r="Z24" s="14">
        <f t="shared" si="11"/>
        <v>75.821995464852606</v>
      </c>
      <c r="AA24" s="14">
        <f t="shared" si="11"/>
        <v>71.347031963470315</v>
      </c>
      <c r="AB24" s="14">
        <f t="shared" si="11"/>
        <v>88.990066225165563</v>
      </c>
      <c r="AC24" s="14">
        <f t="shared" si="11"/>
        <v>95.33898305084746</v>
      </c>
      <c r="AD24" s="14">
        <f t="shared" si="11"/>
        <v>81.284153005464475</v>
      </c>
      <c r="AE24" s="14">
        <f t="shared" si="11"/>
        <v>89.186176142697889</v>
      </c>
      <c r="AF24" s="14">
        <f t="shared" si="11"/>
        <v>86.419753086419746</v>
      </c>
      <c r="AG24" s="14">
        <f t="shared" si="11"/>
        <v>62.5</v>
      </c>
      <c r="AH24" s="14">
        <f t="shared" si="11"/>
        <v>91.666666666666671</v>
      </c>
      <c r="AI24" s="11">
        <f t="shared" si="11"/>
        <v>77.020202020202021</v>
      </c>
      <c r="AJ24" s="16">
        <f>L24</f>
        <v>46084</v>
      </c>
      <c r="AK24" s="21" t="s">
        <v>2</v>
      </c>
      <c r="AL24" s="9">
        <f>(AL32*100000)/(AL33*60*8)</f>
        <v>88.481338481338483</v>
      </c>
      <c r="AM24" s="10">
        <f t="shared" ref="AM24:AP24" si="12">(AM32*100000)/(AM33*60*8)</f>
        <v>96.726190476190482</v>
      </c>
      <c r="AN24" s="10">
        <f t="shared" si="12"/>
        <v>79.329774614472129</v>
      </c>
      <c r="AO24" s="10">
        <f t="shared" si="12"/>
        <v>91.954022988505741</v>
      </c>
      <c r="AP24" s="10">
        <f t="shared" si="12"/>
        <v>86.279461279461273</v>
      </c>
      <c r="AQ24" s="15"/>
      <c r="AS24">
        <f t="shared" ref="AS24:AS30" si="13">SUM(N25:AI25)</f>
        <v>130</v>
      </c>
    </row>
    <row r="25" spans="1:45" x14ac:dyDescent="0.3">
      <c r="A25" s="16"/>
      <c r="B25" s="24" t="s">
        <v>3</v>
      </c>
      <c r="C25" s="18">
        <v>12</v>
      </c>
      <c r="D25" s="19">
        <v>20</v>
      </c>
      <c r="E25">
        <v>0</v>
      </c>
      <c r="F25">
        <v>8</v>
      </c>
      <c r="G25">
        <v>4</v>
      </c>
      <c r="H25">
        <v>1</v>
      </c>
      <c r="I25">
        <v>13</v>
      </c>
      <c r="J25">
        <v>7</v>
      </c>
      <c r="K25" s="20">
        <v>1</v>
      </c>
      <c r="L25" s="16"/>
      <c r="M25" s="21" t="s">
        <v>3</v>
      </c>
      <c r="N25" s="18">
        <v>12</v>
      </c>
      <c r="O25">
        <v>15</v>
      </c>
      <c r="P25">
        <v>4</v>
      </c>
      <c r="Q25">
        <v>2</v>
      </c>
      <c r="R25">
        <v>3</v>
      </c>
      <c r="S25">
        <v>3</v>
      </c>
      <c r="T25">
        <v>4</v>
      </c>
      <c r="U25">
        <v>8</v>
      </c>
      <c r="V25">
        <v>2</v>
      </c>
      <c r="W25">
        <v>4</v>
      </c>
      <c r="X25">
        <v>10</v>
      </c>
      <c r="Y25">
        <v>1</v>
      </c>
      <c r="Z25">
        <v>7</v>
      </c>
      <c r="AA25">
        <v>15</v>
      </c>
      <c r="AB25">
        <v>4</v>
      </c>
      <c r="AC25">
        <v>4</v>
      </c>
      <c r="AD25">
        <v>6</v>
      </c>
      <c r="AE25">
        <v>1</v>
      </c>
      <c r="AF25">
        <v>0</v>
      </c>
      <c r="AG25">
        <v>8</v>
      </c>
      <c r="AH25">
        <v>2</v>
      </c>
      <c r="AI25" s="20">
        <v>15</v>
      </c>
      <c r="AJ25" s="16"/>
      <c r="AK25" s="21" t="s">
        <v>3</v>
      </c>
      <c r="AL25" s="18">
        <v>10</v>
      </c>
      <c r="AM25">
        <v>7</v>
      </c>
      <c r="AN25">
        <v>9</v>
      </c>
      <c r="AO25">
        <v>2</v>
      </c>
      <c r="AP25">
        <v>3</v>
      </c>
      <c r="AQ25" s="20"/>
      <c r="AS25">
        <f t="shared" si="13"/>
        <v>0</v>
      </c>
    </row>
    <row r="26" spans="1:45" x14ac:dyDescent="0.3">
      <c r="A26" s="16"/>
      <c r="B26" s="21" t="s">
        <v>4</v>
      </c>
      <c r="C26" s="18"/>
      <c r="K26" s="20"/>
      <c r="L26" s="16"/>
      <c r="M26" s="21" t="s">
        <v>4</v>
      </c>
      <c r="N26" s="18"/>
      <c r="AJ26" s="16"/>
      <c r="AK26" s="21" t="s">
        <v>4</v>
      </c>
      <c r="AL26" s="18"/>
      <c r="AQ26" s="20"/>
      <c r="AS26">
        <f t="shared" si="13"/>
        <v>139</v>
      </c>
    </row>
    <row r="27" spans="1:45" x14ac:dyDescent="0.3">
      <c r="A27" s="16"/>
      <c r="B27" s="31" t="s">
        <v>5</v>
      </c>
      <c r="C27" s="18">
        <v>3</v>
      </c>
      <c r="D27">
        <v>10</v>
      </c>
      <c r="E27" s="19">
        <v>25</v>
      </c>
      <c r="F27">
        <v>4</v>
      </c>
      <c r="G27">
        <v>10</v>
      </c>
      <c r="H27">
        <v>19</v>
      </c>
      <c r="I27">
        <v>17</v>
      </c>
      <c r="J27">
        <v>9</v>
      </c>
      <c r="K27" s="20">
        <v>3</v>
      </c>
      <c r="L27" s="16"/>
      <c r="M27" s="21" t="s">
        <v>5</v>
      </c>
      <c r="N27" s="18">
        <v>3</v>
      </c>
      <c r="O27">
        <v>9</v>
      </c>
      <c r="P27">
        <v>1</v>
      </c>
      <c r="Q27">
        <v>6</v>
      </c>
      <c r="R27">
        <v>9</v>
      </c>
      <c r="S27">
        <v>3</v>
      </c>
      <c r="T27">
        <v>3</v>
      </c>
      <c r="U27">
        <v>3</v>
      </c>
      <c r="V27">
        <v>8</v>
      </c>
      <c r="W27">
        <v>13</v>
      </c>
      <c r="X27">
        <v>8</v>
      </c>
      <c r="Y27">
        <v>1</v>
      </c>
      <c r="Z27">
        <v>19</v>
      </c>
      <c r="AA27">
        <v>7</v>
      </c>
      <c r="AB27">
        <v>7</v>
      </c>
      <c r="AC27">
        <v>7</v>
      </c>
      <c r="AD27">
        <v>1</v>
      </c>
      <c r="AE27">
        <v>13</v>
      </c>
      <c r="AF27">
        <v>9</v>
      </c>
      <c r="AG27">
        <v>3</v>
      </c>
      <c r="AH27">
        <v>2</v>
      </c>
      <c r="AI27" s="20">
        <v>4</v>
      </c>
      <c r="AJ27" s="16"/>
      <c r="AK27" s="21" t="s">
        <v>5</v>
      </c>
      <c r="AL27" s="18">
        <v>1</v>
      </c>
      <c r="AM27">
        <v>4</v>
      </c>
      <c r="AN27">
        <v>8</v>
      </c>
      <c r="AO27">
        <v>2</v>
      </c>
      <c r="AP27">
        <v>1</v>
      </c>
      <c r="AQ27" s="20"/>
      <c r="AS27">
        <f t="shared" si="13"/>
        <v>0</v>
      </c>
    </row>
    <row r="28" spans="1:45" x14ac:dyDescent="0.3">
      <c r="A28" s="16"/>
      <c r="B28" s="24" t="s">
        <v>6</v>
      </c>
      <c r="C28" s="18"/>
      <c r="K28" s="20"/>
      <c r="L28" s="16"/>
      <c r="M28" s="21" t="s">
        <v>6</v>
      </c>
      <c r="N28" s="18"/>
      <c r="AI28" s="20"/>
      <c r="AJ28" s="16"/>
      <c r="AK28" s="21" t="s">
        <v>7</v>
      </c>
      <c r="AL28" s="18">
        <v>2</v>
      </c>
      <c r="AM28">
        <v>7</v>
      </c>
      <c r="AN28">
        <v>7</v>
      </c>
      <c r="AO28">
        <v>2</v>
      </c>
      <c r="AP28">
        <v>3</v>
      </c>
      <c r="AQ28" s="20"/>
      <c r="AS28">
        <f t="shared" si="13"/>
        <v>148</v>
      </c>
    </row>
    <row r="29" spans="1:45" x14ac:dyDescent="0.3">
      <c r="A29" s="16"/>
      <c r="B29" s="24" t="s">
        <v>7</v>
      </c>
      <c r="C29" s="18">
        <v>4</v>
      </c>
      <c r="D29">
        <v>8</v>
      </c>
      <c r="E29">
        <v>7</v>
      </c>
      <c r="F29">
        <v>7</v>
      </c>
      <c r="G29">
        <v>7</v>
      </c>
      <c r="H29">
        <v>8</v>
      </c>
      <c r="I29">
        <v>11</v>
      </c>
      <c r="J29">
        <v>5</v>
      </c>
      <c r="K29" s="20">
        <v>7</v>
      </c>
      <c r="L29" s="16"/>
      <c r="M29" s="21" t="s">
        <v>7</v>
      </c>
      <c r="N29" s="18">
        <v>6</v>
      </c>
      <c r="O29">
        <v>1</v>
      </c>
      <c r="P29">
        <v>0</v>
      </c>
      <c r="Q29">
        <v>1</v>
      </c>
      <c r="R29">
        <v>6</v>
      </c>
      <c r="S29">
        <v>1</v>
      </c>
      <c r="T29">
        <v>4</v>
      </c>
      <c r="U29">
        <v>8</v>
      </c>
      <c r="V29">
        <v>15</v>
      </c>
      <c r="W29">
        <v>12</v>
      </c>
      <c r="X29">
        <v>19</v>
      </c>
      <c r="Y29">
        <v>10</v>
      </c>
      <c r="Z29">
        <v>8</v>
      </c>
      <c r="AA29">
        <v>4</v>
      </c>
      <c r="AB29">
        <v>5</v>
      </c>
      <c r="AC29">
        <v>5</v>
      </c>
      <c r="AD29">
        <v>18</v>
      </c>
      <c r="AE29">
        <v>2</v>
      </c>
      <c r="AF29">
        <v>4</v>
      </c>
      <c r="AG29">
        <v>7</v>
      </c>
      <c r="AH29">
        <v>3</v>
      </c>
      <c r="AI29" s="20">
        <v>9</v>
      </c>
      <c r="AJ29" s="16"/>
      <c r="AK29" s="21" t="s">
        <v>8</v>
      </c>
      <c r="AL29" s="18"/>
      <c r="AQ29" s="20"/>
      <c r="AS29">
        <f t="shared" si="13"/>
        <v>0</v>
      </c>
    </row>
    <row r="30" spans="1:45" x14ac:dyDescent="0.3">
      <c r="A30" s="25" t="s">
        <v>18</v>
      </c>
      <c r="B30" s="24" t="s">
        <v>10</v>
      </c>
      <c r="C30" s="18"/>
      <c r="K30" s="20"/>
      <c r="L30" s="25" t="str">
        <f>A30</f>
        <v>MA 3T</v>
      </c>
      <c r="M30" s="21" t="s">
        <v>10</v>
      </c>
      <c r="N30" s="18"/>
      <c r="AI30" s="20"/>
      <c r="AJ30" s="16" t="str">
        <f>L30</f>
        <v>MA 3T</v>
      </c>
      <c r="AK30" s="21" t="s">
        <v>11</v>
      </c>
      <c r="AL30" s="18">
        <v>6</v>
      </c>
      <c r="AM30">
        <v>9</v>
      </c>
      <c r="AN30">
        <v>3</v>
      </c>
      <c r="AO30">
        <v>8</v>
      </c>
      <c r="AP30">
        <v>3</v>
      </c>
      <c r="AQ30" s="20"/>
      <c r="AS30">
        <f t="shared" si="13"/>
        <v>112</v>
      </c>
    </row>
    <row r="31" spans="1:45" x14ac:dyDescent="0.3">
      <c r="A31" s="25"/>
      <c r="B31" s="24" t="s">
        <v>11</v>
      </c>
      <c r="C31" s="18">
        <v>7</v>
      </c>
      <c r="D31">
        <v>7</v>
      </c>
      <c r="E31">
        <v>10</v>
      </c>
      <c r="F31" s="19">
        <v>30</v>
      </c>
      <c r="G31">
        <v>6</v>
      </c>
      <c r="H31">
        <v>8</v>
      </c>
      <c r="I31">
        <v>6</v>
      </c>
      <c r="J31">
        <v>8</v>
      </c>
      <c r="K31" s="20">
        <v>3</v>
      </c>
      <c r="L31" s="25"/>
      <c r="M31" s="21" t="s">
        <v>11</v>
      </c>
      <c r="N31" s="18">
        <v>0</v>
      </c>
      <c r="O31">
        <v>2</v>
      </c>
      <c r="P31">
        <v>1</v>
      </c>
      <c r="Q31">
        <v>2</v>
      </c>
      <c r="R31">
        <v>5</v>
      </c>
      <c r="S31">
        <v>3</v>
      </c>
      <c r="T31">
        <v>8</v>
      </c>
      <c r="U31">
        <v>5</v>
      </c>
      <c r="V31">
        <v>18</v>
      </c>
      <c r="W31">
        <v>13</v>
      </c>
      <c r="X31">
        <v>3</v>
      </c>
      <c r="Y31">
        <v>4</v>
      </c>
      <c r="Z31">
        <v>3</v>
      </c>
      <c r="AA31">
        <v>15</v>
      </c>
      <c r="AB31">
        <v>3</v>
      </c>
      <c r="AC31">
        <v>3</v>
      </c>
      <c r="AD31">
        <v>7</v>
      </c>
      <c r="AE31">
        <v>4</v>
      </c>
      <c r="AF31">
        <v>1</v>
      </c>
      <c r="AG31">
        <v>5</v>
      </c>
      <c r="AH31">
        <v>2</v>
      </c>
      <c r="AI31" s="20">
        <v>5</v>
      </c>
      <c r="AJ31" s="16"/>
      <c r="AK31" s="21" t="s">
        <v>12</v>
      </c>
      <c r="AL31" s="18"/>
      <c r="AQ31" s="20"/>
    </row>
    <row r="32" spans="1:45" x14ac:dyDescent="0.3">
      <c r="A32" s="25"/>
      <c r="B32" s="24" t="s">
        <v>12</v>
      </c>
      <c r="C32" s="18"/>
      <c r="K32" s="20"/>
      <c r="L32" s="25"/>
      <c r="M32" s="21" t="s">
        <v>12</v>
      </c>
      <c r="N32" s="18"/>
      <c r="AI32" s="20"/>
      <c r="AJ32" s="16"/>
      <c r="AK32" s="21" t="s">
        <v>13</v>
      </c>
      <c r="AL32" s="18">
        <v>110</v>
      </c>
      <c r="AM32">
        <v>130</v>
      </c>
      <c r="AN32">
        <v>107</v>
      </c>
      <c r="AO32">
        <v>128</v>
      </c>
      <c r="AP32">
        <v>123</v>
      </c>
      <c r="AQ32" s="20"/>
    </row>
    <row r="33" spans="1:45" x14ac:dyDescent="0.3">
      <c r="A33" s="25"/>
      <c r="B33" s="24" t="s">
        <v>13</v>
      </c>
      <c r="C33" s="18">
        <v>110</v>
      </c>
      <c r="D33">
        <v>119</v>
      </c>
      <c r="E33">
        <v>89</v>
      </c>
      <c r="F33">
        <v>108</v>
      </c>
      <c r="G33">
        <v>123</v>
      </c>
      <c r="H33">
        <v>87</v>
      </c>
      <c r="I33">
        <v>110</v>
      </c>
      <c r="J33">
        <v>120</v>
      </c>
      <c r="K33" s="20">
        <v>98</v>
      </c>
      <c r="L33" s="25"/>
      <c r="M33" s="21" t="s">
        <v>13</v>
      </c>
      <c r="N33" s="18">
        <v>140</v>
      </c>
      <c r="O33">
        <v>142</v>
      </c>
      <c r="P33">
        <v>143</v>
      </c>
      <c r="Q33">
        <v>147</v>
      </c>
      <c r="R33">
        <v>139</v>
      </c>
      <c r="S33">
        <v>154</v>
      </c>
      <c r="T33">
        <v>124</v>
      </c>
      <c r="U33">
        <v>132</v>
      </c>
      <c r="V33">
        <v>100</v>
      </c>
      <c r="W33">
        <v>110</v>
      </c>
      <c r="X33">
        <v>108</v>
      </c>
      <c r="Y33">
        <v>127</v>
      </c>
      <c r="Z33">
        <v>107</v>
      </c>
      <c r="AA33">
        <v>100</v>
      </c>
      <c r="AB33">
        <v>129</v>
      </c>
      <c r="AC33">
        <v>135</v>
      </c>
      <c r="AD33">
        <v>119</v>
      </c>
      <c r="AE33">
        <v>128</v>
      </c>
      <c r="AF33">
        <v>112</v>
      </c>
      <c r="AG33">
        <v>54</v>
      </c>
      <c r="AH33">
        <v>154</v>
      </c>
      <c r="AI33" s="20">
        <v>122</v>
      </c>
      <c r="AJ33" s="16"/>
      <c r="AK33" s="21" t="s">
        <v>14</v>
      </c>
      <c r="AL33" s="27">
        <v>259</v>
      </c>
      <c r="AM33" s="28">
        <v>280</v>
      </c>
      <c r="AN33" s="28">
        <v>281</v>
      </c>
      <c r="AO33" s="28">
        <v>290</v>
      </c>
      <c r="AP33" s="28">
        <v>297</v>
      </c>
      <c r="AQ33" s="29"/>
    </row>
    <row r="34" spans="1:45" ht="15" thickBot="1" x14ac:dyDescent="0.35">
      <c r="A34" s="36"/>
      <c r="B34" s="37" t="s">
        <v>14</v>
      </c>
      <c r="C34" s="27">
        <v>304</v>
      </c>
      <c r="D34" s="28">
        <v>301</v>
      </c>
      <c r="E34" s="28">
        <v>248</v>
      </c>
      <c r="F34" s="28">
        <v>296</v>
      </c>
      <c r="G34" s="28">
        <v>309</v>
      </c>
      <c r="H34" s="28">
        <v>277</v>
      </c>
      <c r="I34" s="28">
        <v>289</v>
      </c>
      <c r="J34" s="28">
        <v>290</v>
      </c>
      <c r="K34" s="29">
        <v>299</v>
      </c>
      <c r="L34" s="25"/>
      <c r="M34" s="21" t="s">
        <v>14</v>
      </c>
      <c r="N34" s="27">
        <v>335</v>
      </c>
      <c r="O34" s="28">
        <v>351</v>
      </c>
      <c r="P34" s="28">
        <v>320</v>
      </c>
      <c r="Q34" s="28">
        <v>350</v>
      </c>
      <c r="R34" s="28">
        <v>350</v>
      </c>
      <c r="S34" s="28">
        <v>340</v>
      </c>
      <c r="T34" s="28">
        <v>291</v>
      </c>
      <c r="U34" s="28">
        <v>305</v>
      </c>
      <c r="V34" s="28">
        <v>306</v>
      </c>
      <c r="W34" s="28">
        <v>305</v>
      </c>
      <c r="X34" s="28">
        <v>289</v>
      </c>
      <c r="Y34" s="28">
        <v>306</v>
      </c>
      <c r="Z34" s="28">
        <v>294</v>
      </c>
      <c r="AA34" s="28">
        <v>292</v>
      </c>
      <c r="AB34" s="28">
        <v>302</v>
      </c>
      <c r="AC34" s="28">
        <v>295</v>
      </c>
      <c r="AD34" s="28">
        <v>305</v>
      </c>
      <c r="AE34" s="28">
        <v>299</v>
      </c>
      <c r="AF34" s="28">
        <v>270</v>
      </c>
      <c r="AG34" s="28">
        <v>180</v>
      </c>
      <c r="AH34" s="28">
        <v>350</v>
      </c>
      <c r="AI34" s="29">
        <v>330</v>
      </c>
      <c r="AJ34" s="30"/>
      <c r="AK34" s="18"/>
      <c r="AQ34" s="20"/>
    </row>
    <row r="35" spans="1:45" x14ac:dyDescent="0.3">
      <c r="A35" s="38">
        <f>A2+1</f>
        <v>46085</v>
      </c>
      <c r="B35" s="8" t="s">
        <v>1</v>
      </c>
      <c r="C35" s="39">
        <v>201</v>
      </c>
      <c r="D35" s="39">
        <f t="shared" ref="D35:H35" si="14">+C35+1</f>
        <v>202</v>
      </c>
      <c r="E35" s="39">
        <f t="shared" si="14"/>
        <v>203</v>
      </c>
      <c r="F35" s="39">
        <f t="shared" si="14"/>
        <v>204</v>
      </c>
      <c r="G35" s="39">
        <f t="shared" si="14"/>
        <v>205</v>
      </c>
      <c r="H35" s="39">
        <f t="shared" si="14"/>
        <v>206</v>
      </c>
      <c r="I35" s="39">
        <v>213</v>
      </c>
      <c r="J35" s="39">
        <f>+I35+1</f>
        <v>214</v>
      </c>
      <c r="K35" s="40">
        <f>+J35+1</f>
        <v>215</v>
      </c>
      <c r="L35" s="38">
        <f>A35</f>
        <v>46085</v>
      </c>
      <c r="M35" s="8" t="s">
        <v>1</v>
      </c>
      <c r="N35" s="39">
        <v>299</v>
      </c>
      <c r="O35" s="39">
        <f t="shared" ref="O35:X35" si="15">+N35+1</f>
        <v>300</v>
      </c>
      <c r="P35" s="39">
        <f t="shared" si="15"/>
        <v>301</v>
      </c>
      <c r="Q35" s="39">
        <f t="shared" si="15"/>
        <v>302</v>
      </c>
      <c r="R35" s="39">
        <f t="shared" si="15"/>
        <v>303</v>
      </c>
      <c r="S35" s="39">
        <f t="shared" si="15"/>
        <v>304</v>
      </c>
      <c r="T35" s="39">
        <f t="shared" si="15"/>
        <v>305</v>
      </c>
      <c r="U35" s="39">
        <f t="shared" si="15"/>
        <v>306</v>
      </c>
      <c r="V35" s="39">
        <f t="shared" si="15"/>
        <v>307</v>
      </c>
      <c r="W35" s="39">
        <f t="shared" si="15"/>
        <v>308</v>
      </c>
      <c r="X35" s="39">
        <f t="shared" si="15"/>
        <v>309</v>
      </c>
      <c r="Y35" s="39">
        <f>+X35+1</f>
        <v>310</v>
      </c>
      <c r="Z35" s="39">
        <f t="shared" ref="Z35:AB35" si="16">+Y35+1</f>
        <v>311</v>
      </c>
      <c r="AA35" s="39">
        <f t="shared" si="16"/>
        <v>312</v>
      </c>
      <c r="AB35" s="39">
        <f t="shared" si="16"/>
        <v>313</v>
      </c>
      <c r="AC35" s="39">
        <f>+AB35+1</f>
        <v>314</v>
      </c>
      <c r="AD35" s="39">
        <f t="shared" ref="AD35:AI35" si="17">+AC35+1</f>
        <v>315</v>
      </c>
      <c r="AE35" s="39">
        <f t="shared" si="17"/>
        <v>316</v>
      </c>
      <c r="AF35" s="39">
        <f t="shared" si="17"/>
        <v>317</v>
      </c>
      <c r="AG35" s="39">
        <f t="shared" si="17"/>
        <v>318</v>
      </c>
      <c r="AH35" s="39">
        <f t="shared" si="17"/>
        <v>319</v>
      </c>
      <c r="AI35" s="40">
        <f t="shared" si="17"/>
        <v>320</v>
      </c>
      <c r="AJ35" s="38">
        <f>L35</f>
        <v>46085</v>
      </c>
      <c r="AK35" s="41" t="s">
        <v>1</v>
      </c>
      <c r="AL35" s="42">
        <v>207</v>
      </c>
      <c r="AM35" s="42">
        <f>+AL35+1</f>
        <v>208</v>
      </c>
      <c r="AN35" s="42">
        <f>+AM35+1</f>
        <v>209</v>
      </c>
      <c r="AO35" s="42">
        <f>+AN35+1</f>
        <v>210</v>
      </c>
      <c r="AP35" s="42">
        <f>+AO35+1</f>
        <v>211</v>
      </c>
      <c r="AQ35" s="40">
        <f>+AP35+1</f>
        <v>212</v>
      </c>
    </row>
    <row r="36" spans="1:45" x14ac:dyDescent="0.3">
      <c r="A36" s="43"/>
      <c r="B36" s="24" t="s">
        <v>2</v>
      </c>
      <c r="C36" s="9">
        <f t="shared" ref="C36:K36" si="18">(C45*100000)/(C46*60*8)</f>
        <v>75.383771929824562</v>
      </c>
      <c r="D36" s="10">
        <f t="shared" si="18"/>
        <v>83.056478405315616</v>
      </c>
      <c r="E36" s="10">
        <f t="shared" si="18"/>
        <v>52.923387096774192</v>
      </c>
      <c r="F36" s="10">
        <f t="shared" si="18"/>
        <v>87.978603603603602</v>
      </c>
      <c r="G36" s="10">
        <f t="shared" si="18"/>
        <v>91.693635382955776</v>
      </c>
      <c r="H36" s="10">
        <f t="shared" si="18"/>
        <v>70.697954271961493</v>
      </c>
      <c r="I36" s="10">
        <f t="shared" si="18"/>
        <v>73.529411764705884</v>
      </c>
      <c r="J36" s="10">
        <f t="shared" si="18"/>
        <v>79.741379310344826</v>
      </c>
      <c r="K36" s="11">
        <f t="shared" si="18"/>
        <v>41.80602006688963</v>
      </c>
      <c r="L36" s="43"/>
      <c r="M36" s="21" t="s">
        <v>2</v>
      </c>
      <c r="N36" s="13">
        <f>(N45*100000)/(N46*60*8)</f>
        <v>87.06467661691542</v>
      </c>
      <c r="O36" s="14">
        <f t="shared" ref="O36:S36" si="19">(O45*100000)/(O46*60*8)</f>
        <v>77.160493827160494</v>
      </c>
      <c r="P36" s="14">
        <f t="shared" si="19"/>
        <v>83.333333333333329</v>
      </c>
      <c r="Q36" s="14">
        <f t="shared" si="19"/>
        <v>82.738095238095241</v>
      </c>
      <c r="R36" s="14">
        <f t="shared" si="19"/>
        <v>89.285714285714292</v>
      </c>
      <c r="S36" s="14">
        <f t="shared" si="19"/>
        <v>90.686274509803923</v>
      </c>
      <c r="T36" s="14">
        <f>(T45*100000)/(T46*60*8)</f>
        <v>90.922107674684995</v>
      </c>
      <c r="U36" s="14">
        <f>(U45*100000)/(U46*60*8)</f>
        <v>86.06557377049181</v>
      </c>
      <c r="V36" s="14">
        <f t="shared" ref="V36:AI36" si="20">(V45*100000)/(V46*60*8)</f>
        <v>82.380174291938999</v>
      </c>
      <c r="W36" s="14">
        <f t="shared" si="20"/>
        <v>58.060109289617486</v>
      </c>
      <c r="X36" s="14">
        <f t="shared" si="20"/>
        <v>77.854671280276818</v>
      </c>
      <c r="Y36" s="14">
        <f t="shared" si="20"/>
        <v>78.976034858387806</v>
      </c>
      <c r="Z36" s="14">
        <f t="shared" si="20"/>
        <v>80.782312925170075</v>
      </c>
      <c r="AA36" s="14">
        <f t="shared" si="20"/>
        <v>85.61643835616438</v>
      </c>
      <c r="AB36" s="14">
        <f t="shared" si="20"/>
        <v>87.610375275938196</v>
      </c>
      <c r="AC36" s="14">
        <f t="shared" si="20"/>
        <v>86.86440677966101</v>
      </c>
      <c r="AD36" s="14">
        <f t="shared" si="20"/>
        <v>66.939890710382514</v>
      </c>
      <c r="AE36" s="14">
        <f t="shared" si="20"/>
        <v>0</v>
      </c>
      <c r="AF36" s="14">
        <f t="shared" si="20"/>
        <v>79.475308641975303</v>
      </c>
      <c r="AG36" s="14">
        <f t="shared" si="20"/>
        <v>24.305555555555557</v>
      </c>
      <c r="AH36" s="14">
        <f t="shared" si="20"/>
        <v>84.523809523809518</v>
      </c>
      <c r="AI36" s="11">
        <f t="shared" si="20"/>
        <v>80.176767676767682</v>
      </c>
      <c r="AJ36" s="43"/>
      <c r="AK36" s="44" t="s">
        <v>2</v>
      </c>
      <c r="AL36" s="9">
        <f>(AL44*100000)/(AL45*60*8)</f>
        <v>71.589446589446595</v>
      </c>
      <c r="AM36" s="10">
        <f t="shared" ref="AM36:AP36" si="21">(AM44*100000)/(AM45*60*8)</f>
        <v>96.726190476190482</v>
      </c>
      <c r="AN36" s="10">
        <f t="shared" si="21"/>
        <v>81.553973902728345</v>
      </c>
      <c r="AO36" s="10">
        <f t="shared" si="21"/>
        <v>87.643678160919535</v>
      </c>
      <c r="AP36" s="10">
        <f t="shared" si="21"/>
        <v>88.383838383838381</v>
      </c>
      <c r="AQ36" s="15"/>
    </row>
    <row r="37" spans="1:45" x14ac:dyDescent="0.3">
      <c r="A37" s="43"/>
      <c r="B37" s="24" t="s">
        <v>3</v>
      </c>
      <c r="C37" s="18">
        <v>4</v>
      </c>
      <c r="D37">
        <v>11</v>
      </c>
      <c r="E37">
        <v>3</v>
      </c>
      <c r="F37">
        <v>11</v>
      </c>
      <c r="G37">
        <v>5</v>
      </c>
      <c r="H37">
        <v>2</v>
      </c>
      <c r="I37" s="19">
        <v>24</v>
      </c>
      <c r="J37">
        <v>1</v>
      </c>
      <c r="K37" s="20">
        <v>5</v>
      </c>
      <c r="L37" s="43"/>
      <c r="M37" s="21" t="s">
        <v>3</v>
      </c>
      <c r="N37" s="18">
        <v>7</v>
      </c>
      <c r="O37" s="19">
        <v>25</v>
      </c>
      <c r="P37" s="19">
        <v>22</v>
      </c>
      <c r="Q37">
        <v>1</v>
      </c>
      <c r="R37">
        <v>0</v>
      </c>
      <c r="S37">
        <v>3</v>
      </c>
      <c r="T37">
        <v>1</v>
      </c>
      <c r="U37">
        <v>17</v>
      </c>
      <c r="V37">
        <v>0</v>
      </c>
      <c r="W37" s="19">
        <v>38</v>
      </c>
      <c r="X37">
        <v>11</v>
      </c>
      <c r="Y37">
        <v>0</v>
      </c>
      <c r="Z37">
        <v>1</v>
      </c>
      <c r="AA37" s="19">
        <v>61</v>
      </c>
      <c r="AB37">
        <v>1</v>
      </c>
      <c r="AC37">
        <v>7</v>
      </c>
      <c r="AD37">
        <v>12</v>
      </c>
      <c r="AF37">
        <v>1</v>
      </c>
      <c r="AG37">
        <v>1</v>
      </c>
      <c r="AH37">
        <v>14</v>
      </c>
      <c r="AI37" s="20">
        <v>6</v>
      </c>
      <c r="AJ37" s="43"/>
      <c r="AK37" s="44" t="s">
        <v>3</v>
      </c>
      <c r="AL37" s="18">
        <v>6</v>
      </c>
      <c r="AM37">
        <v>8</v>
      </c>
      <c r="AN37">
        <v>3</v>
      </c>
      <c r="AO37">
        <v>4</v>
      </c>
      <c r="AP37">
        <v>3</v>
      </c>
      <c r="AQ37" s="20"/>
    </row>
    <row r="38" spans="1:45" x14ac:dyDescent="0.3">
      <c r="A38" s="43"/>
      <c r="B38" s="21" t="s">
        <v>4</v>
      </c>
      <c r="C38" s="18"/>
      <c r="K38" s="20"/>
      <c r="L38" s="43"/>
      <c r="M38" s="21" t="s">
        <v>4</v>
      </c>
      <c r="N38" s="18"/>
      <c r="AJ38" s="43"/>
      <c r="AK38" s="44" t="s">
        <v>4</v>
      </c>
      <c r="AL38" s="18"/>
      <c r="AQ38" s="20"/>
    </row>
    <row r="39" spans="1:45" x14ac:dyDescent="0.3">
      <c r="A39" s="43"/>
      <c r="B39" s="24" t="s">
        <v>5</v>
      </c>
      <c r="C39" s="18">
        <v>8</v>
      </c>
      <c r="D39">
        <v>9</v>
      </c>
      <c r="E39" s="19">
        <v>20</v>
      </c>
      <c r="F39">
        <v>7</v>
      </c>
      <c r="G39">
        <v>7</v>
      </c>
      <c r="H39">
        <v>15</v>
      </c>
      <c r="I39">
        <v>15</v>
      </c>
      <c r="J39">
        <v>4</v>
      </c>
      <c r="K39" s="20">
        <v>10</v>
      </c>
      <c r="L39" s="43"/>
      <c r="M39" s="21" t="s">
        <v>5</v>
      </c>
      <c r="N39" s="18">
        <v>3</v>
      </c>
      <c r="O39">
        <v>9</v>
      </c>
      <c r="P39">
        <v>5</v>
      </c>
      <c r="Q39">
        <v>11</v>
      </c>
      <c r="R39">
        <v>2</v>
      </c>
      <c r="S39">
        <v>8</v>
      </c>
      <c r="T39">
        <v>2</v>
      </c>
      <c r="U39">
        <v>4</v>
      </c>
      <c r="V39">
        <v>8</v>
      </c>
      <c r="W39" s="19">
        <v>20</v>
      </c>
      <c r="X39">
        <v>7</v>
      </c>
      <c r="Y39">
        <v>2</v>
      </c>
      <c r="Z39">
        <v>15</v>
      </c>
      <c r="AA39">
        <v>11</v>
      </c>
      <c r="AB39">
        <v>4</v>
      </c>
      <c r="AC39">
        <v>0</v>
      </c>
      <c r="AD39">
        <v>4</v>
      </c>
      <c r="AF39">
        <v>17</v>
      </c>
      <c r="AG39">
        <v>11</v>
      </c>
      <c r="AH39">
        <v>2</v>
      </c>
      <c r="AI39" s="20">
        <v>12</v>
      </c>
      <c r="AJ39" s="43"/>
      <c r="AK39" s="44" t="s">
        <v>5</v>
      </c>
      <c r="AL39" s="18">
        <v>4</v>
      </c>
      <c r="AM39">
        <v>8</v>
      </c>
      <c r="AN39">
        <v>5</v>
      </c>
      <c r="AO39">
        <v>3</v>
      </c>
      <c r="AP39">
        <v>7</v>
      </c>
      <c r="AQ39" s="20"/>
    </row>
    <row r="40" spans="1:45" x14ac:dyDescent="0.3">
      <c r="A40" s="43"/>
      <c r="B40" s="24" t="s">
        <v>6</v>
      </c>
      <c r="C40" s="18"/>
      <c r="K40" s="20"/>
      <c r="L40" s="43"/>
      <c r="M40" s="21" t="s">
        <v>6</v>
      </c>
      <c r="N40" s="18"/>
      <c r="AI40" s="20"/>
      <c r="AJ40" s="43"/>
      <c r="AK40" s="44" t="s">
        <v>7</v>
      </c>
      <c r="AL40" s="18">
        <v>5</v>
      </c>
      <c r="AM40">
        <v>2</v>
      </c>
      <c r="AN40">
        <v>7</v>
      </c>
      <c r="AO40">
        <v>3</v>
      </c>
      <c r="AP40">
        <v>1</v>
      </c>
      <c r="AQ40" s="20"/>
    </row>
    <row r="41" spans="1:45" x14ac:dyDescent="0.3">
      <c r="A41" s="43"/>
      <c r="B41" s="24" t="s">
        <v>7</v>
      </c>
      <c r="C41" s="18">
        <v>2</v>
      </c>
      <c r="D41">
        <v>6</v>
      </c>
      <c r="E41">
        <v>9</v>
      </c>
      <c r="F41">
        <v>7</v>
      </c>
      <c r="G41">
        <v>1</v>
      </c>
      <c r="H41">
        <v>14</v>
      </c>
      <c r="I41">
        <v>11</v>
      </c>
      <c r="J41">
        <v>6</v>
      </c>
      <c r="K41" s="34">
        <v>30</v>
      </c>
      <c r="L41" s="43"/>
      <c r="M41" s="21" t="s">
        <v>7</v>
      </c>
      <c r="N41" s="18">
        <v>4</v>
      </c>
      <c r="O41">
        <v>3</v>
      </c>
      <c r="P41">
        <v>3</v>
      </c>
      <c r="Q41">
        <v>3</v>
      </c>
      <c r="R41">
        <v>6</v>
      </c>
      <c r="S41">
        <v>2</v>
      </c>
      <c r="T41">
        <v>12</v>
      </c>
      <c r="U41">
        <v>13</v>
      </c>
      <c r="V41">
        <v>11</v>
      </c>
      <c r="W41">
        <v>6</v>
      </c>
      <c r="X41">
        <v>16</v>
      </c>
      <c r="Y41">
        <v>18</v>
      </c>
      <c r="Z41">
        <v>4</v>
      </c>
      <c r="AA41">
        <v>1</v>
      </c>
      <c r="AB41">
        <v>3</v>
      </c>
      <c r="AC41">
        <v>5</v>
      </c>
      <c r="AD41">
        <v>6</v>
      </c>
      <c r="AF41">
        <v>4</v>
      </c>
      <c r="AG41">
        <v>2</v>
      </c>
      <c r="AH41">
        <v>1</v>
      </c>
      <c r="AI41" s="20">
        <v>15</v>
      </c>
      <c r="AJ41" s="43"/>
      <c r="AK41" s="44" t="s">
        <v>8</v>
      </c>
      <c r="AL41" s="18"/>
      <c r="AQ41" s="20"/>
    </row>
    <row r="42" spans="1:45" x14ac:dyDescent="0.3">
      <c r="A42" s="45" t="s">
        <v>19</v>
      </c>
      <c r="B42" s="24" t="s">
        <v>10</v>
      </c>
      <c r="C42" s="18"/>
      <c r="K42" s="20"/>
      <c r="L42" s="45" t="e">
        <f>+#REF!</f>
        <v>#REF!</v>
      </c>
      <c r="M42" s="21" t="s">
        <v>10</v>
      </c>
      <c r="N42" s="18"/>
      <c r="AI42" s="20"/>
      <c r="AJ42" s="45" t="e">
        <f>L42</f>
        <v>#REF!</v>
      </c>
      <c r="AK42" s="44" t="s">
        <v>11</v>
      </c>
      <c r="AL42" s="18">
        <v>4</v>
      </c>
      <c r="AM42">
        <v>5</v>
      </c>
      <c r="AN42">
        <v>3</v>
      </c>
      <c r="AO42">
        <v>2</v>
      </c>
      <c r="AP42">
        <v>7</v>
      </c>
      <c r="AQ42" s="20"/>
    </row>
    <row r="43" spans="1:45" x14ac:dyDescent="0.3">
      <c r="A43" s="45"/>
      <c r="B43" s="24" t="s">
        <v>11</v>
      </c>
      <c r="C43" s="18">
        <v>10</v>
      </c>
      <c r="D43">
        <v>11</v>
      </c>
      <c r="E43" s="19">
        <v>32</v>
      </c>
      <c r="F43" s="19">
        <v>25</v>
      </c>
      <c r="G43">
        <v>4</v>
      </c>
      <c r="H43">
        <v>8</v>
      </c>
      <c r="I43">
        <v>7</v>
      </c>
      <c r="J43">
        <v>5</v>
      </c>
      <c r="K43" s="20">
        <v>5</v>
      </c>
      <c r="L43" s="45"/>
      <c r="M43" s="21" t="s">
        <v>11</v>
      </c>
      <c r="N43" s="18">
        <v>3</v>
      </c>
      <c r="O43">
        <v>3</v>
      </c>
      <c r="P43">
        <v>13</v>
      </c>
      <c r="Q43">
        <v>5</v>
      </c>
      <c r="R43">
        <v>5</v>
      </c>
      <c r="S43">
        <v>7</v>
      </c>
      <c r="T43">
        <v>12</v>
      </c>
      <c r="U43">
        <v>4</v>
      </c>
      <c r="V43">
        <v>4</v>
      </c>
      <c r="W43" s="19">
        <v>28</v>
      </c>
      <c r="X43">
        <v>4</v>
      </c>
      <c r="Y43">
        <v>8</v>
      </c>
      <c r="Z43">
        <v>2</v>
      </c>
      <c r="AA43">
        <v>22</v>
      </c>
      <c r="AB43">
        <v>2</v>
      </c>
      <c r="AC43">
        <v>4</v>
      </c>
      <c r="AD43">
        <v>8</v>
      </c>
      <c r="AF43">
        <v>4</v>
      </c>
      <c r="AG43">
        <v>6</v>
      </c>
      <c r="AH43">
        <v>7</v>
      </c>
      <c r="AI43" s="20">
        <v>3</v>
      </c>
      <c r="AJ43" s="45"/>
      <c r="AK43" s="44" t="s">
        <v>12</v>
      </c>
      <c r="AL43" s="18"/>
      <c r="AQ43" s="20"/>
    </row>
    <row r="44" spans="1:45" x14ac:dyDescent="0.3">
      <c r="A44" s="45"/>
      <c r="B44" s="24" t="s">
        <v>12</v>
      </c>
      <c r="C44" s="18"/>
      <c r="K44" s="20"/>
      <c r="L44" s="45"/>
      <c r="M44" s="21" t="s">
        <v>12</v>
      </c>
      <c r="N44" s="18"/>
      <c r="AI44" s="20"/>
      <c r="AJ44" s="45"/>
      <c r="AK44" s="44" t="s">
        <v>13</v>
      </c>
      <c r="AL44" s="18">
        <v>89</v>
      </c>
      <c r="AM44">
        <v>130</v>
      </c>
      <c r="AN44">
        <v>110</v>
      </c>
      <c r="AO44">
        <v>122</v>
      </c>
      <c r="AP44">
        <v>126</v>
      </c>
      <c r="AQ44" s="20"/>
    </row>
    <row r="45" spans="1:45" x14ac:dyDescent="0.3">
      <c r="A45" s="45"/>
      <c r="B45" s="24" t="s">
        <v>13</v>
      </c>
      <c r="C45" s="18">
        <v>110</v>
      </c>
      <c r="D45">
        <v>120</v>
      </c>
      <c r="E45">
        <v>63</v>
      </c>
      <c r="F45">
        <v>125</v>
      </c>
      <c r="G45">
        <v>136</v>
      </c>
      <c r="H45">
        <v>94</v>
      </c>
      <c r="I45">
        <v>102</v>
      </c>
      <c r="J45">
        <v>111</v>
      </c>
      <c r="K45" s="20">
        <v>60</v>
      </c>
      <c r="L45" s="45"/>
      <c r="M45" s="21" t="s">
        <v>13</v>
      </c>
      <c r="N45" s="18">
        <v>140</v>
      </c>
      <c r="O45">
        <v>130</v>
      </c>
      <c r="P45">
        <v>128</v>
      </c>
      <c r="Q45">
        <v>139</v>
      </c>
      <c r="R45">
        <v>150</v>
      </c>
      <c r="S45">
        <v>148</v>
      </c>
      <c r="T45">
        <v>127</v>
      </c>
      <c r="U45">
        <v>126</v>
      </c>
      <c r="V45">
        <v>121</v>
      </c>
      <c r="W45">
        <v>85</v>
      </c>
      <c r="X45">
        <v>108</v>
      </c>
      <c r="Y45">
        <v>116</v>
      </c>
      <c r="Z45">
        <v>114</v>
      </c>
      <c r="AA45">
        <v>120</v>
      </c>
      <c r="AB45">
        <v>127</v>
      </c>
      <c r="AC45">
        <v>123</v>
      </c>
      <c r="AD45">
        <v>98</v>
      </c>
      <c r="AF45">
        <v>103</v>
      </c>
      <c r="AG45">
        <v>21</v>
      </c>
      <c r="AH45">
        <v>142</v>
      </c>
      <c r="AI45" s="20">
        <v>127</v>
      </c>
      <c r="AJ45" s="45"/>
      <c r="AK45" s="44" t="s">
        <v>14</v>
      </c>
      <c r="AL45" s="27">
        <v>259</v>
      </c>
      <c r="AM45" s="28">
        <v>280</v>
      </c>
      <c r="AN45" s="28">
        <v>281</v>
      </c>
      <c r="AO45" s="28">
        <v>290</v>
      </c>
      <c r="AP45" s="28">
        <v>297</v>
      </c>
      <c r="AQ45" s="29"/>
    </row>
    <row r="46" spans="1:45" x14ac:dyDescent="0.3">
      <c r="A46" s="45"/>
      <c r="B46" s="24" t="s">
        <v>14</v>
      </c>
      <c r="C46" s="27">
        <v>304</v>
      </c>
      <c r="D46" s="28">
        <v>301</v>
      </c>
      <c r="E46" s="28">
        <v>248</v>
      </c>
      <c r="F46" s="28">
        <v>296</v>
      </c>
      <c r="G46" s="28">
        <v>309</v>
      </c>
      <c r="H46" s="28">
        <v>277</v>
      </c>
      <c r="I46" s="28">
        <v>289</v>
      </c>
      <c r="J46" s="28">
        <v>290</v>
      </c>
      <c r="K46" s="29">
        <v>299</v>
      </c>
      <c r="L46" s="45"/>
      <c r="M46" s="21" t="s">
        <v>14</v>
      </c>
      <c r="N46" s="27">
        <v>335</v>
      </c>
      <c r="O46" s="28">
        <v>351</v>
      </c>
      <c r="P46" s="28">
        <v>320</v>
      </c>
      <c r="Q46" s="28">
        <v>350</v>
      </c>
      <c r="R46" s="28">
        <v>350</v>
      </c>
      <c r="S46" s="28">
        <v>340</v>
      </c>
      <c r="T46" s="28">
        <v>291</v>
      </c>
      <c r="U46" s="28">
        <v>305</v>
      </c>
      <c r="V46" s="28">
        <v>306</v>
      </c>
      <c r="W46" s="28">
        <v>305</v>
      </c>
      <c r="X46" s="28">
        <v>289</v>
      </c>
      <c r="Y46" s="28">
        <v>306</v>
      </c>
      <c r="Z46" s="28">
        <v>294</v>
      </c>
      <c r="AA46" s="28">
        <v>292</v>
      </c>
      <c r="AB46" s="28">
        <v>302</v>
      </c>
      <c r="AC46" s="28">
        <v>295</v>
      </c>
      <c r="AD46" s="28">
        <v>305</v>
      </c>
      <c r="AE46" s="28">
        <v>299</v>
      </c>
      <c r="AF46" s="28">
        <v>270</v>
      </c>
      <c r="AG46" s="28">
        <v>180</v>
      </c>
      <c r="AH46" s="28">
        <v>350</v>
      </c>
      <c r="AI46" s="29">
        <v>330</v>
      </c>
      <c r="AJ46" s="30"/>
      <c r="AK46" s="18"/>
      <c r="AQ46" s="20"/>
    </row>
    <row r="47" spans="1:45" x14ac:dyDescent="0.3">
      <c r="A47" s="43">
        <f>A24+1</f>
        <v>46085</v>
      </c>
      <c r="B47" s="24" t="s">
        <v>2</v>
      </c>
      <c r="C47" s="9">
        <f t="shared" ref="C47:K47" si="22">(C56*100000)/(C57*60*8)</f>
        <v>87.033991228070178</v>
      </c>
      <c r="D47" s="10">
        <f t="shared" si="22"/>
        <v>66.168327796234777</v>
      </c>
      <c r="E47" s="10">
        <f t="shared" si="22"/>
        <v>92.405913978494624</v>
      </c>
      <c r="F47" s="10">
        <f t="shared" si="22"/>
        <v>90.090090090090087</v>
      </c>
      <c r="G47" s="10">
        <f t="shared" si="22"/>
        <v>80.029665587918018</v>
      </c>
      <c r="H47" s="10">
        <f t="shared" si="22"/>
        <v>74.157641395908541</v>
      </c>
      <c r="I47" s="10">
        <f t="shared" si="22"/>
        <v>75.692041522491351</v>
      </c>
      <c r="J47" s="10">
        <f t="shared" si="22"/>
        <v>62.931034482758619</v>
      </c>
      <c r="K47" s="11">
        <f t="shared" si="22"/>
        <v>80.128205128205124</v>
      </c>
      <c r="L47" s="43">
        <f>A47</f>
        <v>46085</v>
      </c>
      <c r="M47" s="21" t="s">
        <v>2</v>
      </c>
      <c r="N47" s="13">
        <f>(N56*100000)/(N57*60*8)</f>
        <v>90.174129353233837</v>
      </c>
      <c r="O47" s="14">
        <f t="shared" ref="O47:AI47" si="23">(O56*100000)/(O57*60*8)</f>
        <v>78.941120607787269</v>
      </c>
      <c r="P47" s="14">
        <f t="shared" si="23"/>
        <v>80.078125</v>
      </c>
      <c r="Q47" s="14">
        <f t="shared" si="23"/>
        <v>86.30952380952381</v>
      </c>
      <c r="R47" s="14">
        <f t="shared" si="23"/>
        <v>88.095238095238102</v>
      </c>
      <c r="S47" s="14">
        <f t="shared" si="23"/>
        <v>88.235294117647058</v>
      </c>
      <c r="T47" s="14">
        <f t="shared" si="23"/>
        <v>82.001718213058425</v>
      </c>
      <c r="U47" s="14">
        <f t="shared" si="23"/>
        <v>85.382513661202182</v>
      </c>
      <c r="V47" s="14">
        <f t="shared" si="23"/>
        <v>84.014161220043576</v>
      </c>
      <c r="W47" s="14">
        <f t="shared" si="23"/>
        <v>69.808743169398909</v>
      </c>
      <c r="X47" s="14">
        <f t="shared" si="23"/>
        <v>85.063437139561714</v>
      </c>
      <c r="Y47" s="14">
        <f t="shared" si="23"/>
        <v>94.635076252723309</v>
      </c>
      <c r="Z47" s="14">
        <f t="shared" si="23"/>
        <v>82.270408163265301</v>
      </c>
      <c r="AA47" s="14">
        <f t="shared" si="23"/>
        <v>70.776255707762559</v>
      </c>
      <c r="AB47" s="14">
        <f t="shared" si="23"/>
        <v>88.990066225165563</v>
      </c>
      <c r="AC47" s="14">
        <f t="shared" si="23"/>
        <v>53.672316384180789</v>
      </c>
      <c r="AD47" s="14">
        <f t="shared" si="23"/>
        <v>52.800546448087431</v>
      </c>
      <c r="AE47" s="14">
        <f t="shared" si="23"/>
        <v>23.759754738015609</v>
      </c>
      <c r="AF47" s="14">
        <f t="shared" si="23"/>
        <v>38.580246913580247</v>
      </c>
      <c r="AG47" s="14">
        <f t="shared" si="23"/>
        <v>92.361111111111114</v>
      </c>
      <c r="AH47" s="14">
        <f t="shared" si="23"/>
        <v>89.285714285714292</v>
      </c>
      <c r="AI47" s="11">
        <f t="shared" si="23"/>
        <v>82.070707070707073</v>
      </c>
      <c r="AJ47" s="43">
        <f>L47</f>
        <v>46085</v>
      </c>
      <c r="AK47" s="21" t="s">
        <v>2</v>
      </c>
      <c r="AL47" s="9">
        <f>(AL55*100000)/(AL56*60*8)</f>
        <v>61.936936936936938</v>
      </c>
      <c r="AM47" s="10">
        <f t="shared" ref="AM47:AP47" si="24">(AM55*100000)/(AM56*60*8)</f>
        <v>96.726190476190482</v>
      </c>
      <c r="AN47" s="10">
        <f t="shared" si="24"/>
        <v>72.657176749703439</v>
      </c>
      <c r="AO47" s="10">
        <f t="shared" si="24"/>
        <v>84.770114942528735</v>
      </c>
      <c r="AP47" s="10">
        <f t="shared" si="24"/>
        <v>86.279461279461273</v>
      </c>
      <c r="AQ47" s="15"/>
    </row>
    <row r="48" spans="1:45" x14ac:dyDescent="0.3">
      <c r="A48" s="43"/>
      <c r="B48" s="24" t="s">
        <v>3</v>
      </c>
      <c r="C48" s="18">
        <v>8</v>
      </c>
      <c r="D48">
        <v>12</v>
      </c>
      <c r="F48" s="19">
        <v>23</v>
      </c>
      <c r="G48">
        <v>12</v>
      </c>
      <c r="H48">
        <v>2</v>
      </c>
      <c r="I48">
        <v>8</v>
      </c>
      <c r="J48">
        <v>1</v>
      </c>
      <c r="K48" s="20">
        <v>5</v>
      </c>
      <c r="L48" s="43"/>
      <c r="M48" s="21" t="s">
        <v>3</v>
      </c>
      <c r="N48" s="18">
        <v>6</v>
      </c>
      <c r="O48">
        <v>13</v>
      </c>
      <c r="P48">
        <v>6</v>
      </c>
      <c r="Q48">
        <v>1</v>
      </c>
      <c r="R48">
        <v>1</v>
      </c>
      <c r="S48">
        <v>3</v>
      </c>
      <c r="T48">
        <v>6</v>
      </c>
      <c r="U48" s="19">
        <v>22</v>
      </c>
      <c r="V48">
        <v>13</v>
      </c>
      <c r="W48">
        <v>8</v>
      </c>
      <c r="X48">
        <v>7</v>
      </c>
      <c r="Y48">
        <v>3</v>
      </c>
      <c r="Z48">
        <v>3</v>
      </c>
      <c r="AA48" s="19">
        <v>64</v>
      </c>
      <c r="AB48">
        <v>0</v>
      </c>
      <c r="AC48">
        <v>6</v>
      </c>
      <c r="AD48">
        <v>6</v>
      </c>
      <c r="AE48">
        <v>1</v>
      </c>
      <c r="AF48">
        <v>0</v>
      </c>
      <c r="AG48">
        <v>0</v>
      </c>
      <c r="AH48">
        <v>2</v>
      </c>
      <c r="AI48" s="20">
        <v>0</v>
      </c>
      <c r="AJ48" s="43"/>
      <c r="AK48" s="21" t="s">
        <v>3</v>
      </c>
      <c r="AL48" s="18">
        <v>6</v>
      </c>
      <c r="AM48">
        <v>8</v>
      </c>
      <c r="AN48">
        <v>12</v>
      </c>
      <c r="AO48">
        <v>0</v>
      </c>
      <c r="AP48">
        <v>1</v>
      </c>
      <c r="AQ48" s="20"/>
      <c r="AS48">
        <f t="shared" ref="AS48:AS53" si="25">SUM(N49:AI49)</f>
        <v>0</v>
      </c>
    </row>
    <row r="49" spans="1:45" x14ac:dyDescent="0.3">
      <c r="A49" s="43"/>
      <c r="B49" s="21" t="s">
        <v>4</v>
      </c>
      <c r="K49" s="20"/>
      <c r="L49" s="43"/>
      <c r="M49" s="21" t="s">
        <v>4</v>
      </c>
      <c r="N49" s="18"/>
      <c r="AJ49" s="43"/>
      <c r="AK49" s="21" t="s">
        <v>4</v>
      </c>
      <c r="AL49" s="18"/>
      <c r="AQ49" s="20"/>
      <c r="AS49">
        <f t="shared" si="25"/>
        <v>159</v>
      </c>
    </row>
    <row r="50" spans="1:45" x14ac:dyDescent="0.3">
      <c r="A50" s="43"/>
      <c r="B50" s="24" t="s">
        <v>5</v>
      </c>
      <c r="C50" s="18">
        <v>8</v>
      </c>
      <c r="D50" s="19">
        <v>29</v>
      </c>
      <c r="F50">
        <v>0</v>
      </c>
      <c r="G50">
        <v>3</v>
      </c>
      <c r="H50" s="19">
        <v>25</v>
      </c>
      <c r="I50">
        <v>14</v>
      </c>
      <c r="J50">
        <v>4</v>
      </c>
      <c r="K50" s="34">
        <v>21</v>
      </c>
      <c r="L50" s="43"/>
      <c r="M50" s="21" t="s">
        <v>5</v>
      </c>
      <c r="N50" s="18">
        <v>1</v>
      </c>
      <c r="O50">
        <v>6</v>
      </c>
      <c r="P50">
        <v>5</v>
      </c>
      <c r="Q50">
        <v>9</v>
      </c>
      <c r="R50">
        <v>4</v>
      </c>
      <c r="S50">
        <v>8</v>
      </c>
      <c r="T50">
        <v>1</v>
      </c>
      <c r="U50">
        <v>1</v>
      </c>
      <c r="V50">
        <v>1</v>
      </c>
      <c r="W50" s="19">
        <v>20</v>
      </c>
      <c r="X50">
        <v>7</v>
      </c>
      <c r="Y50">
        <v>1</v>
      </c>
      <c r="Z50">
        <v>14</v>
      </c>
      <c r="AA50">
        <v>5</v>
      </c>
      <c r="AB50">
        <v>10</v>
      </c>
      <c r="AC50">
        <v>4</v>
      </c>
      <c r="AD50" s="19">
        <v>27</v>
      </c>
      <c r="AE50">
        <v>4</v>
      </c>
      <c r="AF50">
        <v>17</v>
      </c>
      <c r="AG50">
        <v>7</v>
      </c>
      <c r="AH50">
        <v>5</v>
      </c>
      <c r="AI50" s="20">
        <v>2</v>
      </c>
      <c r="AJ50" s="43"/>
      <c r="AK50" s="21" t="s">
        <v>5</v>
      </c>
      <c r="AL50" s="18">
        <v>7</v>
      </c>
      <c r="AM50">
        <v>8</v>
      </c>
      <c r="AN50">
        <v>10</v>
      </c>
      <c r="AO50">
        <v>2</v>
      </c>
      <c r="AP50">
        <v>3</v>
      </c>
      <c r="AQ50" s="20"/>
      <c r="AS50">
        <f t="shared" si="25"/>
        <v>0</v>
      </c>
    </row>
    <row r="51" spans="1:45" x14ac:dyDescent="0.3">
      <c r="A51" s="43"/>
      <c r="B51" s="24" t="s">
        <v>6</v>
      </c>
      <c r="C51" s="18"/>
      <c r="K51" s="20"/>
      <c r="L51" s="43"/>
      <c r="M51" s="21" t="s">
        <v>6</v>
      </c>
      <c r="N51" s="18"/>
      <c r="AI51" s="20"/>
      <c r="AJ51" s="43"/>
      <c r="AK51" s="21" t="s">
        <v>7</v>
      </c>
      <c r="AL51" s="18">
        <v>7</v>
      </c>
      <c r="AM51">
        <v>2</v>
      </c>
      <c r="AN51">
        <v>5</v>
      </c>
      <c r="AO51">
        <v>9</v>
      </c>
      <c r="AP51">
        <v>3</v>
      </c>
      <c r="AQ51" s="20"/>
      <c r="AS51">
        <f t="shared" si="25"/>
        <v>142</v>
      </c>
    </row>
    <row r="52" spans="1:45" x14ac:dyDescent="0.3">
      <c r="A52" s="43"/>
      <c r="B52" s="24" t="s">
        <v>7</v>
      </c>
      <c r="C52" s="18">
        <v>3</v>
      </c>
      <c r="D52">
        <v>4</v>
      </c>
      <c r="F52">
        <v>3</v>
      </c>
      <c r="G52">
        <v>7</v>
      </c>
      <c r="H52">
        <v>4</v>
      </c>
      <c r="I52" s="19">
        <v>53</v>
      </c>
      <c r="J52">
        <v>6</v>
      </c>
      <c r="K52" s="20">
        <v>1</v>
      </c>
      <c r="L52" s="43"/>
      <c r="M52" s="21" t="s">
        <v>7</v>
      </c>
      <c r="N52" s="18">
        <v>2</v>
      </c>
      <c r="O52">
        <v>2</v>
      </c>
      <c r="P52">
        <v>3</v>
      </c>
      <c r="Q52">
        <v>0</v>
      </c>
      <c r="R52">
        <v>6</v>
      </c>
      <c r="S52">
        <v>3</v>
      </c>
      <c r="T52">
        <v>10</v>
      </c>
      <c r="U52">
        <v>11</v>
      </c>
      <c r="V52">
        <v>4</v>
      </c>
      <c r="W52">
        <v>12</v>
      </c>
      <c r="X52">
        <v>9</v>
      </c>
      <c r="Y52">
        <v>3</v>
      </c>
      <c r="Z52">
        <v>16</v>
      </c>
      <c r="AA52">
        <v>1</v>
      </c>
      <c r="AB52">
        <v>4</v>
      </c>
      <c r="AC52">
        <v>15</v>
      </c>
      <c r="AD52">
        <v>9</v>
      </c>
      <c r="AE52">
        <v>6</v>
      </c>
      <c r="AF52">
        <v>5</v>
      </c>
      <c r="AG52">
        <v>1</v>
      </c>
      <c r="AH52">
        <v>1</v>
      </c>
      <c r="AI52" s="20">
        <v>19</v>
      </c>
      <c r="AJ52" s="43"/>
      <c r="AK52" s="21" t="s">
        <v>8</v>
      </c>
      <c r="AL52" s="18"/>
      <c r="AQ52" s="20"/>
      <c r="AS52">
        <f t="shared" si="25"/>
        <v>0</v>
      </c>
    </row>
    <row r="53" spans="1:45" x14ac:dyDescent="0.3">
      <c r="A53" s="45" t="s">
        <v>20</v>
      </c>
      <c r="B53" s="24" t="s">
        <v>10</v>
      </c>
      <c r="C53" s="18"/>
      <c r="K53" s="20"/>
      <c r="L53" s="45" t="e">
        <f>+#REF!</f>
        <v>#REF!</v>
      </c>
      <c r="M53" s="21" t="s">
        <v>10</v>
      </c>
      <c r="N53" s="18"/>
      <c r="AI53" s="20"/>
      <c r="AJ53" s="45" t="e">
        <f>L53</f>
        <v>#REF!</v>
      </c>
      <c r="AK53" s="21" t="s">
        <v>11</v>
      </c>
      <c r="AL53" s="18">
        <v>2</v>
      </c>
      <c r="AM53">
        <v>5</v>
      </c>
      <c r="AN53">
        <v>2</v>
      </c>
      <c r="AO53">
        <v>3</v>
      </c>
      <c r="AP53">
        <v>9</v>
      </c>
      <c r="AQ53" s="20"/>
      <c r="AS53">
        <f t="shared" si="25"/>
        <v>144</v>
      </c>
    </row>
    <row r="54" spans="1:45" x14ac:dyDescent="0.3">
      <c r="A54" s="45"/>
      <c r="B54" s="24" t="s">
        <v>11</v>
      </c>
      <c r="C54" s="18">
        <v>4</v>
      </c>
      <c r="D54">
        <v>15</v>
      </c>
      <c r="F54">
        <v>15</v>
      </c>
      <c r="G54">
        <v>18</v>
      </c>
      <c r="H54">
        <v>6</v>
      </c>
      <c r="I54">
        <v>9</v>
      </c>
      <c r="J54">
        <v>5</v>
      </c>
      <c r="K54" s="20">
        <v>5</v>
      </c>
      <c r="L54" s="45"/>
      <c r="M54" s="21" t="s">
        <v>11</v>
      </c>
      <c r="N54" s="18">
        <v>0</v>
      </c>
      <c r="O54">
        <v>3</v>
      </c>
      <c r="P54">
        <v>6</v>
      </c>
      <c r="Q54">
        <v>7</v>
      </c>
      <c r="R54">
        <v>5</v>
      </c>
      <c r="S54">
        <v>7</v>
      </c>
      <c r="T54">
        <v>9</v>
      </c>
      <c r="U54">
        <v>3</v>
      </c>
      <c r="V54">
        <v>12</v>
      </c>
      <c r="W54">
        <v>19</v>
      </c>
      <c r="X54">
        <v>6</v>
      </c>
      <c r="Y54">
        <v>4</v>
      </c>
      <c r="Z54">
        <v>2</v>
      </c>
      <c r="AA54">
        <v>16</v>
      </c>
      <c r="AB54">
        <v>5</v>
      </c>
      <c r="AC54">
        <v>5</v>
      </c>
      <c r="AD54">
        <v>9</v>
      </c>
      <c r="AE54">
        <v>5</v>
      </c>
      <c r="AF54">
        <v>5</v>
      </c>
      <c r="AG54">
        <v>5</v>
      </c>
      <c r="AH54">
        <v>4</v>
      </c>
      <c r="AI54" s="20">
        <v>7</v>
      </c>
      <c r="AJ54" s="45"/>
      <c r="AK54" s="21" t="s">
        <v>12</v>
      </c>
      <c r="AL54" s="18"/>
      <c r="AQ54" s="20"/>
    </row>
    <row r="55" spans="1:45" x14ac:dyDescent="0.3">
      <c r="A55" s="45"/>
      <c r="B55" s="24" t="s">
        <v>12</v>
      </c>
      <c r="C55" s="18"/>
      <c r="K55" s="20"/>
      <c r="L55" s="45"/>
      <c r="M55" s="21" t="s">
        <v>12</v>
      </c>
      <c r="N55" s="18"/>
      <c r="AI55" s="20"/>
      <c r="AJ55" s="45"/>
      <c r="AK55" s="21" t="s">
        <v>13</v>
      </c>
      <c r="AL55" s="18">
        <v>77</v>
      </c>
      <c r="AM55">
        <v>130</v>
      </c>
      <c r="AN55">
        <v>98</v>
      </c>
      <c r="AO55">
        <v>118</v>
      </c>
      <c r="AP55">
        <v>123</v>
      </c>
      <c r="AQ55" s="20"/>
    </row>
    <row r="56" spans="1:45" x14ac:dyDescent="0.3">
      <c r="A56" s="45"/>
      <c r="B56" s="24" t="s">
        <v>13</v>
      </c>
      <c r="C56" s="18">
        <v>127</v>
      </c>
      <c r="D56">
        <v>95.6</v>
      </c>
      <c r="E56">
        <v>110</v>
      </c>
      <c r="F56">
        <v>128</v>
      </c>
      <c r="G56">
        <v>118.7</v>
      </c>
      <c r="H56">
        <v>98.6</v>
      </c>
      <c r="I56">
        <v>105</v>
      </c>
      <c r="J56">
        <v>87.6</v>
      </c>
      <c r="K56" s="20">
        <v>115</v>
      </c>
      <c r="L56" s="45"/>
      <c r="M56" s="21" t="s">
        <v>13</v>
      </c>
      <c r="N56" s="18">
        <v>145</v>
      </c>
      <c r="O56">
        <v>133</v>
      </c>
      <c r="P56">
        <v>123</v>
      </c>
      <c r="Q56">
        <v>145</v>
      </c>
      <c r="R56">
        <v>148</v>
      </c>
      <c r="S56">
        <v>144</v>
      </c>
      <c r="T56">
        <v>114.54</v>
      </c>
      <c r="U56">
        <v>125</v>
      </c>
      <c r="V56">
        <v>123.4</v>
      </c>
      <c r="W56">
        <v>102.2</v>
      </c>
      <c r="X56">
        <v>118</v>
      </c>
      <c r="Y56">
        <v>139</v>
      </c>
      <c r="Z56">
        <v>116.1</v>
      </c>
      <c r="AA56">
        <v>99.2</v>
      </c>
      <c r="AB56">
        <v>129</v>
      </c>
      <c r="AC56">
        <v>76</v>
      </c>
      <c r="AD56">
        <v>77.3</v>
      </c>
      <c r="AE56">
        <v>34.1</v>
      </c>
      <c r="AF56">
        <v>50</v>
      </c>
      <c r="AG56">
        <v>133</v>
      </c>
      <c r="AH56">
        <v>150</v>
      </c>
      <c r="AI56" s="20">
        <v>130</v>
      </c>
      <c r="AJ56" s="45"/>
      <c r="AK56" s="21" t="s">
        <v>14</v>
      </c>
      <c r="AL56" s="27">
        <v>259</v>
      </c>
      <c r="AM56" s="28">
        <v>280</v>
      </c>
      <c r="AN56" s="28">
        <v>281</v>
      </c>
      <c r="AO56" s="28">
        <v>290</v>
      </c>
      <c r="AP56" s="28">
        <v>297</v>
      </c>
      <c r="AQ56" s="29"/>
    </row>
    <row r="57" spans="1:45" x14ac:dyDescent="0.3">
      <c r="A57" s="45"/>
      <c r="B57" s="24" t="s">
        <v>14</v>
      </c>
      <c r="C57" s="27">
        <v>304</v>
      </c>
      <c r="D57" s="28">
        <v>301</v>
      </c>
      <c r="E57" s="28">
        <v>248</v>
      </c>
      <c r="F57" s="28">
        <v>296</v>
      </c>
      <c r="G57" s="28">
        <v>309</v>
      </c>
      <c r="H57" s="28">
        <v>277</v>
      </c>
      <c r="I57" s="28">
        <v>289</v>
      </c>
      <c r="J57" s="28">
        <v>290</v>
      </c>
      <c r="K57" s="29">
        <v>299</v>
      </c>
      <c r="L57" s="45"/>
      <c r="M57" s="21" t="s">
        <v>14</v>
      </c>
      <c r="N57" s="27">
        <v>335</v>
      </c>
      <c r="O57" s="28">
        <v>351</v>
      </c>
      <c r="P57" s="28">
        <v>320</v>
      </c>
      <c r="Q57" s="28">
        <v>350</v>
      </c>
      <c r="R57" s="28">
        <v>350</v>
      </c>
      <c r="S57" s="28">
        <v>340</v>
      </c>
      <c r="T57" s="28">
        <v>291</v>
      </c>
      <c r="U57" s="28">
        <v>305</v>
      </c>
      <c r="V57" s="28">
        <v>306</v>
      </c>
      <c r="W57" s="28">
        <v>305</v>
      </c>
      <c r="X57" s="28">
        <v>289</v>
      </c>
      <c r="Y57" s="28">
        <v>306</v>
      </c>
      <c r="Z57" s="28">
        <v>294</v>
      </c>
      <c r="AA57" s="28">
        <v>292</v>
      </c>
      <c r="AB57" s="28">
        <v>302</v>
      </c>
      <c r="AC57" s="28">
        <v>295</v>
      </c>
      <c r="AD57" s="28">
        <v>305</v>
      </c>
      <c r="AE57" s="28">
        <v>299</v>
      </c>
      <c r="AF57" s="28">
        <v>270</v>
      </c>
      <c r="AG57" s="28">
        <v>300</v>
      </c>
      <c r="AH57" s="28">
        <v>350</v>
      </c>
      <c r="AI57" s="29">
        <v>330</v>
      </c>
      <c r="AJ57" s="30"/>
      <c r="AK57" s="18"/>
      <c r="AQ57" s="20"/>
    </row>
    <row r="58" spans="1:45" x14ac:dyDescent="0.3">
      <c r="A58" s="43">
        <f>+A47</f>
        <v>46085</v>
      </c>
      <c r="B58" s="24" t="s">
        <v>2</v>
      </c>
      <c r="C58" s="9">
        <f t="shared" ref="C58:K58" si="26">(C67*100000)/(C68*60*8)</f>
        <v>88.40460526315789</v>
      </c>
      <c r="D58" s="10">
        <f t="shared" si="26"/>
        <v>83.333333333333329</v>
      </c>
      <c r="E58" s="10">
        <f t="shared" si="26"/>
        <v>71.40456989247312</v>
      </c>
      <c r="F58" s="10">
        <f t="shared" si="26"/>
        <v>81.64414414414415</v>
      </c>
      <c r="G58" s="10">
        <f t="shared" si="26"/>
        <v>82.92880258899676</v>
      </c>
      <c r="H58" s="10">
        <f t="shared" si="26"/>
        <v>74.295343137254903</v>
      </c>
      <c r="I58" s="10">
        <f t="shared" si="26"/>
        <v>69.925028835063443</v>
      </c>
      <c r="J58" s="10">
        <f t="shared" si="26"/>
        <v>75.692041522491351</v>
      </c>
      <c r="K58" s="11">
        <f t="shared" si="26"/>
        <v>91.973244147157189</v>
      </c>
      <c r="L58" s="43">
        <f>A58</f>
        <v>46085</v>
      </c>
      <c r="M58" s="21" t="s">
        <v>2</v>
      </c>
      <c r="N58" s="13">
        <f>(N67*100000)/(N68*60*8)</f>
        <v>89.905753968253961</v>
      </c>
      <c r="O58" s="14">
        <f t="shared" ref="O58:AI58" si="27">(O67*100000)/(O68*60*8)</f>
        <v>80.952380952380949</v>
      </c>
      <c r="P58" s="14">
        <f t="shared" si="27"/>
        <v>87.239583333333329</v>
      </c>
      <c r="Q58" s="14">
        <f t="shared" si="27"/>
        <v>82.142857142857139</v>
      </c>
      <c r="R58" s="14">
        <f t="shared" si="27"/>
        <v>82.738095238095241</v>
      </c>
      <c r="S58" s="14">
        <f t="shared" si="27"/>
        <v>92.524509803921575</v>
      </c>
      <c r="T58" s="14">
        <f t="shared" si="27"/>
        <v>76.149425287356323</v>
      </c>
      <c r="U58" s="14">
        <f t="shared" si="27"/>
        <v>91.145833333333329</v>
      </c>
      <c r="V58" s="14">
        <f t="shared" si="27"/>
        <v>78.295206971677558</v>
      </c>
      <c r="W58" s="14">
        <f t="shared" si="27"/>
        <v>77.868852459016395</v>
      </c>
      <c r="X58" s="14">
        <f t="shared" si="27"/>
        <v>87.94694348327566</v>
      </c>
      <c r="Y58" s="14">
        <f t="shared" si="27"/>
        <v>94.326818675352882</v>
      </c>
      <c r="Z58" s="14">
        <f t="shared" si="27"/>
        <v>85.74263038548753</v>
      </c>
      <c r="AA58" s="14">
        <f t="shared" si="27"/>
        <v>74.658703071672349</v>
      </c>
      <c r="AB58" s="14">
        <f t="shared" si="27"/>
        <v>92.980984340044742</v>
      </c>
      <c r="AC58" s="14">
        <f t="shared" si="27"/>
        <v>84.039548022598865</v>
      </c>
      <c r="AD58" s="14">
        <f t="shared" si="27"/>
        <v>74.944994499449948</v>
      </c>
      <c r="AE58" s="14">
        <f t="shared" si="27"/>
        <v>68.493150684931507</v>
      </c>
      <c r="AF58" s="14">
        <f t="shared" si="27"/>
        <v>55.28846153846154</v>
      </c>
      <c r="AG58" s="14">
        <f t="shared" si="27"/>
        <v>69.248826291079808</v>
      </c>
      <c r="AH58" s="14">
        <f t="shared" si="27"/>
        <v>95.040281973816718</v>
      </c>
      <c r="AI58" s="11">
        <f t="shared" si="27"/>
        <v>77.976190476190482</v>
      </c>
      <c r="AJ58" s="43">
        <f>L58</f>
        <v>46085</v>
      </c>
      <c r="AK58" s="21" t="s">
        <v>2</v>
      </c>
      <c r="AL58" s="9">
        <f>(AL66*100000)/(AL67*60*8)</f>
        <v>68.636950904392762</v>
      </c>
      <c r="AM58" s="10">
        <f t="shared" ref="AM58:AP58" si="28">(AM66*100000)/(AM67*60*8)</f>
        <v>90.029761904761898</v>
      </c>
      <c r="AN58" s="10">
        <f t="shared" si="28"/>
        <v>73.924731182795696</v>
      </c>
      <c r="AO58" s="10">
        <f t="shared" si="28"/>
        <v>89.080459770114942</v>
      </c>
      <c r="AP58" s="10">
        <f t="shared" si="28"/>
        <v>95.989761092150175</v>
      </c>
      <c r="AQ58" s="15"/>
      <c r="AS58">
        <f t="shared" ref="AS58:AS64" si="29">SUM(N59:AI59)</f>
        <v>168</v>
      </c>
    </row>
    <row r="59" spans="1:45" x14ac:dyDescent="0.3">
      <c r="A59" s="43"/>
      <c r="B59" s="24" t="s">
        <v>3</v>
      </c>
      <c r="C59" s="18">
        <v>8</v>
      </c>
      <c r="D59">
        <v>5</v>
      </c>
      <c r="E59">
        <v>6</v>
      </c>
      <c r="F59">
        <v>18</v>
      </c>
      <c r="G59">
        <v>3</v>
      </c>
      <c r="H59">
        <v>2</v>
      </c>
      <c r="I59">
        <v>6</v>
      </c>
      <c r="J59">
        <v>7</v>
      </c>
      <c r="K59" s="20">
        <v>2</v>
      </c>
      <c r="L59" s="43"/>
      <c r="M59" s="21" t="s">
        <v>3</v>
      </c>
      <c r="N59" s="18">
        <v>7</v>
      </c>
      <c r="O59" s="19">
        <v>20</v>
      </c>
      <c r="P59" s="19">
        <v>20</v>
      </c>
      <c r="Q59">
        <v>2</v>
      </c>
      <c r="R59">
        <v>1</v>
      </c>
      <c r="S59">
        <v>2</v>
      </c>
      <c r="T59">
        <v>3</v>
      </c>
      <c r="U59">
        <v>14</v>
      </c>
      <c r="V59">
        <v>3</v>
      </c>
      <c r="W59">
        <v>6</v>
      </c>
      <c r="X59">
        <v>1</v>
      </c>
      <c r="Y59">
        <v>3</v>
      </c>
      <c r="Z59">
        <v>5</v>
      </c>
      <c r="AA59" s="19">
        <v>30</v>
      </c>
      <c r="AB59">
        <v>0</v>
      </c>
      <c r="AC59">
        <v>13</v>
      </c>
      <c r="AD59">
        <v>8</v>
      </c>
      <c r="AE59">
        <v>16</v>
      </c>
      <c r="AF59">
        <v>0</v>
      </c>
      <c r="AG59">
        <v>1</v>
      </c>
      <c r="AH59">
        <v>11</v>
      </c>
      <c r="AI59" s="20">
        <v>2</v>
      </c>
      <c r="AJ59" s="43"/>
      <c r="AK59" s="21" t="s">
        <v>3</v>
      </c>
      <c r="AL59" s="18">
        <v>6</v>
      </c>
      <c r="AM59">
        <v>4</v>
      </c>
      <c r="AN59">
        <v>9</v>
      </c>
      <c r="AO59">
        <v>1</v>
      </c>
      <c r="AP59">
        <v>0</v>
      </c>
      <c r="AQ59" s="20"/>
      <c r="AS59">
        <f t="shared" si="29"/>
        <v>0</v>
      </c>
    </row>
    <row r="60" spans="1:45" x14ac:dyDescent="0.3">
      <c r="A60" s="43"/>
      <c r="B60" s="21" t="s">
        <v>4</v>
      </c>
      <c r="C60" s="18"/>
      <c r="K60" s="20"/>
      <c r="L60" s="43"/>
      <c r="M60" s="21" t="s">
        <v>4</v>
      </c>
      <c r="N60" s="18"/>
      <c r="AJ60" s="43"/>
      <c r="AK60" s="21" t="s">
        <v>4</v>
      </c>
      <c r="AL60" s="18"/>
      <c r="AQ60" s="20"/>
      <c r="AS60">
        <f t="shared" si="29"/>
        <v>144</v>
      </c>
    </row>
    <row r="61" spans="1:45" x14ac:dyDescent="0.3">
      <c r="A61" s="43"/>
      <c r="B61" s="24" t="s">
        <v>5</v>
      </c>
      <c r="C61" s="18">
        <v>11</v>
      </c>
      <c r="D61" s="19">
        <v>20</v>
      </c>
      <c r="E61" s="19">
        <v>31</v>
      </c>
      <c r="F61">
        <v>0</v>
      </c>
      <c r="G61">
        <v>10</v>
      </c>
      <c r="H61">
        <v>12</v>
      </c>
      <c r="I61" s="19">
        <v>21</v>
      </c>
      <c r="J61">
        <v>5</v>
      </c>
      <c r="K61" s="20">
        <v>5</v>
      </c>
      <c r="L61" s="43"/>
      <c r="M61" s="21" t="s">
        <v>5</v>
      </c>
      <c r="N61" s="18">
        <v>3</v>
      </c>
      <c r="O61">
        <v>6</v>
      </c>
      <c r="P61">
        <v>5</v>
      </c>
      <c r="Q61">
        <v>12</v>
      </c>
      <c r="R61">
        <v>7</v>
      </c>
      <c r="S61">
        <v>1</v>
      </c>
      <c r="T61">
        <v>6</v>
      </c>
      <c r="U61">
        <v>4</v>
      </c>
      <c r="V61">
        <v>3</v>
      </c>
      <c r="W61">
        <v>7</v>
      </c>
      <c r="X61">
        <v>9</v>
      </c>
      <c r="Y61">
        <v>2</v>
      </c>
      <c r="Z61">
        <v>6</v>
      </c>
      <c r="AA61">
        <v>5</v>
      </c>
      <c r="AB61">
        <v>5</v>
      </c>
      <c r="AC61">
        <v>14</v>
      </c>
      <c r="AD61">
        <v>12</v>
      </c>
      <c r="AE61">
        <v>9</v>
      </c>
      <c r="AF61">
        <v>13</v>
      </c>
      <c r="AG61">
        <v>13</v>
      </c>
      <c r="AH61">
        <v>1</v>
      </c>
      <c r="AI61" s="20">
        <v>1</v>
      </c>
      <c r="AJ61" s="43"/>
      <c r="AK61" s="21" t="s">
        <v>5</v>
      </c>
      <c r="AL61" s="18">
        <v>6</v>
      </c>
      <c r="AM61">
        <v>3</v>
      </c>
      <c r="AN61">
        <v>4</v>
      </c>
      <c r="AO61">
        <v>3</v>
      </c>
      <c r="AP61">
        <v>0</v>
      </c>
      <c r="AQ61" s="20"/>
      <c r="AS61">
        <f t="shared" si="29"/>
        <v>0</v>
      </c>
    </row>
    <row r="62" spans="1:45" x14ac:dyDescent="0.3">
      <c r="A62" s="43"/>
      <c r="B62" s="24" t="s">
        <v>6</v>
      </c>
      <c r="C62" s="18"/>
      <c r="K62" s="20"/>
      <c r="L62" s="43"/>
      <c r="M62" s="21" t="s">
        <v>6</v>
      </c>
      <c r="N62" s="18"/>
      <c r="AI62" s="20"/>
      <c r="AJ62" s="43"/>
      <c r="AK62" s="21" t="s">
        <v>7</v>
      </c>
      <c r="AL62" s="18">
        <v>1</v>
      </c>
      <c r="AM62">
        <v>5</v>
      </c>
      <c r="AN62">
        <v>4</v>
      </c>
      <c r="AO62">
        <v>11</v>
      </c>
      <c r="AP62">
        <v>4</v>
      </c>
      <c r="AQ62" s="20"/>
      <c r="AS62">
        <f t="shared" si="29"/>
        <v>145</v>
      </c>
    </row>
    <row r="63" spans="1:45" x14ac:dyDescent="0.3">
      <c r="A63" s="43"/>
      <c r="B63" s="24" t="s">
        <v>7</v>
      </c>
      <c r="C63" s="18">
        <v>7</v>
      </c>
      <c r="D63">
        <v>11</v>
      </c>
      <c r="E63">
        <v>11</v>
      </c>
      <c r="F63">
        <v>11</v>
      </c>
      <c r="G63">
        <v>7</v>
      </c>
      <c r="H63">
        <v>12</v>
      </c>
      <c r="I63" s="19">
        <v>23</v>
      </c>
      <c r="J63">
        <v>3</v>
      </c>
      <c r="K63" s="20">
        <v>9</v>
      </c>
      <c r="L63" s="43"/>
      <c r="M63" s="21" t="s">
        <v>7</v>
      </c>
      <c r="N63" s="18">
        <v>1</v>
      </c>
      <c r="O63">
        <v>1</v>
      </c>
      <c r="P63">
        <v>0</v>
      </c>
      <c r="Q63">
        <v>12</v>
      </c>
      <c r="R63">
        <v>4</v>
      </c>
      <c r="S63">
        <v>4</v>
      </c>
      <c r="T63" s="19">
        <v>28</v>
      </c>
      <c r="U63">
        <v>2</v>
      </c>
      <c r="V63" s="19">
        <v>29</v>
      </c>
      <c r="W63">
        <v>4</v>
      </c>
      <c r="X63">
        <v>3</v>
      </c>
      <c r="Y63">
        <v>4</v>
      </c>
      <c r="Z63">
        <v>9</v>
      </c>
      <c r="AA63">
        <v>1</v>
      </c>
      <c r="AB63">
        <v>2</v>
      </c>
      <c r="AC63">
        <v>1</v>
      </c>
      <c r="AD63">
        <v>6</v>
      </c>
      <c r="AE63">
        <v>9</v>
      </c>
      <c r="AF63">
        <v>11</v>
      </c>
      <c r="AG63">
        <v>3</v>
      </c>
      <c r="AH63">
        <v>0</v>
      </c>
      <c r="AI63" s="20">
        <v>11</v>
      </c>
      <c r="AJ63" s="43"/>
      <c r="AK63" s="21" t="s">
        <v>8</v>
      </c>
      <c r="AL63" s="18"/>
      <c r="AQ63" s="20"/>
      <c r="AS63">
        <f t="shared" si="29"/>
        <v>0</v>
      </c>
    </row>
    <row r="64" spans="1:45" x14ac:dyDescent="0.3">
      <c r="A64" s="45" t="s">
        <v>21</v>
      </c>
      <c r="B64" s="24" t="s">
        <v>10</v>
      </c>
      <c r="C64" s="18"/>
      <c r="K64" s="20"/>
      <c r="L64" s="45" t="e">
        <f>+#REF!</f>
        <v>#REF!</v>
      </c>
      <c r="M64" s="21" t="s">
        <v>10</v>
      </c>
      <c r="N64" s="18"/>
      <c r="AI64" s="20"/>
      <c r="AJ64" s="45" t="e">
        <f>+L64</f>
        <v>#REF!</v>
      </c>
      <c r="AK64" s="21" t="s">
        <v>11</v>
      </c>
      <c r="AL64" s="18">
        <v>7</v>
      </c>
      <c r="AM64">
        <v>7</v>
      </c>
      <c r="AN64">
        <v>10</v>
      </c>
      <c r="AO64">
        <v>2</v>
      </c>
      <c r="AP64">
        <v>5</v>
      </c>
      <c r="AQ64" s="20"/>
      <c r="AS64">
        <f t="shared" si="29"/>
        <v>140</v>
      </c>
    </row>
    <row r="65" spans="1:45" x14ac:dyDescent="0.3">
      <c r="A65" s="45"/>
      <c r="B65" s="24" t="s">
        <v>11</v>
      </c>
      <c r="C65" s="18">
        <v>3</v>
      </c>
      <c r="D65">
        <v>6</v>
      </c>
      <c r="E65">
        <v>12</v>
      </c>
      <c r="F65" s="19">
        <v>30</v>
      </c>
      <c r="G65">
        <v>5</v>
      </c>
      <c r="H65">
        <v>9</v>
      </c>
      <c r="I65">
        <v>4</v>
      </c>
      <c r="J65">
        <v>1</v>
      </c>
      <c r="K65" s="20">
        <v>4</v>
      </c>
      <c r="L65" s="45"/>
      <c r="M65" s="21" t="s">
        <v>11</v>
      </c>
      <c r="N65" s="18">
        <v>0</v>
      </c>
      <c r="O65">
        <v>2</v>
      </c>
      <c r="P65">
        <v>0</v>
      </c>
      <c r="Q65">
        <v>9</v>
      </c>
      <c r="R65">
        <v>8</v>
      </c>
      <c r="S65">
        <v>8</v>
      </c>
      <c r="T65">
        <v>1</v>
      </c>
      <c r="U65">
        <v>2</v>
      </c>
      <c r="V65">
        <v>9</v>
      </c>
      <c r="W65" s="19">
        <v>30</v>
      </c>
      <c r="X65">
        <v>6</v>
      </c>
      <c r="Y65">
        <v>4</v>
      </c>
      <c r="Z65">
        <v>3</v>
      </c>
      <c r="AA65">
        <v>12</v>
      </c>
      <c r="AB65">
        <v>4</v>
      </c>
      <c r="AC65">
        <v>8</v>
      </c>
      <c r="AD65">
        <v>2</v>
      </c>
      <c r="AE65">
        <v>11</v>
      </c>
      <c r="AF65">
        <v>5</v>
      </c>
      <c r="AG65">
        <v>6</v>
      </c>
      <c r="AH65">
        <v>4</v>
      </c>
      <c r="AI65" s="20">
        <v>6</v>
      </c>
      <c r="AJ65" s="45"/>
      <c r="AK65" s="21" t="s">
        <v>12</v>
      </c>
      <c r="AL65" s="18"/>
      <c r="AQ65" s="20"/>
    </row>
    <row r="66" spans="1:45" x14ac:dyDescent="0.3">
      <c r="A66" s="45"/>
      <c r="B66" s="24" t="s">
        <v>12</v>
      </c>
      <c r="C66" s="18"/>
      <c r="K66" s="20"/>
      <c r="L66" s="45"/>
      <c r="M66" s="21" t="s">
        <v>12</v>
      </c>
      <c r="N66" s="18"/>
      <c r="AI66" s="20"/>
      <c r="AJ66" s="45"/>
      <c r="AK66" s="21" t="s">
        <v>13</v>
      </c>
      <c r="AL66" s="18">
        <v>85</v>
      </c>
      <c r="AM66">
        <v>121</v>
      </c>
      <c r="AN66">
        <v>99</v>
      </c>
      <c r="AO66">
        <v>124</v>
      </c>
      <c r="AP66">
        <v>135</v>
      </c>
      <c r="AQ66" s="20"/>
    </row>
    <row r="67" spans="1:45" x14ac:dyDescent="0.3">
      <c r="A67" s="45"/>
      <c r="B67" s="24" t="s">
        <v>13</v>
      </c>
      <c r="C67" s="18">
        <v>129</v>
      </c>
      <c r="D67">
        <v>120</v>
      </c>
      <c r="E67">
        <v>85</v>
      </c>
      <c r="F67">
        <v>116</v>
      </c>
      <c r="G67">
        <v>123</v>
      </c>
      <c r="H67">
        <v>97</v>
      </c>
      <c r="I67">
        <v>97</v>
      </c>
      <c r="J67">
        <v>105</v>
      </c>
      <c r="K67" s="20">
        <v>132</v>
      </c>
      <c r="L67" s="45"/>
      <c r="M67" s="21" t="s">
        <v>13</v>
      </c>
      <c r="N67" s="18">
        <v>145</v>
      </c>
      <c r="O67">
        <v>136</v>
      </c>
      <c r="P67">
        <v>134</v>
      </c>
      <c r="Q67">
        <v>138</v>
      </c>
      <c r="R67">
        <v>139</v>
      </c>
      <c r="S67">
        <v>151</v>
      </c>
      <c r="T67">
        <v>106</v>
      </c>
      <c r="U67">
        <v>133</v>
      </c>
      <c r="V67">
        <v>115</v>
      </c>
      <c r="W67">
        <v>114</v>
      </c>
      <c r="X67">
        <v>122</v>
      </c>
      <c r="Y67">
        <v>139</v>
      </c>
      <c r="Z67">
        <v>121</v>
      </c>
      <c r="AA67">
        <v>105</v>
      </c>
      <c r="AB67">
        <v>133</v>
      </c>
      <c r="AC67">
        <v>119</v>
      </c>
      <c r="AD67">
        <v>109</v>
      </c>
      <c r="AE67">
        <v>96</v>
      </c>
      <c r="AF67">
        <v>69</v>
      </c>
      <c r="AG67">
        <v>118</v>
      </c>
      <c r="AH67">
        <v>151</v>
      </c>
      <c r="AI67" s="20">
        <v>131</v>
      </c>
      <c r="AJ67" s="45"/>
      <c r="AK67" s="21" t="s">
        <v>14</v>
      </c>
      <c r="AL67" s="27">
        <v>258</v>
      </c>
      <c r="AM67" s="28">
        <v>280</v>
      </c>
      <c r="AN67" s="28">
        <v>279</v>
      </c>
      <c r="AO67" s="28">
        <v>290</v>
      </c>
      <c r="AP67" s="28">
        <v>293</v>
      </c>
      <c r="AQ67" s="29"/>
    </row>
    <row r="68" spans="1:45" ht="15" thickBot="1" x14ac:dyDescent="0.35">
      <c r="A68" s="45"/>
      <c r="B68" s="24" t="s">
        <v>14</v>
      </c>
      <c r="C68" s="27">
        <v>304</v>
      </c>
      <c r="D68" s="28">
        <v>300</v>
      </c>
      <c r="E68" s="28">
        <v>248</v>
      </c>
      <c r="F68" s="28">
        <v>296</v>
      </c>
      <c r="G68" s="28">
        <v>309</v>
      </c>
      <c r="H68" s="28">
        <v>272</v>
      </c>
      <c r="I68" s="28">
        <v>289</v>
      </c>
      <c r="J68" s="28">
        <v>289</v>
      </c>
      <c r="K68" s="29">
        <v>299</v>
      </c>
      <c r="L68" s="45"/>
      <c r="M68" s="21" t="s">
        <v>14</v>
      </c>
      <c r="N68" s="27">
        <v>336</v>
      </c>
      <c r="O68" s="28">
        <v>350</v>
      </c>
      <c r="P68" s="28">
        <v>320</v>
      </c>
      <c r="Q68" s="28">
        <v>350</v>
      </c>
      <c r="R68" s="28">
        <v>350</v>
      </c>
      <c r="S68" s="28">
        <v>340</v>
      </c>
      <c r="T68" s="28">
        <v>290</v>
      </c>
      <c r="U68" s="28">
        <v>304</v>
      </c>
      <c r="V68" s="28">
        <v>306</v>
      </c>
      <c r="W68" s="28">
        <v>305</v>
      </c>
      <c r="X68" s="28">
        <v>289</v>
      </c>
      <c r="Y68" s="28">
        <v>307</v>
      </c>
      <c r="Z68" s="28">
        <v>294</v>
      </c>
      <c r="AA68" s="28">
        <v>293</v>
      </c>
      <c r="AB68" s="28">
        <v>298</v>
      </c>
      <c r="AC68" s="28">
        <v>295</v>
      </c>
      <c r="AD68" s="28">
        <v>303</v>
      </c>
      <c r="AE68" s="28">
        <v>292</v>
      </c>
      <c r="AF68" s="28">
        <v>260</v>
      </c>
      <c r="AG68" s="28">
        <v>355</v>
      </c>
      <c r="AH68" s="28">
        <v>331</v>
      </c>
      <c r="AI68" s="29">
        <v>350</v>
      </c>
      <c r="AJ68" s="46"/>
      <c r="AK68" s="47"/>
      <c r="AQ68" s="20"/>
    </row>
    <row r="69" spans="1:45" x14ac:dyDescent="0.3">
      <c r="A69" s="7">
        <f>A58+1</f>
        <v>46086</v>
      </c>
      <c r="B69" s="8" t="s">
        <v>1</v>
      </c>
      <c r="C69" s="39">
        <v>201</v>
      </c>
      <c r="D69" s="39">
        <f t="shared" ref="D69:H69" si="30">+C69+1</f>
        <v>202</v>
      </c>
      <c r="E69" s="39">
        <f t="shared" si="30"/>
        <v>203</v>
      </c>
      <c r="F69" s="39">
        <f t="shared" si="30"/>
        <v>204</v>
      </c>
      <c r="G69" s="39">
        <f t="shared" si="30"/>
        <v>205</v>
      </c>
      <c r="H69" s="39">
        <f t="shared" si="30"/>
        <v>206</v>
      </c>
      <c r="I69" s="39">
        <v>213</v>
      </c>
      <c r="J69" s="39">
        <f>+I69+1</f>
        <v>214</v>
      </c>
      <c r="K69" s="40">
        <f>+J69+1</f>
        <v>215</v>
      </c>
      <c r="L69" s="7">
        <f>A69</f>
        <v>46086</v>
      </c>
      <c r="M69" s="8" t="s">
        <v>1</v>
      </c>
      <c r="N69" s="39">
        <v>299</v>
      </c>
      <c r="O69" s="39">
        <f t="shared" ref="O69:X69" si="31">+N69+1</f>
        <v>300</v>
      </c>
      <c r="P69" s="39">
        <f t="shared" si="31"/>
        <v>301</v>
      </c>
      <c r="Q69" s="39">
        <f t="shared" si="31"/>
        <v>302</v>
      </c>
      <c r="R69" s="39">
        <f t="shared" si="31"/>
        <v>303</v>
      </c>
      <c r="S69" s="39">
        <f t="shared" si="31"/>
        <v>304</v>
      </c>
      <c r="T69" s="39">
        <f t="shared" si="31"/>
        <v>305</v>
      </c>
      <c r="U69" s="39">
        <f t="shared" si="31"/>
        <v>306</v>
      </c>
      <c r="V69" s="39">
        <f t="shared" si="31"/>
        <v>307</v>
      </c>
      <c r="W69" s="39">
        <f t="shared" si="31"/>
        <v>308</v>
      </c>
      <c r="X69" s="39">
        <f t="shared" si="31"/>
        <v>309</v>
      </c>
      <c r="Y69" s="39">
        <f>+X69+1</f>
        <v>310</v>
      </c>
      <c r="Z69" s="39">
        <f t="shared" ref="Z69:AB69" si="32">+Y69+1</f>
        <v>311</v>
      </c>
      <c r="AA69" s="39">
        <f t="shared" si="32"/>
        <v>312</v>
      </c>
      <c r="AB69" s="39">
        <f t="shared" si="32"/>
        <v>313</v>
      </c>
      <c r="AC69" s="39">
        <f>+AB69+1</f>
        <v>314</v>
      </c>
      <c r="AD69" s="39">
        <f t="shared" ref="AD69:AI69" si="33">+AC69+1</f>
        <v>315</v>
      </c>
      <c r="AE69" s="39">
        <f t="shared" si="33"/>
        <v>316</v>
      </c>
      <c r="AF69" s="39">
        <f t="shared" si="33"/>
        <v>317</v>
      </c>
      <c r="AG69" s="39">
        <f t="shared" si="33"/>
        <v>318</v>
      </c>
      <c r="AH69" s="39">
        <f t="shared" si="33"/>
        <v>319</v>
      </c>
      <c r="AI69" s="40">
        <f t="shared" si="33"/>
        <v>320</v>
      </c>
      <c r="AJ69" s="7">
        <f>L69</f>
        <v>46086</v>
      </c>
      <c r="AK69" s="12" t="s">
        <v>1</v>
      </c>
      <c r="AL69" s="42">
        <v>207</v>
      </c>
      <c r="AM69" s="42">
        <f>+AL69+1</f>
        <v>208</v>
      </c>
      <c r="AN69" s="42">
        <f>+AM69+1</f>
        <v>209</v>
      </c>
      <c r="AO69" s="42">
        <f>+AN69+1</f>
        <v>210</v>
      </c>
      <c r="AP69" s="42">
        <f>+AO69+1</f>
        <v>211</v>
      </c>
      <c r="AQ69" s="40">
        <f>+AP69+1</f>
        <v>212</v>
      </c>
    </row>
    <row r="70" spans="1:45" x14ac:dyDescent="0.3">
      <c r="A70" s="16"/>
      <c r="B70" s="24" t="s">
        <v>2</v>
      </c>
      <c r="C70" s="9">
        <f t="shared" ref="C70:K70" si="34">(C79*100000)/(C80*60*8)</f>
        <v>94.57236842105263</v>
      </c>
      <c r="D70" s="10">
        <f t="shared" si="34"/>
        <v>87.5</v>
      </c>
      <c r="E70" s="10">
        <f t="shared" si="34"/>
        <v>96.606182795698928</v>
      </c>
      <c r="F70" s="10">
        <f t="shared" si="34"/>
        <v>80.940315315315317</v>
      </c>
      <c r="G70" s="10">
        <f t="shared" si="34"/>
        <v>76.860841423948216</v>
      </c>
      <c r="H70" s="10">
        <f t="shared" si="34"/>
        <v>78.125</v>
      </c>
      <c r="I70" s="10">
        <f t="shared" si="34"/>
        <v>62.716262975778548</v>
      </c>
      <c r="J70" s="10">
        <f t="shared" si="34"/>
        <v>59.832756632064587</v>
      </c>
      <c r="K70" s="11">
        <f t="shared" si="34"/>
        <v>86.399108138238574</v>
      </c>
      <c r="L70" s="16"/>
      <c r="M70" s="21" t="s">
        <v>2</v>
      </c>
      <c r="N70" s="13">
        <f>(N79*100000)/(N80*60*8)</f>
        <v>92.385912698412696</v>
      </c>
      <c r="O70" s="14">
        <f t="shared" ref="O70:S70" si="35">(O79*100000)/(O80*60*8)</f>
        <v>77.38095238095238</v>
      </c>
      <c r="P70" s="14">
        <f t="shared" si="35"/>
        <v>82.03125</v>
      </c>
      <c r="Q70" s="14">
        <f t="shared" si="35"/>
        <v>77.38095238095238</v>
      </c>
      <c r="R70" s="14">
        <f t="shared" si="35"/>
        <v>87.5</v>
      </c>
      <c r="S70" s="14">
        <f t="shared" si="35"/>
        <v>93.137254901960787</v>
      </c>
      <c r="T70" s="14">
        <f>(T79*100000)/(T80*60*8)</f>
        <v>82.614942528735625</v>
      </c>
      <c r="U70" s="14">
        <f>(U79*100000)/(U80*60*8)</f>
        <v>60.307017543859651</v>
      </c>
      <c r="V70" s="14">
        <f t="shared" ref="V70:AI70" si="36">(V79*100000)/(V80*60*8)</f>
        <v>83.061002178649233</v>
      </c>
      <c r="W70" s="14">
        <f t="shared" si="36"/>
        <v>88.797814207650276</v>
      </c>
      <c r="X70" s="14">
        <f t="shared" si="36"/>
        <v>85.784313725490193</v>
      </c>
      <c r="Y70" s="14">
        <f t="shared" si="36"/>
        <v>68.539630836047778</v>
      </c>
      <c r="Z70" s="14">
        <f t="shared" si="36"/>
        <v>86.451247165532877</v>
      </c>
      <c r="AA70" s="14">
        <f t="shared" si="36"/>
        <v>85.324232081911262</v>
      </c>
      <c r="AB70" s="14">
        <f t="shared" si="36"/>
        <v>83.892617449664428</v>
      </c>
      <c r="AC70" s="14">
        <f t="shared" si="36"/>
        <v>86.86440677966101</v>
      </c>
      <c r="AD70" s="14">
        <f t="shared" si="36"/>
        <v>59.130913091309132</v>
      </c>
      <c r="AE70" s="14">
        <f t="shared" si="36"/>
        <v>75.62785388127854</v>
      </c>
      <c r="AF70" s="14">
        <f t="shared" si="36"/>
        <v>10.416666666666666</v>
      </c>
      <c r="AG70" s="14">
        <f t="shared" si="36"/>
        <v>72.769953051643199</v>
      </c>
      <c r="AH70" s="14">
        <f t="shared" si="36"/>
        <v>96.299093655589118</v>
      </c>
      <c r="AI70" s="11">
        <f t="shared" si="36"/>
        <v>83.928571428571431</v>
      </c>
      <c r="AJ70" s="16"/>
      <c r="AK70" s="21" t="s">
        <v>2</v>
      </c>
      <c r="AL70" s="9">
        <f>(AL78*100000)/(AL79*60*8)</f>
        <v>74.289405684754527</v>
      </c>
      <c r="AM70" s="10">
        <f t="shared" ref="AM70:AP70" si="37">(AM78*100000)/(AM79*60*8)</f>
        <v>89.285714285714292</v>
      </c>
      <c r="AN70" s="10">
        <f t="shared" si="37"/>
        <v>77.658303464755079</v>
      </c>
      <c r="AO70" s="10">
        <f t="shared" si="37"/>
        <v>91.954022988505741</v>
      </c>
      <c r="AP70" s="10">
        <f t="shared" si="37"/>
        <v>86.035267349260522</v>
      </c>
      <c r="AQ70" s="15"/>
      <c r="AS70" s="48">
        <f>SUM(N71:AI71)</f>
        <v>243</v>
      </c>
    </row>
    <row r="71" spans="1:45" x14ac:dyDescent="0.3">
      <c r="A71" s="16"/>
      <c r="B71" s="24" t="s">
        <v>3</v>
      </c>
      <c r="C71" s="18">
        <v>8</v>
      </c>
      <c r="D71">
        <v>6</v>
      </c>
      <c r="E71">
        <v>5</v>
      </c>
      <c r="F71" s="19">
        <v>21</v>
      </c>
      <c r="G71">
        <v>10</v>
      </c>
      <c r="H71">
        <v>1</v>
      </c>
      <c r="I71">
        <v>8</v>
      </c>
      <c r="J71">
        <v>0</v>
      </c>
      <c r="K71" s="20">
        <v>2</v>
      </c>
      <c r="L71" s="16"/>
      <c r="M71" s="21" t="s">
        <v>3</v>
      </c>
      <c r="N71" s="18">
        <v>3</v>
      </c>
      <c r="O71" s="19">
        <v>30</v>
      </c>
      <c r="P71" s="19">
        <v>45</v>
      </c>
      <c r="Q71">
        <v>2</v>
      </c>
      <c r="R71">
        <v>1</v>
      </c>
      <c r="S71">
        <v>4</v>
      </c>
      <c r="T71">
        <v>3</v>
      </c>
      <c r="U71">
        <v>10</v>
      </c>
      <c r="V71">
        <v>9</v>
      </c>
      <c r="X71">
        <v>12</v>
      </c>
      <c r="Y71" s="19">
        <v>65</v>
      </c>
      <c r="Z71">
        <v>3</v>
      </c>
      <c r="AA71" s="19">
        <v>21</v>
      </c>
      <c r="AB71">
        <v>2</v>
      </c>
      <c r="AC71">
        <v>4</v>
      </c>
      <c r="AD71">
        <v>8</v>
      </c>
      <c r="AE71">
        <v>13</v>
      </c>
      <c r="AF71">
        <v>0</v>
      </c>
      <c r="AG71">
        <v>2</v>
      </c>
      <c r="AH71">
        <v>4</v>
      </c>
      <c r="AI71" s="20">
        <v>2</v>
      </c>
      <c r="AJ71" s="16"/>
      <c r="AK71" s="21" t="s">
        <v>3</v>
      </c>
      <c r="AL71" s="18">
        <v>16</v>
      </c>
      <c r="AM71">
        <v>2</v>
      </c>
      <c r="AN71">
        <v>17</v>
      </c>
      <c r="AO71">
        <v>5</v>
      </c>
      <c r="AP71">
        <v>5</v>
      </c>
      <c r="AQ71" s="20"/>
      <c r="AS71" s="48">
        <f t="shared" ref="AS71:AS76" si="38">SUM(N72:AI72)</f>
        <v>0</v>
      </c>
    </row>
    <row r="72" spans="1:45" x14ac:dyDescent="0.3">
      <c r="A72" s="16"/>
      <c r="B72" s="21" t="s">
        <v>4</v>
      </c>
      <c r="C72" s="18"/>
      <c r="K72" s="20"/>
      <c r="L72" s="16"/>
      <c r="M72" s="21" t="s">
        <v>4</v>
      </c>
      <c r="N72" s="18"/>
      <c r="AJ72" s="16"/>
      <c r="AK72" s="21" t="s">
        <v>4</v>
      </c>
      <c r="AL72" s="18"/>
      <c r="AQ72" s="20"/>
      <c r="AS72" s="48">
        <f t="shared" si="38"/>
        <v>171</v>
      </c>
    </row>
    <row r="73" spans="1:45" x14ac:dyDescent="0.3">
      <c r="A73" s="16"/>
      <c r="B73" s="24" t="s">
        <v>5</v>
      </c>
      <c r="C73" s="18">
        <v>10</v>
      </c>
      <c r="D73">
        <v>12</v>
      </c>
      <c r="E73">
        <v>11</v>
      </c>
      <c r="F73">
        <v>6</v>
      </c>
      <c r="G73">
        <v>11</v>
      </c>
      <c r="H73">
        <v>9</v>
      </c>
      <c r="I73">
        <v>19</v>
      </c>
      <c r="J73">
        <v>1</v>
      </c>
      <c r="K73" s="20">
        <v>9</v>
      </c>
      <c r="L73" s="16"/>
      <c r="M73" s="21" t="s">
        <v>5</v>
      </c>
      <c r="N73" s="18">
        <v>2</v>
      </c>
      <c r="O73">
        <v>4</v>
      </c>
      <c r="P73">
        <v>1</v>
      </c>
      <c r="Q73" s="19">
        <v>44</v>
      </c>
      <c r="R73">
        <v>4</v>
      </c>
      <c r="S73">
        <v>1</v>
      </c>
      <c r="T73">
        <v>2</v>
      </c>
      <c r="U73">
        <v>2</v>
      </c>
      <c r="V73">
        <v>12</v>
      </c>
      <c r="X73">
        <v>8</v>
      </c>
      <c r="Y73">
        <v>9</v>
      </c>
      <c r="Z73">
        <v>13</v>
      </c>
      <c r="AA73">
        <v>17</v>
      </c>
      <c r="AB73">
        <v>6</v>
      </c>
      <c r="AC73">
        <v>4</v>
      </c>
      <c r="AD73" s="19">
        <v>22</v>
      </c>
      <c r="AE73">
        <v>2</v>
      </c>
      <c r="AF73">
        <v>1</v>
      </c>
      <c r="AG73">
        <v>11</v>
      </c>
      <c r="AH73">
        <v>2</v>
      </c>
      <c r="AI73" s="20">
        <v>4</v>
      </c>
      <c r="AJ73" s="16"/>
      <c r="AK73" s="21" t="s">
        <v>5</v>
      </c>
      <c r="AL73" s="18">
        <v>1</v>
      </c>
      <c r="AM73">
        <v>2</v>
      </c>
      <c r="AN73">
        <v>1</v>
      </c>
      <c r="AO73">
        <v>0</v>
      </c>
      <c r="AP73">
        <v>2</v>
      </c>
      <c r="AQ73" s="20"/>
      <c r="AS73" s="48">
        <f t="shared" si="38"/>
        <v>0</v>
      </c>
    </row>
    <row r="74" spans="1:45" x14ac:dyDescent="0.3">
      <c r="A74" s="16"/>
      <c r="B74" s="24" t="s">
        <v>6</v>
      </c>
      <c r="C74" s="18"/>
      <c r="K74" s="20"/>
      <c r="L74" s="16"/>
      <c r="M74" s="21" t="s">
        <v>6</v>
      </c>
      <c r="N74" s="18"/>
      <c r="AI74" s="20"/>
      <c r="AJ74" s="16"/>
      <c r="AK74" s="21" t="s">
        <v>7</v>
      </c>
      <c r="AL74" s="18">
        <v>3</v>
      </c>
      <c r="AM74">
        <v>4</v>
      </c>
      <c r="AN74">
        <v>4</v>
      </c>
      <c r="AO74">
        <v>1</v>
      </c>
      <c r="AP74">
        <v>2</v>
      </c>
      <c r="AQ74" s="20"/>
      <c r="AS74" s="48">
        <f t="shared" si="38"/>
        <v>136</v>
      </c>
    </row>
    <row r="75" spans="1:45" x14ac:dyDescent="0.3">
      <c r="A75" s="16"/>
      <c r="B75" s="24" t="s">
        <v>7</v>
      </c>
      <c r="C75" s="18">
        <v>4</v>
      </c>
      <c r="D75">
        <v>7</v>
      </c>
      <c r="E75">
        <v>7</v>
      </c>
      <c r="F75">
        <v>14</v>
      </c>
      <c r="G75">
        <v>12</v>
      </c>
      <c r="H75" s="19">
        <v>24</v>
      </c>
      <c r="I75">
        <v>15</v>
      </c>
      <c r="J75">
        <v>3</v>
      </c>
      <c r="K75" s="20">
        <v>3</v>
      </c>
      <c r="L75" s="16"/>
      <c r="M75" s="21" t="s">
        <v>7</v>
      </c>
      <c r="N75" s="18">
        <v>1</v>
      </c>
      <c r="O75">
        <v>1</v>
      </c>
      <c r="P75">
        <v>1</v>
      </c>
      <c r="Q75">
        <v>9</v>
      </c>
      <c r="R75">
        <v>3</v>
      </c>
      <c r="S75">
        <v>4</v>
      </c>
      <c r="T75" s="19">
        <v>27</v>
      </c>
      <c r="U75" s="19">
        <v>20</v>
      </c>
      <c r="V75">
        <v>14</v>
      </c>
      <c r="X75">
        <v>3</v>
      </c>
      <c r="Y75">
        <v>4</v>
      </c>
      <c r="Z75">
        <v>2</v>
      </c>
      <c r="AA75">
        <v>4</v>
      </c>
      <c r="AB75">
        <v>3</v>
      </c>
      <c r="AC75">
        <v>8</v>
      </c>
      <c r="AD75">
        <v>8</v>
      </c>
      <c r="AE75">
        <v>10</v>
      </c>
      <c r="AF75">
        <v>1</v>
      </c>
      <c r="AG75">
        <v>5</v>
      </c>
      <c r="AH75">
        <v>3</v>
      </c>
      <c r="AI75" s="20">
        <v>5</v>
      </c>
      <c r="AJ75" s="49"/>
      <c r="AK75" s="21" t="s">
        <v>8</v>
      </c>
      <c r="AL75" s="18"/>
      <c r="AQ75" s="20"/>
      <c r="AS75" s="48">
        <f t="shared" si="38"/>
        <v>0</v>
      </c>
    </row>
    <row r="76" spans="1:45" x14ac:dyDescent="0.3">
      <c r="A76" s="25" t="s">
        <v>22</v>
      </c>
      <c r="B76" s="24" t="s">
        <v>10</v>
      </c>
      <c r="C76" s="18"/>
      <c r="K76" s="20"/>
      <c r="L76" s="25" t="str">
        <f>A76</f>
        <v>JU1T</v>
      </c>
      <c r="M76" s="21" t="s">
        <v>10</v>
      </c>
      <c r="N76" s="18"/>
      <c r="AI76" s="20"/>
      <c r="AJ76" s="25" t="str">
        <f>+L76</f>
        <v>JU1T</v>
      </c>
      <c r="AK76" s="21" t="s">
        <v>11</v>
      </c>
      <c r="AL76" s="18">
        <v>4</v>
      </c>
      <c r="AM76">
        <v>1</v>
      </c>
      <c r="AN76">
        <v>4</v>
      </c>
      <c r="AO76">
        <v>2</v>
      </c>
      <c r="AP76">
        <v>3</v>
      </c>
      <c r="AQ76" s="20"/>
      <c r="AS76" s="48">
        <f t="shared" si="38"/>
        <v>111</v>
      </c>
    </row>
    <row r="77" spans="1:45" x14ac:dyDescent="0.3">
      <c r="A77" s="25"/>
      <c r="B77" s="24" t="s">
        <v>11</v>
      </c>
      <c r="C77" s="18">
        <v>5</v>
      </c>
      <c r="D77">
        <v>12</v>
      </c>
      <c r="E77">
        <v>9</v>
      </c>
      <c r="F77" s="19">
        <v>21</v>
      </c>
      <c r="G77">
        <v>13</v>
      </c>
      <c r="H77">
        <v>2</v>
      </c>
      <c r="I77">
        <v>4</v>
      </c>
      <c r="J77">
        <v>9</v>
      </c>
      <c r="K77" s="20">
        <v>4</v>
      </c>
      <c r="L77" s="25"/>
      <c r="M77" s="21" t="s">
        <v>11</v>
      </c>
      <c r="N77" s="18">
        <v>2</v>
      </c>
      <c r="O77">
        <v>1</v>
      </c>
      <c r="P77">
        <v>8</v>
      </c>
      <c r="Q77">
        <v>6</v>
      </c>
      <c r="R77">
        <v>14</v>
      </c>
      <c r="S77">
        <v>6</v>
      </c>
      <c r="T77">
        <v>16</v>
      </c>
      <c r="U77">
        <v>7</v>
      </c>
      <c r="V77">
        <v>11</v>
      </c>
      <c r="X77">
        <v>5</v>
      </c>
      <c r="Y77">
        <v>5</v>
      </c>
      <c r="Z77">
        <v>3</v>
      </c>
      <c r="AA77">
        <v>3</v>
      </c>
      <c r="AB77">
        <v>2</v>
      </c>
      <c r="AC77">
        <v>3</v>
      </c>
      <c r="AD77">
        <v>1</v>
      </c>
      <c r="AE77">
        <v>7</v>
      </c>
      <c r="AF77">
        <v>2</v>
      </c>
      <c r="AG77">
        <v>2</v>
      </c>
      <c r="AH77">
        <v>3</v>
      </c>
      <c r="AI77" s="20">
        <v>4</v>
      </c>
      <c r="AJ77" s="25"/>
      <c r="AK77" s="21" t="s">
        <v>12</v>
      </c>
      <c r="AL77" s="18"/>
      <c r="AQ77" s="20"/>
    </row>
    <row r="78" spans="1:45" x14ac:dyDescent="0.3">
      <c r="A78" s="25"/>
      <c r="B78" s="24" t="s">
        <v>12</v>
      </c>
      <c r="C78" s="18"/>
      <c r="K78" s="20"/>
      <c r="L78" s="25"/>
      <c r="M78" s="21" t="s">
        <v>12</v>
      </c>
      <c r="N78" s="18"/>
      <c r="AI78" s="20"/>
      <c r="AJ78" s="25"/>
      <c r="AK78" s="21" t="s">
        <v>13</v>
      </c>
      <c r="AL78" s="18">
        <v>92</v>
      </c>
      <c r="AM78">
        <v>120</v>
      </c>
      <c r="AN78">
        <v>104</v>
      </c>
      <c r="AO78">
        <v>128</v>
      </c>
      <c r="AP78">
        <v>121</v>
      </c>
      <c r="AQ78" s="20"/>
    </row>
    <row r="79" spans="1:45" x14ac:dyDescent="0.3">
      <c r="A79" s="25"/>
      <c r="B79" s="24" t="s">
        <v>13</v>
      </c>
      <c r="C79" s="18">
        <v>138</v>
      </c>
      <c r="D79">
        <v>126</v>
      </c>
      <c r="E79">
        <v>115</v>
      </c>
      <c r="F79">
        <v>115</v>
      </c>
      <c r="G79">
        <v>114</v>
      </c>
      <c r="H79">
        <v>102</v>
      </c>
      <c r="I79">
        <v>87</v>
      </c>
      <c r="J79">
        <v>83</v>
      </c>
      <c r="K79" s="20">
        <v>124</v>
      </c>
      <c r="L79" s="25"/>
      <c r="M79" s="21" t="s">
        <v>13</v>
      </c>
      <c r="N79" s="18">
        <v>149</v>
      </c>
      <c r="O79">
        <v>130</v>
      </c>
      <c r="P79">
        <v>126</v>
      </c>
      <c r="Q79">
        <v>130</v>
      </c>
      <c r="R79">
        <v>147</v>
      </c>
      <c r="S79">
        <v>152</v>
      </c>
      <c r="T79">
        <v>115</v>
      </c>
      <c r="U79">
        <v>88</v>
      </c>
      <c r="V79">
        <v>122</v>
      </c>
      <c r="W79">
        <v>130</v>
      </c>
      <c r="X79">
        <v>119</v>
      </c>
      <c r="Y79">
        <v>101</v>
      </c>
      <c r="Z79">
        <v>122</v>
      </c>
      <c r="AA79">
        <v>120</v>
      </c>
      <c r="AB79">
        <v>120</v>
      </c>
      <c r="AC79">
        <v>123</v>
      </c>
      <c r="AD79">
        <v>86</v>
      </c>
      <c r="AE79">
        <v>106</v>
      </c>
      <c r="AF79">
        <v>13</v>
      </c>
      <c r="AG79">
        <v>124</v>
      </c>
      <c r="AH79">
        <v>153</v>
      </c>
      <c r="AI79" s="20">
        <v>141</v>
      </c>
      <c r="AJ79" s="25"/>
      <c r="AK79" s="21" t="s">
        <v>14</v>
      </c>
      <c r="AL79" s="27">
        <v>258</v>
      </c>
      <c r="AM79" s="28">
        <v>280</v>
      </c>
      <c r="AN79" s="28">
        <v>279</v>
      </c>
      <c r="AO79" s="28">
        <v>290</v>
      </c>
      <c r="AP79" s="28">
        <v>293</v>
      </c>
      <c r="AQ79" s="29"/>
    </row>
    <row r="80" spans="1:45" x14ac:dyDescent="0.3">
      <c r="A80" s="25"/>
      <c r="B80" s="24" t="s">
        <v>14</v>
      </c>
      <c r="C80" s="27">
        <v>304</v>
      </c>
      <c r="D80" s="28">
        <v>300</v>
      </c>
      <c r="E80" s="28">
        <v>248</v>
      </c>
      <c r="F80" s="28">
        <v>296</v>
      </c>
      <c r="G80" s="28">
        <v>309</v>
      </c>
      <c r="H80" s="28">
        <v>272</v>
      </c>
      <c r="I80" s="28">
        <v>289</v>
      </c>
      <c r="J80" s="28">
        <v>289</v>
      </c>
      <c r="K80" s="29">
        <v>299</v>
      </c>
      <c r="L80" s="25"/>
      <c r="M80" s="21" t="s">
        <v>14</v>
      </c>
      <c r="N80" s="27">
        <v>336</v>
      </c>
      <c r="O80" s="28">
        <v>350</v>
      </c>
      <c r="P80" s="28">
        <v>320</v>
      </c>
      <c r="Q80" s="28">
        <v>350</v>
      </c>
      <c r="R80" s="28">
        <v>350</v>
      </c>
      <c r="S80" s="28">
        <v>340</v>
      </c>
      <c r="T80" s="28">
        <v>290</v>
      </c>
      <c r="U80" s="28">
        <v>304</v>
      </c>
      <c r="V80" s="28">
        <v>306</v>
      </c>
      <c r="W80" s="28">
        <v>305</v>
      </c>
      <c r="X80" s="28">
        <v>289</v>
      </c>
      <c r="Y80" s="28">
        <v>307</v>
      </c>
      <c r="Z80" s="28">
        <v>294</v>
      </c>
      <c r="AA80" s="28">
        <v>293</v>
      </c>
      <c r="AB80" s="28">
        <v>298</v>
      </c>
      <c r="AC80" s="28">
        <v>295</v>
      </c>
      <c r="AD80" s="28">
        <v>303</v>
      </c>
      <c r="AE80" s="28">
        <v>292</v>
      </c>
      <c r="AF80" s="28">
        <v>260</v>
      </c>
      <c r="AG80" s="28">
        <v>355</v>
      </c>
      <c r="AH80" s="28">
        <v>331</v>
      </c>
      <c r="AI80" s="29">
        <v>350</v>
      </c>
      <c r="AJ80" s="30"/>
      <c r="AK80" s="18"/>
      <c r="AQ80" s="20"/>
    </row>
    <row r="81" spans="1:45" x14ac:dyDescent="0.3">
      <c r="A81" s="16">
        <f>A69</f>
        <v>46086</v>
      </c>
      <c r="B81" s="24" t="s">
        <v>2</v>
      </c>
      <c r="C81" s="9">
        <f t="shared" ref="C81:K81" si="39">(C90*100000)/(C91*60*8)</f>
        <v>85.800438596491233</v>
      </c>
      <c r="D81" s="10">
        <f t="shared" si="39"/>
        <v>80.555555555555557</v>
      </c>
      <c r="E81" s="10">
        <f t="shared" si="39"/>
        <v>26.881720430107528</v>
      </c>
      <c r="F81" s="10">
        <f t="shared" si="39"/>
        <v>84.459459459459453</v>
      </c>
      <c r="G81" s="10">
        <f t="shared" si="39"/>
        <v>82.92880258899676</v>
      </c>
      <c r="H81" s="10">
        <f t="shared" si="39"/>
        <v>80.805759803921575</v>
      </c>
      <c r="I81" s="10">
        <f t="shared" si="39"/>
        <v>65.383506343713961</v>
      </c>
      <c r="J81" s="10">
        <f t="shared" si="39"/>
        <v>75.692041522491351</v>
      </c>
      <c r="K81" s="11">
        <f t="shared" si="39"/>
        <v>90.579710144927532</v>
      </c>
      <c r="L81" s="16">
        <f>A81</f>
        <v>46086</v>
      </c>
      <c r="M81" s="21" t="s">
        <v>2</v>
      </c>
      <c r="N81" s="13">
        <f>(N90*100000)/(N91*60*8)</f>
        <v>89.905753968253961</v>
      </c>
      <c r="O81" s="14">
        <f t="shared" ref="O81:AI81" si="40">(O90*100000)/(O91*60*8)</f>
        <v>83.333333333333329</v>
      </c>
      <c r="P81" s="14">
        <f t="shared" si="40"/>
        <v>79.427083333333329</v>
      </c>
      <c r="Q81" s="14">
        <f t="shared" si="40"/>
        <v>82.142857142857139</v>
      </c>
      <c r="R81" s="14">
        <f t="shared" si="40"/>
        <v>85.11904761904762</v>
      </c>
      <c r="S81" s="14">
        <f t="shared" si="40"/>
        <v>75.980392156862749</v>
      </c>
      <c r="T81" s="14">
        <f t="shared" si="40"/>
        <v>81.537356321839084</v>
      </c>
      <c r="U81" s="14">
        <f t="shared" si="40"/>
        <v>62.774122807017541</v>
      </c>
      <c r="V81" s="14">
        <f t="shared" si="40"/>
        <v>86.737472766884537</v>
      </c>
      <c r="W81" s="14">
        <f t="shared" si="40"/>
        <v>76.502732240437155</v>
      </c>
      <c r="X81" s="14">
        <f t="shared" si="40"/>
        <v>89.532871972318333</v>
      </c>
      <c r="Y81" s="14">
        <f t="shared" si="40"/>
        <v>67.861020629750271</v>
      </c>
      <c r="Z81" s="14">
        <f t="shared" si="40"/>
        <v>87.159863945578238</v>
      </c>
      <c r="AA81" s="14">
        <f t="shared" si="40"/>
        <v>85.324232081911262</v>
      </c>
      <c r="AB81" s="14">
        <f t="shared" si="40"/>
        <v>94.519015659955244</v>
      </c>
      <c r="AC81" s="14">
        <f t="shared" si="40"/>
        <v>89.548022598870062</v>
      </c>
      <c r="AD81" s="14">
        <f t="shared" si="40"/>
        <v>34.378437843784376</v>
      </c>
      <c r="AE81" s="14">
        <f t="shared" si="40"/>
        <v>89.897260273972606</v>
      </c>
      <c r="AF81" s="14">
        <f t="shared" si="40"/>
        <v>96.15384615384616</v>
      </c>
      <c r="AG81" s="14">
        <f t="shared" si="40"/>
        <v>76.291079812206576</v>
      </c>
      <c r="AH81" s="14">
        <f t="shared" si="40"/>
        <v>96.299093655589118</v>
      </c>
      <c r="AI81" s="11">
        <f t="shared" si="40"/>
        <v>85.714285714285708</v>
      </c>
      <c r="AJ81" s="16">
        <f>L81</f>
        <v>46086</v>
      </c>
      <c r="AK81" s="21" t="s">
        <v>2</v>
      </c>
      <c r="AL81" s="9">
        <f>(AL89*100000)/(AL90*60*8)</f>
        <v>76.711886304909555</v>
      </c>
      <c r="AM81" s="10">
        <f t="shared" ref="AM81:AP81" si="41">(AM89*100000)/(AM90*60*8)</f>
        <v>96.726190476190482</v>
      </c>
      <c r="AN81" s="10">
        <f t="shared" si="41"/>
        <v>70.937873357228199</v>
      </c>
      <c r="AO81" s="10">
        <f t="shared" si="41"/>
        <v>80.459770114942529</v>
      </c>
      <c r="AP81" s="10">
        <f t="shared" si="41"/>
        <v>34.129692832764505</v>
      </c>
      <c r="AQ81" s="15"/>
      <c r="AS81" s="48">
        <f t="shared" ref="AS81:AS87" si="42">SUM(N82:AI82)</f>
        <v>171</v>
      </c>
    </row>
    <row r="82" spans="1:45" x14ac:dyDescent="0.3">
      <c r="A82" s="16"/>
      <c r="B82" s="24" t="s">
        <v>3</v>
      </c>
      <c r="C82" s="18">
        <v>13</v>
      </c>
      <c r="D82">
        <v>13</v>
      </c>
      <c r="E82">
        <v>4</v>
      </c>
      <c r="F82">
        <v>14</v>
      </c>
      <c r="G82">
        <v>10</v>
      </c>
      <c r="H82">
        <v>4</v>
      </c>
      <c r="I82" s="19">
        <v>21</v>
      </c>
      <c r="J82">
        <v>8</v>
      </c>
      <c r="K82" s="20">
        <v>2</v>
      </c>
      <c r="L82" s="16"/>
      <c r="M82" s="21" t="s">
        <v>3</v>
      </c>
      <c r="N82" s="18">
        <v>8</v>
      </c>
      <c r="O82">
        <v>17</v>
      </c>
      <c r="P82">
        <v>17</v>
      </c>
      <c r="Q82">
        <v>5</v>
      </c>
      <c r="R82">
        <v>5</v>
      </c>
      <c r="S82">
        <v>2</v>
      </c>
      <c r="T82">
        <v>6</v>
      </c>
      <c r="U82">
        <v>10</v>
      </c>
      <c r="V82">
        <v>3</v>
      </c>
      <c r="W82">
        <v>1</v>
      </c>
      <c r="X82">
        <v>9</v>
      </c>
      <c r="Y82" s="19">
        <v>44</v>
      </c>
      <c r="Z82">
        <v>4</v>
      </c>
      <c r="AA82">
        <v>9</v>
      </c>
      <c r="AB82">
        <v>1</v>
      </c>
      <c r="AC82">
        <v>4</v>
      </c>
      <c r="AD82">
        <v>3</v>
      </c>
      <c r="AE82">
        <v>12</v>
      </c>
      <c r="AF82">
        <v>0</v>
      </c>
      <c r="AG82">
        <v>1</v>
      </c>
      <c r="AH82">
        <v>4</v>
      </c>
      <c r="AI82" s="20">
        <v>6</v>
      </c>
      <c r="AJ82" s="16"/>
      <c r="AK82" s="21" t="s">
        <v>3</v>
      </c>
      <c r="AL82" s="18">
        <v>8</v>
      </c>
      <c r="AM82">
        <v>1</v>
      </c>
      <c r="AN82">
        <v>13</v>
      </c>
      <c r="AO82">
        <v>3</v>
      </c>
      <c r="AP82">
        <v>2</v>
      </c>
      <c r="AQ82" s="20"/>
      <c r="AS82" s="48">
        <f t="shared" si="42"/>
        <v>0</v>
      </c>
    </row>
    <row r="83" spans="1:45" x14ac:dyDescent="0.3">
      <c r="A83" s="16"/>
      <c r="B83" s="21" t="s">
        <v>4</v>
      </c>
      <c r="K83" s="20"/>
      <c r="L83" s="16"/>
      <c r="M83" s="21" t="s">
        <v>4</v>
      </c>
      <c r="N83" s="18"/>
      <c r="AJ83" s="16"/>
      <c r="AK83" s="21" t="s">
        <v>4</v>
      </c>
      <c r="AL83" s="18"/>
      <c r="AQ83" s="20"/>
      <c r="AS83" s="48">
        <f t="shared" si="42"/>
        <v>125</v>
      </c>
    </row>
    <row r="84" spans="1:45" x14ac:dyDescent="0.3">
      <c r="A84" s="16"/>
      <c r="B84" s="24" t="s">
        <v>5</v>
      </c>
      <c r="C84" s="18">
        <v>9</v>
      </c>
      <c r="D84">
        <v>8</v>
      </c>
      <c r="E84">
        <v>16</v>
      </c>
      <c r="F84">
        <v>10</v>
      </c>
      <c r="G84">
        <v>2</v>
      </c>
      <c r="H84">
        <v>8</v>
      </c>
      <c r="I84">
        <v>13</v>
      </c>
      <c r="J84">
        <v>16</v>
      </c>
      <c r="K84" s="20">
        <v>5</v>
      </c>
      <c r="L84" s="16"/>
      <c r="M84" s="21" t="s">
        <v>5</v>
      </c>
      <c r="N84" s="18">
        <v>1</v>
      </c>
      <c r="O84">
        <v>2</v>
      </c>
      <c r="P84">
        <v>6</v>
      </c>
      <c r="Q84">
        <v>16</v>
      </c>
      <c r="R84">
        <v>1</v>
      </c>
      <c r="S84">
        <v>11</v>
      </c>
      <c r="T84">
        <v>1</v>
      </c>
      <c r="U84">
        <v>1</v>
      </c>
      <c r="V84">
        <v>16</v>
      </c>
      <c r="W84">
        <v>1</v>
      </c>
      <c r="X84">
        <v>4</v>
      </c>
      <c r="Y84">
        <v>2</v>
      </c>
      <c r="Z84">
        <v>19</v>
      </c>
      <c r="AA84">
        <v>5</v>
      </c>
      <c r="AB84">
        <v>5</v>
      </c>
      <c r="AC84">
        <v>3</v>
      </c>
      <c r="AD84">
        <v>9</v>
      </c>
      <c r="AE84">
        <v>4</v>
      </c>
      <c r="AF84">
        <v>0</v>
      </c>
      <c r="AG84">
        <v>14</v>
      </c>
      <c r="AH84">
        <v>2</v>
      </c>
      <c r="AI84" s="20">
        <v>2</v>
      </c>
      <c r="AJ84" s="16"/>
      <c r="AK84" s="21" t="s">
        <v>5</v>
      </c>
      <c r="AL84" s="18">
        <v>14</v>
      </c>
      <c r="AM84">
        <v>0</v>
      </c>
      <c r="AN84">
        <v>8</v>
      </c>
      <c r="AO84">
        <v>1</v>
      </c>
      <c r="AP84">
        <v>1</v>
      </c>
      <c r="AQ84" s="20"/>
      <c r="AS84" s="48">
        <f t="shared" si="42"/>
        <v>0</v>
      </c>
    </row>
    <row r="85" spans="1:45" x14ac:dyDescent="0.3">
      <c r="A85" s="16"/>
      <c r="B85" s="24" t="s">
        <v>6</v>
      </c>
      <c r="C85" s="18"/>
      <c r="K85" s="20"/>
      <c r="L85" s="16"/>
      <c r="M85" s="21" t="s">
        <v>6</v>
      </c>
      <c r="N85" s="18"/>
      <c r="AI85" s="20"/>
      <c r="AJ85" s="16"/>
      <c r="AK85" s="21" t="s">
        <v>7</v>
      </c>
      <c r="AL85" s="18">
        <v>3</v>
      </c>
      <c r="AM85">
        <v>3</v>
      </c>
      <c r="AN85">
        <v>16</v>
      </c>
      <c r="AO85">
        <v>4</v>
      </c>
      <c r="AP85">
        <v>1</v>
      </c>
      <c r="AQ85" s="20"/>
      <c r="AS85" s="48">
        <f t="shared" si="42"/>
        <v>130</v>
      </c>
    </row>
    <row r="86" spans="1:45" x14ac:dyDescent="0.3">
      <c r="A86" s="16"/>
      <c r="B86" s="24" t="s">
        <v>7</v>
      </c>
      <c r="C86" s="18">
        <v>7</v>
      </c>
      <c r="D86">
        <v>8</v>
      </c>
      <c r="E86">
        <v>16</v>
      </c>
      <c r="F86">
        <v>4</v>
      </c>
      <c r="G86">
        <v>18</v>
      </c>
      <c r="H86">
        <v>15</v>
      </c>
      <c r="I86">
        <v>15</v>
      </c>
      <c r="J86">
        <v>10</v>
      </c>
      <c r="K86" s="20">
        <v>6</v>
      </c>
      <c r="L86" s="16"/>
      <c r="M86" s="21" t="s">
        <v>7</v>
      </c>
      <c r="N86" s="18">
        <v>0</v>
      </c>
      <c r="O86">
        <v>0</v>
      </c>
      <c r="P86">
        <v>5</v>
      </c>
      <c r="Q86">
        <v>8</v>
      </c>
      <c r="R86">
        <v>5</v>
      </c>
      <c r="S86">
        <v>4</v>
      </c>
      <c r="T86">
        <v>17</v>
      </c>
      <c r="U86">
        <v>6</v>
      </c>
      <c r="V86">
        <v>9</v>
      </c>
      <c r="W86">
        <v>0</v>
      </c>
      <c r="X86">
        <v>4</v>
      </c>
      <c r="Y86">
        <v>3</v>
      </c>
      <c r="Z86" s="19">
        <v>22</v>
      </c>
      <c r="AA86">
        <v>0</v>
      </c>
      <c r="AB86">
        <v>4</v>
      </c>
      <c r="AC86">
        <v>13</v>
      </c>
      <c r="AD86">
        <v>9</v>
      </c>
      <c r="AE86">
        <v>3</v>
      </c>
      <c r="AF86">
        <v>4</v>
      </c>
      <c r="AG86">
        <v>4</v>
      </c>
      <c r="AH86">
        <v>0</v>
      </c>
      <c r="AI86" s="20">
        <v>10</v>
      </c>
      <c r="AJ86" s="16"/>
      <c r="AK86" s="21" t="s">
        <v>8</v>
      </c>
      <c r="AL86" s="18"/>
      <c r="AQ86" s="20"/>
      <c r="AS86" s="48">
        <f t="shared" si="42"/>
        <v>0</v>
      </c>
    </row>
    <row r="87" spans="1:45" x14ac:dyDescent="0.3">
      <c r="A87" s="50" t="s">
        <v>23</v>
      </c>
      <c r="B87" s="24" t="s">
        <v>10</v>
      </c>
      <c r="C87" s="18"/>
      <c r="K87" s="20"/>
      <c r="L87" s="25" t="str">
        <f>A87</f>
        <v>JU2T</v>
      </c>
      <c r="M87" s="21" t="s">
        <v>10</v>
      </c>
      <c r="N87" s="18"/>
      <c r="AI87" s="20"/>
      <c r="AJ87" s="25" t="str">
        <f>+L87</f>
        <v>JU2T</v>
      </c>
      <c r="AK87" s="21" t="s">
        <v>11</v>
      </c>
      <c r="AL87" s="18">
        <v>2</v>
      </c>
      <c r="AM87">
        <v>3</v>
      </c>
      <c r="AN87">
        <v>0</v>
      </c>
      <c r="AO87">
        <v>2</v>
      </c>
      <c r="AP87">
        <v>2</v>
      </c>
      <c r="AQ87" s="20"/>
      <c r="AS87" s="48">
        <f t="shared" si="42"/>
        <v>105</v>
      </c>
    </row>
    <row r="88" spans="1:45" x14ac:dyDescent="0.3">
      <c r="A88" s="50"/>
      <c r="B88" s="24" t="s">
        <v>11</v>
      </c>
      <c r="C88" s="18">
        <v>2</v>
      </c>
      <c r="D88" s="19">
        <v>23</v>
      </c>
      <c r="E88">
        <v>12</v>
      </c>
      <c r="F88" s="19">
        <v>28</v>
      </c>
      <c r="G88">
        <v>5</v>
      </c>
      <c r="H88">
        <v>1</v>
      </c>
      <c r="I88">
        <v>7</v>
      </c>
      <c r="J88">
        <v>6</v>
      </c>
      <c r="K88" s="20">
        <v>5</v>
      </c>
      <c r="L88" s="25"/>
      <c r="M88" s="21" t="s">
        <v>11</v>
      </c>
      <c r="N88" s="18">
        <v>2</v>
      </c>
      <c r="O88">
        <v>1</v>
      </c>
      <c r="P88">
        <v>6</v>
      </c>
      <c r="Q88">
        <v>8</v>
      </c>
      <c r="R88">
        <v>6</v>
      </c>
      <c r="S88">
        <v>6</v>
      </c>
      <c r="T88">
        <v>2</v>
      </c>
      <c r="U88">
        <v>15</v>
      </c>
      <c r="V88">
        <v>5</v>
      </c>
      <c r="W88">
        <v>3</v>
      </c>
      <c r="X88">
        <v>3</v>
      </c>
      <c r="Y88">
        <v>14</v>
      </c>
      <c r="Z88">
        <v>4</v>
      </c>
      <c r="AA88">
        <v>3</v>
      </c>
      <c r="AB88">
        <v>2</v>
      </c>
      <c r="AC88">
        <v>3</v>
      </c>
      <c r="AD88">
        <v>8</v>
      </c>
      <c r="AE88">
        <v>5</v>
      </c>
      <c r="AF88">
        <v>1</v>
      </c>
      <c r="AG88">
        <v>2</v>
      </c>
      <c r="AH88">
        <v>3</v>
      </c>
      <c r="AI88" s="20">
        <v>3</v>
      </c>
      <c r="AJ88" s="25"/>
      <c r="AK88" s="21" t="s">
        <v>12</v>
      </c>
      <c r="AL88" s="18"/>
      <c r="AQ88" s="20"/>
    </row>
    <row r="89" spans="1:45" x14ac:dyDescent="0.3">
      <c r="A89" s="50"/>
      <c r="B89" s="24" t="s">
        <v>12</v>
      </c>
      <c r="C89" s="18"/>
      <c r="K89" s="20"/>
      <c r="L89" s="25"/>
      <c r="M89" s="21" t="s">
        <v>12</v>
      </c>
      <c r="N89" s="18"/>
      <c r="AI89" s="20"/>
      <c r="AJ89" s="25"/>
      <c r="AK89" s="21" t="s">
        <v>13</v>
      </c>
      <c r="AL89" s="18">
        <v>95</v>
      </c>
      <c r="AM89">
        <v>130</v>
      </c>
      <c r="AN89">
        <v>95</v>
      </c>
      <c r="AO89">
        <v>112</v>
      </c>
      <c r="AP89">
        <v>48</v>
      </c>
      <c r="AQ89" s="20"/>
    </row>
    <row r="90" spans="1:45" x14ac:dyDescent="0.3">
      <c r="A90" s="50"/>
      <c r="B90" s="24" t="s">
        <v>13</v>
      </c>
      <c r="C90" s="18">
        <v>125.2</v>
      </c>
      <c r="D90">
        <v>116</v>
      </c>
      <c r="E90">
        <v>32</v>
      </c>
      <c r="F90">
        <v>120</v>
      </c>
      <c r="G90">
        <v>123</v>
      </c>
      <c r="H90">
        <v>105.5</v>
      </c>
      <c r="I90">
        <v>90.7</v>
      </c>
      <c r="J90">
        <v>105</v>
      </c>
      <c r="K90" s="20">
        <v>130</v>
      </c>
      <c r="L90" s="25"/>
      <c r="M90" s="21" t="s">
        <v>13</v>
      </c>
      <c r="N90" s="18">
        <v>145</v>
      </c>
      <c r="O90">
        <v>140</v>
      </c>
      <c r="P90">
        <v>122</v>
      </c>
      <c r="Q90">
        <v>138</v>
      </c>
      <c r="R90">
        <v>143</v>
      </c>
      <c r="S90">
        <v>124</v>
      </c>
      <c r="T90">
        <v>113.5</v>
      </c>
      <c r="U90">
        <v>91.6</v>
      </c>
      <c r="V90">
        <v>127.4</v>
      </c>
      <c r="W90">
        <v>112</v>
      </c>
      <c r="X90">
        <v>124.2</v>
      </c>
      <c r="Y90">
        <v>100</v>
      </c>
      <c r="Z90">
        <v>123</v>
      </c>
      <c r="AA90">
        <v>120</v>
      </c>
      <c r="AB90">
        <v>135.19999999999999</v>
      </c>
      <c r="AC90">
        <v>126.8</v>
      </c>
      <c r="AD90">
        <v>50</v>
      </c>
      <c r="AE90">
        <v>126</v>
      </c>
      <c r="AF90">
        <v>120</v>
      </c>
      <c r="AG90">
        <v>130</v>
      </c>
      <c r="AH90">
        <v>153</v>
      </c>
      <c r="AI90" s="20">
        <v>144</v>
      </c>
      <c r="AJ90" s="25"/>
      <c r="AK90" s="21" t="s">
        <v>14</v>
      </c>
      <c r="AL90" s="27">
        <v>258</v>
      </c>
      <c r="AM90" s="28">
        <v>280</v>
      </c>
      <c r="AN90" s="28">
        <v>279</v>
      </c>
      <c r="AO90" s="28">
        <v>290</v>
      </c>
      <c r="AP90" s="28">
        <v>293</v>
      </c>
      <c r="AQ90" s="29"/>
    </row>
    <row r="91" spans="1:45" x14ac:dyDescent="0.3">
      <c r="A91" s="50"/>
      <c r="B91" s="24" t="s">
        <v>14</v>
      </c>
      <c r="C91" s="27">
        <v>304</v>
      </c>
      <c r="D91" s="28">
        <v>300</v>
      </c>
      <c r="E91" s="28">
        <v>248</v>
      </c>
      <c r="F91" s="28">
        <v>296</v>
      </c>
      <c r="G91" s="28">
        <v>309</v>
      </c>
      <c r="H91" s="28">
        <v>272</v>
      </c>
      <c r="I91" s="28">
        <v>289</v>
      </c>
      <c r="J91" s="28">
        <v>289</v>
      </c>
      <c r="K91" s="29">
        <v>299</v>
      </c>
      <c r="L91" s="25"/>
      <c r="M91" s="21" t="s">
        <v>14</v>
      </c>
      <c r="N91" s="27">
        <v>336</v>
      </c>
      <c r="O91" s="28">
        <v>350</v>
      </c>
      <c r="P91" s="28">
        <v>320</v>
      </c>
      <c r="Q91" s="28">
        <v>350</v>
      </c>
      <c r="R91" s="28">
        <v>350</v>
      </c>
      <c r="S91" s="28">
        <v>340</v>
      </c>
      <c r="T91" s="28">
        <v>290</v>
      </c>
      <c r="U91" s="28">
        <v>304</v>
      </c>
      <c r="V91" s="28">
        <v>306</v>
      </c>
      <c r="W91" s="28">
        <v>305</v>
      </c>
      <c r="X91" s="28">
        <v>289</v>
      </c>
      <c r="Y91" s="28">
        <v>307</v>
      </c>
      <c r="Z91" s="28">
        <v>294</v>
      </c>
      <c r="AA91" s="28">
        <v>293</v>
      </c>
      <c r="AB91" s="28">
        <v>298</v>
      </c>
      <c r="AC91" s="28">
        <v>295</v>
      </c>
      <c r="AD91" s="28">
        <v>303</v>
      </c>
      <c r="AE91" s="28">
        <v>292</v>
      </c>
      <c r="AF91" s="28">
        <v>260</v>
      </c>
      <c r="AG91" s="28">
        <v>355</v>
      </c>
      <c r="AH91" s="28">
        <v>331</v>
      </c>
      <c r="AI91" s="29">
        <v>350</v>
      </c>
      <c r="AJ91" s="30"/>
      <c r="AK91" s="18"/>
      <c r="AQ91" s="20"/>
    </row>
    <row r="92" spans="1:45" x14ac:dyDescent="0.3">
      <c r="A92" s="16">
        <f>A81</f>
        <v>46086</v>
      </c>
      <c r="B92" s="24" t="s">
        <v>2</v>
      </c>
      <c r="C92" s="9">
        <f t="shared" ref="C92:K92" si="43">(C101*100000)/(C102*60*8)</f>
        <v>81.551535087719301</v>
      </c>
      <c r="D92" s="10">
        <f t="shared" si="43"/>
        <v>83.748615725359912</v>
      </c>
      <c r="E92" s="10">
        <f t="shared" si="43"/>
        <v>47.043010752688176</v>
      </c>
      <c r="F92" s="10">
        <f t="shared" si="43"/>
        <v>84.039548022598865</v>
      </c>
      <c r="G92" s="10">
        <f t="shared" si="43"/>
        <v>87.754555198285104</v>
      </c>
      <c r="H92" s="10">
        <f t="shared" si="43"/>
        <v>81.954656862745097</v>
      </c>
      <c r="I92" s="10">
        <f t="shared" si="43"/>
        <v>74.971164936562857</v>
      </c>
      <c r="J92" s="10">
        <f t="shared" si="43"/>
        <v>75.692041522491351</v>
      </c>
      <c r="K92" s="11">
        <f t="shared" si="43"/>
        <v>83.892617449664428</v>
      </c>
      <c r="L92" s="16">
        <f>A92</f>
        <v>46086</v>
      </c>
      <c r="M92" s="21" t="s">
        <v>2</v>
      </c>
      <c r="N92" s="13">
        <f>(N101*100000)/(N102*60*8)</f>
        <v>93.28358208955224</v>
      </c>
      <c r="O92" s="14">
        <f t="shared" ref="O92:AI92" si="44">(O101*100000)/(O102*60*8)</f>
        <v>91.666666666666671</v>
      </c>
      <c r="P92" s="14">
        <f t="shared" si="44"/>
        <v>89.84375</v>
      </c>
      <c r="Q92" s="14">
        <f t="shared" si="44"/>
        <v>78.125</v>
      </c>
      <c r="R92" s="14">
        <f t="shared" si="44"/>
        <v>94.047619047619051</v>
      </c>
      <c r="S92" s="14">
        <f t="shared" si="44"/>
        <v>91.299019607843135</v>
      </c>
      <c r="T92" s="14">
        <f t="shared" si="44"/>
        <v>88.470319634703202</v>
      </c>
      <c r="U92" s="14">
        <f t="shared" si="44"/>
        <v>87.719298245614041</v>
      </c>
      <c r="V92" s="14">
        <f t="shared" si="44"/>
        <v>78.976034858387806</v>
      </c>
      <c r="W92" s="14">
        <f t="shared" si="44"/>
        <v>79.234972677595621</v>
      </c>
      <c r="X92" s="14">
        <f t="shared" si="44"/>
        <v>70.575461454940282</v>
      </c>
      <c r="Y92" s="14">
        <f t="shared" si="44"/>
        <v>81.018518518518519</v>
      </c>
      <c r="Z92" s="14">
        <f t="shared" si="44"/>
        <v>69.209039548022602</v>
      </c>
      <c r="AA92" s="14">
        <f t="shared" si="44"/>
        <v>71.347031963470315</v>
      </c>
      <c r="AB92" s="14">
        <f t="shared" si="44"/>
        <v>85.258525852585265</v>
      </c>
      <c r="AC92" s="14">
        <f t="shared" si="44"/>
        <v>87.570621468926561</v>
      </c>
      <c r="AD92" s="14">
        <f t="shared" si="44"/>
        <v>84.29276315789474</v>
      </c>
      <c r="AE92" s="14">
        <f t="shared" si="44"/>
        <v>82.465277777777771</v>
      </c>
      <c r="AF92" s="14">
        <f t="shared" si="44"/>
        <v>90.029761904761898</v>
      </c>
      <c r="AG92" s="14">
        <f t="shared" si="44"/>
        <v>84.005376344086017</v>
      </c>
      <c r="AH92" s="14">
        <f t="shared" si="44"/>
        <v>88.6150234741784</v>
      </c>
      <c r="AI92" s="11">
        <f t="shared" si="44"/>
        <v>84.595959595959599</v>
      </c>
      <c r="AJ92" s="16">
        <f>L92</f>
        <v>46086</v>
      </c>
      <c r="AK92" s="21" t="s">
        <v>2</v>
      </c>
      <c r="AL92" s="9">
        <f>(AL100*100000)/(AL101*60*8)</f>
        <v>93.75</v>
      </c>
      <c r="AM92" s="10">
        <f t="shared" ref="AM92:AP92" si="45">(AM100*100000)/(AM101*60*8)</f>
        <v>93.00595238095238</v>
      </c>
      <c r="AN92" s="10">
        <f t="shared" si="45"/>
        <v>81.845238095238102</v>
      </c>
      <c r="AO92" s="10">
        <f t="shared" si="45"/>
        <v>96.982758620689651</v>
      </c>
      <c r="AP92" s="10">
        <f t="shared" si="45"/>
        <v>88.087248322147644</v>
      </c>
      <c r="AQ92" s="15"/>
      <c r="AS92" s="48">
        <f>SUM(N93:AI93)</f>
        <v>134</v>
      </c>
    </row>
    <row r="93" spans="1:45" x14ac:dyDescent="0.3">
      <c r="A93" s="16"/>
      <c r="B93" s="24" t="s">
        <v>3</v>
      </c>
      <c r="C93" s="18">
        <v>8</v>
      </c>
      <c r="D93">
        <v>14</v>
      </c>
      <c r="E93" s="19">
        <v>22</v>
      </c>
      <c r="F93">
        <v>12</v>
      </c>
      <c r="G93">
        <v>12</v>
      </c>
      <c r="H93">
        <v>4</v>
      </c>
      <c r="I93">
        <v>16</v>
      </c>
      <c r="J93" s="19">
        <v>29</v>
      </c>
      <c r="K93" s="20">
        <v>0</v>
      </c>
      <c r="L93" s="16"/>
      <c r="M93" s="21" t="s">
        <v>3</v>
      </c>
      <c r="N93" s="18">
        <v>6</v>
      </c>
      <c r="O93">
        <v>9</v>
      </c>
      <c r="P93">
        <v>2</v>
      </c>
      <c r="Q93">
        <v>4</v>
      </c>
      <c r="R93">
        <v>2</v>
      </c>
      <c r="S93">
        <v>1</v>
      </c>
      <c r="T93">
        <v>7</v>
      </c>
      <c r="U93">
        <v>16</v>
      </c>
      <c r="V93">
        <v>4</v>
      </c>
      <c r="W93">
        <v>8</v>
      </c>
      <c r="X93">
        <v>17</v>
      </c>
      <c r="Y93">
        <v>1</v>
      </c>
      <c r="Z93">
        <v>10</v>
      </c>
      <c r="AA93">
        <v>3</v>
      </c>
      <c r="AB93">
        <v>2</v>
      </c>
      <c r="AC93">
        <v>5</v>
      </c>
      <c r="AD93">
        <v>4</v>
      </c>
      <c r="AE93" s="19">
        <v>20</v>
      </c>
      <c r="AF93">
        <v>0</v>
      </c>
      <c r="AG93">
        <v>3</v>
      </c>
      <c r="AH93">
        <v>6</v>
      </c>
      <c r="AI93" s="20">
        <v>4</v>
      </c>
      <c r="AJ93" s="16"/>
      <c r="AK93" s="21" t="s">
        <v>3</v>
      </c>
      <c r="AL93" s="18">
        <v>9</v>
      </c>
      <c r="AM93">
        <v>5</v>
      </c>
      <c r="AN93">
        <v>7</v>
      </c>
      <c r="AO93">
        <v>1</v>
      </c>
      <c r="AP93">
        <v>5</v>
      </c>
      <c r="AQ93" s="20"/>
      <c r="AS93" s="48">
        <f t="shared" ref="AS93:AS98" si="46">SUM(N94:AI94)</f>
        <v>0</v>
      </c>
    </row>
    <row r="94" spans="1:45" x14ac:dyDescent="0.3">
      <c r="A94" s="16"/>
      <c r="B94" s="21" t="s">
        <v>4</v>
      </c>
      <c r="C94" s="18"/>
      <c r="K94" s="20"/>
      <c r="L94" s="16"/>
      <c r="M94" s="21" t="s">
        <v>4</v>
      </c>
      <c r="N94" s="18"/>
      <c r="AJ94" s="16"/>
      <c r="AK94" s="21" t="s">
        <v>4</v>
      </c>
      <c r="AL94" s="18"/>
      <c r="AQ94" s="20"/>
      <c r="AS94" s="48">
        <f t="shared" si="46"/>
        <v>135</v>
      </c>
    </row>
    <row r="95" spans="1:45" x14ac:dyDescent="0.3">
      <c r="A95" s="16"/>
      <c r="B95" s="21" t="s">
        <v>5</v>
      </c>
      <c r="C95" s="18">
        <v>15</v>
      </c>
      <c r="D95">
        <v>15</v>
      </c>
      <c r="E95">
        <v>10</v>
      </c>
      <c r="F95">
        <v>4</v>
      </c>
      <c r="G95">
        <v>0</v>
      </c>
      <c r="H95">
        <v>10</v>
      </c>
      <c r="I95">
        <v>11</v>
      </c>
      <c r="J95">
        <v>15</v>
      </c>
      <c r="K95" s="20">
        <v>0</v>
      </c>
      <c r="L95" s="16"/>
      <c r="M95" s="21" t="s">
        <v>5</v>
      </c>
      <c r="N95" s="18">
        <v>0</v>
      </c>
      <c r="O95">
        <v>1</v>
      </c>
      <c r="P95">
        <v>4</v>
      </c>
      <c r="Q95" s="19">
        <v>27</v>
      </c>
      <c r="R95">
        <v>0</v>
      </c>
      <c r="S95">
        <v>3</v>
      </c>
      <c r="T95">
        <v>1</v>
      </c>
      <c r="U95">
        <v>7</v>
      </c>
      <c r="V95">
        <v>3</v>
      </c>
      <c r="W95">
        <v>13</v>
      </c>
      <c r="X95">
        <v>3</v>
      </c>
      <c r="Y95">
        <v>13</v>
      </c>
      <c r="Z95">
        <v>10</v>
      </c>
      <c r="AA95">
        <v>4</v>
      </c>
      <c r="AB95">
        <v>3</v>
      </c>
      <c r="AC95">
        <v>6</v>
      </c>
      <c r="AD95">
        <v>15</v>
      </c>
      <c r="AE95">
        <v>7</v>
      </c>
      <c r="AF95">
        <v>3</v>
      </c>
      <c r="AG95">
        <v>9</v>
      </c>
      <c r="AH95">
        <v>2</v>
      </c>
      <c r="AI95" s="20">
        <v>1</v>
      </c>
      <c r="AJ95" s="16"/>
      <c r="AK95" s="21" t="s">
        <v>5</v>
      </c>
      <c r="AL95" s="18">
        <v>2</v>
      </c>
      <c r="AM95">
        <v>3</v>
      </c>
      <c r="AN95">
        <v>4</v>
      </c>
      <c r="AO95">
        <v>0</v>
      </c>
      <c r="AP95">
        <v>6</v>
      </c>
      <c r="AQ95" s="20"/>
      <c r="AS95" s="48">
        <f t="shared" si="46"/>
        <v>0</v>
      </c>
    </row>
    <row r="96" spans="1:45" x14ac:dyDescent="0.3">
      <c r="A96" s="16"/>
      <c r="B96" s="24" t="s">
        <v>6</v>
      </c>
      <c r="C96" s="18"/>
      <c r="K96" s="20"/>
      <c r="L96" s="16"/>
      <c r="M96" s="21" t="s">
        <v>6</v>
      </c>
      <c r="N96" s="18"/>
      <c r="AI96" s="20"/>
      <c r="AJ96" s="16"/>
      <c r="AK96" s="21" t="s">
        <v>7</v>
      </c>
      <c r="AL96" s="18">
        <v>2</v>
      </c>
      <c r="AM96">
        <v>7</v>
      </c>
      <c r="AN96">
        <v>7</v>
      </c>
      <c r="AO96">
        <v>3</v>
      </c>
      <c r="AP96">
        <v>3</v>
      </c>
      <c r="AQ96" s="20"/>
      <c r="AS96" s="48">
        <f t="shared" si="46"/>
        <v>115</v>
      </c>
    </row>
    <row r="97" spans="1:45" x14ac:dyDescent="0.3">
      <c r="A97" s="16"/>
      <c r="B97" s="24" t="s">
        <v>7</v>
      </c>
      <c r="C97" s="18">
        <v>8</v>
      </c>
      <c r="D97" s="19">
        <v>30</v>
      </c>
      <c r="E97" s="19">
        <v>43</v>
      </c>
      <c r="F97">
        <v>14</v>
      </c>
      <c r="G97">
        <v>16</v>
      </c>
      <c r="H97">
        <v>8</v>
      </c>
      <c r="I97">
        <v>14</v>
      </c>
      <c r="J97">
        <v>7</v>
      </c>
      <c r="K97" s="20">
        <v>7</v>
      </c>
      <c r="L97" s="16"/>
      <c r="M97" s="21" t="s">
        <v>7</v>
      </c>
      <c r="N97" s="18">
        <v>0</v>
      </c>
      <c r="O97">
        <v>0</v>
      </c>
      <c r="P97">
        <v>7</v>
      </c>
      <c r="Q97">
        <v>7</v>
      </c>
      <c r="R97">
        <v>3</v>
      </c>
      <c r="S97">
        <v>8</v>
      </c>
      <c r="T97">
        <v>8</v>
      </c>
      <c r="U97">
        <v>5</v>
      </c>
      <c r="V97">
        <v>10</v>
      </c>
      <c r="W97">
        <v>2</v>
      </c>
      <c r="X97">
        <v>4</v>
      </c>
      <c r="Y97">
        <v>6</v>
      </c>
      <c r="Z97">
        <v>14</v>
      </c>
      <c r="AA97">
        <v>4</v>
      </c>
      <c r="AB97">
        <v>8</v>
      </c>
      <c r="AC97">
        <v>1</v>
      </c>
      <c r="AD97">
        <v>7</v>
      </c>
      <c r="AE97">
        <v>1</v>
      </c>
      <c r="AF97">
        <v>9</v>
      </c>
      <c r="AG97">
        <v>6</v>
      </c>
      <c r="AH97">
        <v>4</v>
      </c>
      <c r="AI97" s="20">
        <v>1</v>
      </c>
      <c r="AJ97" s="16"/>
      <c r="AK97" s="21" t="s">
        <v>8</v>
      </c>
      <c r="AL97" s="18"/>
      <c r="AQ97" s="20"/>
      <c r="AS97" s="48">
        <f t="shared" si="46"/>
        <v>0</v>
      </c>
    </row>
    <row r="98" spans="1:45" x14ac:dyDescent="0.3">
      <c r="A98" s="50" t="s">
        <v>24</v>
      </c>
      <c r="B98" s="24" t="s">
        <v>10</v>
      </c>
      <c r="C98" s="18"/>
      <c r="K98" s="20"/>
      <c r="L98" s="25" t="str">
        <f>A98</f>
        <v>JU3T</v>
      </c>
      <c r="M98" s="21" t="s">
        <v>10</v>
      </c>
      <c r="N98" s="18"/>
      <c r="AI98" s="20"/>
      <c r="AJ98" s="25" t="str">
        <f>+L98</f>
        <v>JU3T</v>
      </c>
      <c r="AK98" s="21" t="s">
        <v>11</v>
      </c>
      <c r="AL98" s="18">
        <v>2</v>
      </c>
      <c r="AM98">
        <v>2</v>
      </c>
      <c r="AN98">
        <v>13</v>
      </c>
      <c r="AO98">
        <v>3</v>
      </c>
      <c r="AP98">
        <v>3</v>
      </c>
      <c r="AQ98" s="20"/>
      <c r="AS98" s="48">
        <f t="shared" si="46"/>
        <v>89</v>
      </c>
    </row>
    <row r="99" spans="1:45" x14ac:dyDescent="0.3">
      <c r="A99" s="50"/>
      <c r="B99" s="24" t="s">
        <v>11</v>
      </c>
      <c r="C99" s="18">
        <v>5</v>
      </c>
      <c r="D99">
        <v>6</v>
      </c>
      <c r="E99" s="19">
        <v>24</v>
      </c>
      <c r="F99" s="19">
        <v>20</v>
      </c>
      <c r="G99">
        <v>5</v>
      </c>
      <c r="H99">
        <v>3</v>
      </c>
      <c r="I99">
        <v>4</v>
      </c>
      <c r="J99">
        <v>11</v>
      </c>
      <c r="K99" s="20">
        <v>8</v>
      </c>
      <c r="L99" s="25"/>
      <c r="M99" s="21" t="s">
        <v>11</v>
      </c>
      <c r="N99" s="18">
        <v>1</v>
      </c>
      <c r="O99">
        <v>6</v>
      </c>
      <c r="P99">
        <v>4</v>
      </c>
      <c r="Q99">
        <v>3</v>
      </c>
      <c r="R99">
        <v>4</v>
      </c>
      <c r="S99">
        <v>2</v>
      </c>
      <c r="T99">
        <v>2</v>
      </c>
      <c r="U99">
        <v>3</v>
      </c>
      <c r="V99">
        <v>9</v>
      </c>
      <c r="W99">
        <v>3</v>
      </c>
      <c r="X99">
        <v>8</v>
      </c>
      <c r="Y99">
        <v>3</v>
      </c>
      <c r="Z99">
        <v>4</v>
      </c>
      <c r="AA99">
        <v>4</v>
      </c>
      <c r="AB99">
        <v>4</v>
      </c>
      <c r="AC99">
        <v>4</v>
      </c>
      <c r="AD99">
        <v>5</v>
      </c>
      <c r="AE99">
        <v>4</v>
      </c>
      <c r="AF99">
        <v>2</v>
      </c>
      <c r="AG99">
        <v>3</v>
      </c>
      <c r="AH99">
        <v>5</v>
      </c>
      <c r="AI99" s="20">
        <v>6</v>
      </c>
      <c r="AJ99" s="25"/>
      <c r="AK99" s="21" t="s">
        <v>12</v>
      </c>
      <c r="AL99" s="18"/>
      <c r="AQ99" s="20"/>
    </row>
    <row r="100" spans="1:45" x14ac:dyDescent="0.3">
      <c r="A100" s="50"/>
      <c r="B100" s="24" t="s">
        <v>12</v>
      </c>
      <c r="C100" s="18"/>
      <c r="K100" s="20"/>
      <c r="L100" s="25"/>
      <c r="M100" s="21" t="s">
        <v>12</v>
      </c>
      <c r="N100" s="18"/>
      <c r="AI100" s="20"/>
      <c r="AJ100" s="25"/>
      <c r="AK100" s="21" t="s">
        <v>13</v>
      </c>
      <c r="AL100" s="18">
        <v>117</v>
      </c>
      <c r="AM100">
        <v>125</v>
      </c>
      <c r="AN100">
        <v>110</v>
      </c>
      <c r="AO100">
        <v>135</v>
      </c>
      <c r="AP100">
        <v>126</v>
      </c>
      <c r="AQ100" s="20"/>
    </row>
    <row r="101" spans="1:45" x14ac:dyDescent="0.3">
      <c r="A101" s="50"/>
      <c r="B101" s="24" t="s">
        <v>13</v>
      </c>
      <c r="C101" s="18">
        <v>119</v>
      </c>
      <c r="D101">
        <v>121</v>
      </c>
      <c r="E101">
        <v>56</v>
      </c>
      <c r="F101">
        <v>119</v>
      </c>
      <c r="G101">
        <v>131</v>
      </c>
      <c r="H101">
        <v>107</v>
      </c>
      <c r="I101">
        <v>104</v>
      </c>
      <c r="J101">
        <v>105</v>
      </c>
      <c r="K101" s="20">
        <v>120</v>
      </c>
      <c r="L101" s="25"/>
      <c r="M101" s="21" t="s">
        <v>13</v>
      </c>
      <c r="N101" s="18">
        <v>150</v>
      </c>
      <c r="O101">
        <v>154</v>
      </c>
      <c r="P101">
        <v>138</v>
      </c>
      <c r="Q101">
        <v>105</v>
      </c>
      <c r="R101">
        <v>158</v>
      </c>
      <c r="S101">
        <v>149</v>
      </c>
      <c r="T101">
        <v>124</v>
      </c>
      <c r="U101">
        <v>128</v>
      </c>
      <c r="V101">
        <v>116</v>
      </c>
      <c r="W101">
        <v>116</v>
      </c>
      <c r="X101">
        <v>104</v>
      </c>
      <c r="Y101">
        <v>119</v>
      </c>
      <c r="Z101">
        <v>98</v>
      </c>
      <c r="AA101">
        <v>100</v>
      </c>
      <c r="AB101">
        <v>124</v>
      </c>
      <c r="AC101">
        <v>124</v>
      </c>
      <c r="AD101">
        <v>123</v>
      </c>
      <c r="AE101">
        <v>114</v>
      </c>
      <c r="AF101">
        <v>121</v>
      </c>
      <c r="AG101">
        <v>125</v>
      </c>
      <c r="AH101">
        <v>151</v>
      </c>
      <c r="AI101" s="20">
        <v>134</v>
      </c>
      <c r="AJ101" s="25"/>
      <c r="AK101" s="21" t="s">
        <v>14</v>
      </c>
      <c r="AL101" s="27">
        <v>260</v>
      </c>
      <c r="AM101" s="28">
        <v>280</v>
      </c>
      <c r="AN101" s="28">
        <v>280</v>
      </c>
      <c r="AO101" s="28">
        <v>290</v>
      </c>
      <c r="AP101" s="28">
        <v>298</v>
      </c>
      <c r="AQ101" s="29"/>
    </row>
    <row r="102" spans="1:45" ht="15" thickBot="1" x14ac:dyDescent="0.35">
      <c r="A102" s="50"/>
      <c r="B102" s="24" t="s">
        <v>14</v>
      </c>
      <c r="C102" s="27">
        <v>304</v>
      </c>
      <c r="D102" s="28">
        <v>301</v>
      </c>
      <c r="E102" s="28">
        <v>248</v>
      </c>
      <c r="F102" s="28">
        <v>295</v>
      </c>
      <c r="G102" s="28">
        <v>311</v>
      </c>
      <c r="H102" s="28">
        <v>272</v>
      </c>
      <c r="I102" s="28">
        <v>289</v>
      </c>
      <c r="J102" s="28">
        <v>289</v>
      </c>
      <c r="K102" s="29">
        <v>298</v>
      </c>
      <c r="L102" s="25"/>
      <c r="M102" s="21" t="s">
        <v>14</v>
      </c>
      <c r="N102" s="27">
        <v>335</v>
      </c>
      <c r="O102" s="28">
        <v>350</v>
      </c>
      <c r="P102" s="28">
        <v>320</v>
      </c>
      <c r="Q102" s="28">
        <v>280</v>
      </c>
      <c r="R102" s="28">
        <v>350</v>
      </c>
      <c r="S102" s="28">
        <v>340</v>
      </c>
      <c r="T102" s="28">
        <v>292</v>
      </c>
      <c r="U102" s="28">
        <v>304</v>
      </c>
      <c r="V102" s="28">
        <v>306</v>
      </c>
      <c r="W102" s="28">
        <v>305</v>
      </c>
      <c r="X102" s="28">
        <v>307</v>
      </c>
      <c r="Y102" s="28">
        <v>306</v>
      </c>
      <c r="Z102" s="28">
        <v>295</v>
      </c>
      <c r="AA102" s="28">
        <v>292</v>
      </c>
      <c r="AB102" s="28">
        <v>303</v>
      </c>
      <c r="AC102" s="28">
        <v>295</v>
      </c>
      <c r="AD102" s="28">
        <v>304</v>
      </c>
      <c r="AE102" s="28">
        <v>288</v>
      </c>
      <c r="AF102" s="28">
        <v>280</v>
      </c>
      <c r="AG102" s="28">
        <v>310</v>
      </c>
      <c r="AH102" s="28">
        <v>355</v>
      </c>
      <c r="AI102" s="29">
        <v>330</v>
      </c>
      <c r="AJ102" s="30"/>
      <c r="AK102" s="18"/>
      <c r="AQ102" s="20"/>
    </row>
    <row r="103" spans="1:45" x14ac:dyDescent="0.3">
      <c r="A103" s="38">
        <f>A92+1</f>
        <v>46087</v>
      </c>
      <c r="B103" s="8" t="s">
        <v>1</v>
      </c>
      <c r="C103" s="39">
        <v>201</v>
      </c>
      <c r="D103" s="39">
        <f t="shared" ref="D103:H103" si="47">+C103+1</f>
        <v>202</v>
      </c>
      <c r="E103" s="39">
        <f t="shared" si="47"/>
        <v>203</v>
      </c>
      <c r="F103" s="39">
        <f t="shared" si="47"/>
        <v>204</v>
      </c>
      <c r="G103" s="39">
        <f t="shared" si="47"/>
        <v>205</v>
      </c>
      <c r="H103" s="39">
        <f t="shared" si="47"/>
        <v>206</v>
      </c>
      <c r="I103" s="39">
        <v>213</v>
      </c>
      <c r="J103" s="39">
        <f>+I103+1</f>
        <v>214</v>
      </c>
      <c r="K103" s="40">
        <f>+J103+1</f>
        <v>215</v>
      </c>
      <c r="L103" s="38">
        <f>A103</f>
        <v>46087</v>
      </c>
      <c r="M103" s="8" t="s">
        <v>1</v>
      </c>
      <c r="N103" s="39">
        <v>299</v>
      </c>
      <c r="O103" s="39">
        <f t="shared" ref="O103:X103" si="48">+N103+1</f>
        <v>300</v>
      </c>
      <c r="P103" s="39">
        <f t="shared" si="48"/>
        <v>301</v>
      </c>
      <c r="Q103" s="39">
        <f t="shared" si="48"/>
        <v>302</v>
      </c>
      <c r="R103" s="39">
        <f t="shared" si="48"/>
        <v>303</v>
      </c>
      <c r="S103" s="39">
        <f t="shared" si="48"/>
        <v>304</v>
      </c>
      <c r="T103" s="39">
        <f t="shared" si="48"/>
        <v>305</v>
      </c>
      <c r="U103" s="39">
        <f t="shared" si="48"/>
        <v>306</v>
      </c>
      <c r="V103" s="39">
        <f t="shared" si="48"/>
        <v>307</v>
      </c>
      <c r="W103" s="39">
        <f t="shared" si="48"/>
        <v>308</v>
      </c>
      <c r="X103" s="39">
        <f t="shared" si="48"/>
        <v>309</v>
      </c>
      <c r="Y103" s="39">
        <f>+X103+1</f>
        <v>310</v>
      </c>
      <c r="Z103" s="39">
        <f t="shared" ref="Z103:AB103" si="49">+Y103+1</f>
        <v>311</v>
      </c>
      <c r="AA103" s="39">
        <f t="shared" si="49"/>
        <v>312</v>
      </c>
      <c r="AB103" s="39">
        <f t="shared" si="49"/>
        <v>313</v>
      </c>
      <c r="AC103" s="39">
        <f>+AB103+1</f>
        <v>314</v>
      </c>
      <c r="AD103" s="39">
        <f t="shared" ref="AD103:AI103" si="50">+AC103+1</f>
        <v>315</v>
      </c>
      <c r="AE103" s="39">
        <f t="shared" si="50"/>
        <v>316</v>
      </c>
      <c r="AF103" s="39">
        <f t="shared" si="50"/>
        <v>317</v>
      </c>
      <c r="AG103" s="39">
        <f t="shared" si="50"/>
        <v>318</v>
      </c>
      <c r="AH103" s="39">
        <f t="shared" si="50"/>
        <v>319</v>
      </c>
      <c r="AI103" s="40">
        <f t="shared" si="50"/>
        <v>320</v>
      </c>
      <c r="AJ103" s="38">
        <f>L103</f>
        <v>46087</v>
      </c>
      <c r="AK103" s="12" t="s">
        <v>1</v>
      </c>
      <c r="AL103" s="42">
        <v>207</v>
      </c>
      <c r="AM103" s="42">
        <f>+AL103+1</f>
        <v>208</v>
      </c>
      <c r="AN103" s="42">
        <f>+AM103+1</f>
        <v>209</v>
      </c>
      <c r="AO103" s="42">
        <f>+AN103+1</f>
        <v>210</v>
      </c>
      <c r="AP103" s="42">
        <f>+AO103+1</f>
        <v>211</v>
      </c>
      <c r="AQ103" s="40">
        <f>+AP103+1</f>
        <v>212</v>
      </c>
    </row>
    <row r="104" spans="1:45" x14ac:dyDescent="0.3">
      <c r="A104" s="43"/>
      <c r="B104" s="24" t="s">
        <v>2</v>
      </c>
      <c r="C104" s="9">
        <f t="shared" ref="C104:K104" si="51">(C113*100000)/(C114*60*8)</f>
        <v>63.11074918566775</v>
      </c>
      <c r="D104" s="10">
        <f t="shared" si="51"/>
        <v>76.388888888888886</v>
      </c>
      <c r="E104" s="10">
        <f t="shared" si="51"/>
        <v>92.78002699055331</v>
      </c>
      <c r="F104" s="10">
        <f t="shared" si="51"/>
        <v>88.682432432432435</v>
      </c>
      <c r="G104" s="10">
        <f t="shared" si="51"/>
        <v>85.625674217907232</v>
      </c>
      <c r="H104" s="10">
        <f t="shared" si="51"/>
        <v>87.316176470588232</v>
      </c>
      <c r="I104" s="10">
        <f t="shared" si="51"/>
        <v>75.692041522491351</v>
      </c>
      <c r="J104" s="10">
        <f t="shared" si="51"/>
        <v>67.041522491349482</v>
      </c>
      <c r="K104" s="11">
        <f t="shared" si="51"/>
        <v>83.61204013377926</v>
      </c>
      <c r="L104" s="51"/>
      <c r="M104" s="21" t="s">
        <v>2</v>
      </c>
      <c r="N104" s="13">
        <f>(N113*100000)/(N114*60*8)</f>
        <v>90.174129353233837</v>
      </c>
      <c r="O104" s="14">
        <f t="shared" ref="O104:S104" si="52">(O113*100000)/(O114*60*8)</f>
        <v>83.333333333333329</v>
      </c>
      <c r="P104" s="14">
        <f t="shared" si="52"/>
        <v>91.145833333333329</v>
      </c>
      <c r="Q104" s="14">
        <f t="shared" si="52"/>
        <v>75.892857142857139</v>
      </c>
      <c r="R104" s="14">
        <f t="shared" si="52"/>
        <v>82.142857142857139</v>
      </c>
      <c r="S104" s="14">
        <f t="shared" si="52"/>
        <v>89.460784313725483</v>
      </c>
      <c r="T104" s="14">
        <f>(T113*100000)/(T114*60*8)</f>
        <v>93.390804597701148</v>
      </c>
      <c r="U104" s="14">
        <f>(U113*100000)/(U114*60*8)</f>
        <v>52.647412755716005</v>
      </c>
      <c r="V104" s="14">
        <f t="shared" ref="V104:AI104" si="53">(V113*100000)/(V114*60*8)</f>
        <v>91.230936819172115</v>
      </c>
      <c r="W104" s="14">
        <f t="shared" si="53"/>
        <v>86.06557377049181</v>
      </c>
      <c r="X104" s="14">
        <f t="shared" si="53"/>
        <v>86.082175925925924</v>
      </c>
      <c r="Y104" s="14">
        <f t="shared" si="53"/>
        <v>90.550108932461868</v>
      </c>
      <c r="Z104" s="14">
        <f t="shared" si="53"/>
        <v>85.74263038548753</v>
      </c>
      <c r="AA104" s="14">
        <f t="shared" si="53"/>
        <v>71.347031963470315</v>
      </c>
      <c r="AB104" s="14">
        <f t="shared" si="53"/>
        <v>80.445544554455452</v>
      </c>
      <c r="AC104" s="14">
        <f t="shared" si="53"/>
        <v>85.451977401129938</v>
      </c>
      <c r="AD104" s="52" t="s">
        <v>25</v>
      </c>
      <c r="AE104" s="14">
        <f t="shared" si="53"/>
        <v>91.283863368669017</v>
      </c>
      <c r="AF104" s="14">
        <f t="shared" si="53"/>
        <v>66.113161131611321</v>
      </c>
      <c r="AG104" s="14">
        <f t="shared" si="53"/>
        <v>91.397849462365585</v>
      </c>
      <c r="AH104" s="14">
        <f t="shared" si="53"/>
        <v>95.771144278606968</v>
      </c>
      <c r="AI104" s="11">
        <f t="shared" si="53"/>
        <v>82.702020202020208</v>
      </c>
      <c r="AJ104" s="51"/>
      <c r="AK104" s="21" t="s">
        <v>2</v>
      </c>
      <c r="AL104" s="9">
        <f>(AL112*100000)/(AL113*60*8)</f>
        <v>91.601815823605705</v>
      </c>
      <c r="AM104" s="10">
        <f t="shared" ref="AM104:AP104" si="54">(AM112*100000)/(AM113*60*8)</f>
        <v>96.899224806201545</v>
      </c>
      <c r="AN104" s="10">
        <f t="shared" si="54"/>
        <v>93.339307048984466</v>
      </c>
      <c r="AO104" s="10">
        <f t="shared" si="54"/>
        <v>78.575547866205312</v>
      </c>
      <c r="AP104" s="10">
        <f t="shared" si="54"/>
        <v>86.68903803131991</v>
      </c>
      <c r="AQ104" s="15"/>
      <c r="AS104" s="48">
        <f t="shared" ref="AS104:AS111" si="55">SUM(N105:AI105)</f>
        <v>130</v>
      </c>
    </row>
    <row r="105" spans="1:45" x14ac:dyDescent="0.3">
      <c r="A105" s="43"/>
      <c r="B105" s="24" t="s">
        <v>3</v>
      </c>
      <c r="C105" s="18">
        <v>4</v>
      </c>
      <c r="D105">
        <v>14</v>
      </c>
      <c r="E105">
        <v>17</v>
      </c>
      <c r="F105">
        <v>15</v>
      </c>
      <c r="G105">
        <v>9</v>
      </c>
      <c r="H105">
        <v>4</v>
      </c>
      <c r="I105">
        <v>13</v>
      </c>
      <c r="J105">
        <v>8</v>
      </c>
      <c r="K105" s="20">
        <v>4</v>
      </c>
      <c r="L105" s="51"/>
      <c r="M105" s="21" t="s">
        <v>3</v>
      </c>
      <c r="N105" s="18">
        <v>8</v>
      </c>
      <c r="O105" s="19">
        <v>28</v>
      </c>
      <c r="P105">
        <v>7</v>
      </c>
      <c r="Q105">
        <v>0</v>
      </c>
      <c r="R105">
        <v>2</v>
      </c>
      <c r="S105">
        <v>0</v>
      </c>
      <c r="T105">
        <v>8</v>
      </c>
      <c r="U105">
        <v>4</v>
      </c>
      <c r="V105">
        <v>3</v>
      </c>
      <c r="W105">
        <v>14</v>
      </c>
      <c r="X105">
        <v>11</v>
      </c>
      <c r="Y105">
        <v>3</v>
      </c>
      <c r="Z105">
        <v>3</v>
      </c>
      <c r="AA105">
        <v>1</v>
      </c>
      <c r="AB105">
        <v>1</v>
      </c>
      <c r="AC105">
        <v>11</v>
      </c>
      <c r="AD105" s="53"/>
      <c r="AE105">
        <v>7</v>
      </c>
      <c r="AF105">
        <v>3</v>
      </c>
      <c r="AG105">
        <v>2</v>
      </c>
      <c r="AH105">
        <v>2</v>
      </c>
      <c r="AI105" s="20">
        <v>12</v>
      </c>
      <c r="AJ105" s="51"/>
      <c r="AK105" s="21" t="s">
        <v>3</v>
      </c>
      <c r="AL105" s="18">
        <v>8</v>
      </c>
      <c r="AM105">
        <v>5</v>
      </c>
      <c r="AN105">
        <v>4</v>
      </c>
      <c r="AO105">
        <v>6</v>
      </c>
      <c r="AP105">
        <v>12</v>
      </c>
      <c r="AQ105" s="20"/>
      <c r="AS105" s="48">
        <f t="shared" si="55"/>
        <v>0</v>
      </c>
    </row>
    <row r="106" spans="1:45" x14ac:dyDescent="0.3">
      <c r="A106" s="43"/>
      <c r="B106" s="21" t="s">
        <v>4</v>
      </c>
      <c r="C106" s="18"/>
      <c r="K106" s="20"/>
      <c r="L106" s="51"/>
      <c r="M106" s="21" t="s">
        <v>4</v>
      </c>
      <c r="N106" s="18"/>
      <c r="AD106" s="53"/>
      <c r="AJ106" s="51"/>
      <c r="AK106" s="21" t="s">
        <v>4</v>
      </c>
      <c r="AL106" s="18"/>
      <c r="AQ106" s="20"/>
      <c r="AS106" s="48">
        <f>SUM(N107:AI107)</f>
        <v>149</v>
      </c>
    </row>
    <row r="107" spans="1:45" x14ac:dyDescent="0.3">
      <c r="A107" s="43"/>
      <c r="B107" s="24" t="s">
        <v>5</v>
      </c>
      <c r="C107" s="18">
        <v>11</v>
      </c>
      <c r="D107" s="19">
        <v>20</v>
      </c>
      <c r="E107">
        <v>7</v>
      </c>
      <c r="F107">
        <v>3</v>
      </c>
      <c r="G107">
        <v>3</v>
      </c>
      <c r="H107">
        <v>4</v>
      </c>
      <c r="I107">
        <v>13</v>
      </c>
      <c r="J107" s="19">
        <v>20</v>
      </c>
      <c r="K107" s="20">
        <v>4</v>
      </c>
      <c r="L107" s="51"/>
      <c r="M107" s="21" t="s">
        <v>5</v>
      </c>
      <c r="N107" s="18">
        <v>2</v>
      </c>
      <c r="O107">
        <v>7</v>
      </c>
      <c r="P107">
        <v>4</v>
      </c>
      <c r="Q107" s="19">
        <v>34</v>
      </c>
      <c r="R107">
        <v>7</v>
      </c>
      <c r="S107">
        <v>5</v>
      </c>
      <c r="T107">
        <v>3</v>
      </c>
      <c r="U107">
        <v>13</v>
      </c>
      <c r="V107">
        <v>4</v>
      </c>
      <c r="W107">
        <v>7</v>
      </c>
      <c r="X107">
        <v>10</v>
      </c>
      <c r="Y107">
        <v>4</v>
      </c>
      <c r="Z107">
        <v>12</v>
      </c>
      <c r="AA107">
        <v>4</v>
      </c>
      <c r="AB107">
        <v>16</v>
      </c>
      <c r="AC107">
        <v>0</v>
      </c>
      <c r="AD107" s="53"/>
      <c r="AE107">
        <v>3</v>
      </c>
      <c r="AF107">
        <v>4</v>
      </c>
      <c r="AG107">
        <v>4</v>
      </c>
      <c r="AH107">
        <v>2</v>
      </c>
      <c r="AI107" s="20">
        <v>4</v>
      </c>
      <c r="AJ107" s="51"/>
      <c r="AK107" s="21" t="s">
        <v>5</v>
      </c>
      <c r="AL107" s="18">
        <v>2</v>
      </c>
      <c r="AM107">
        <v>3</v>
      </c>
      <c r="AN107">
        <v>4</v>
      </c>
      <c r="AO107">
        <v>0</v>
      </c>
      <c r="AP107">
        <v>2</v>
      </c>
      <c r="AQ107" s="20"/>
      <c r="AS107" s="48">
        <f t="shared" si="55"/>
        <v>0</v>
      </c>
    </row>
    <row r="108" spans="1:45" x14ac:dyDescent="0.3">
      <c r="A108" s="43"/>
      <c r="B108" s="24" t="s">
        <v>6</v>
      </c>
      <c r="C108" s="18"/>
      <c r="K108" s="20"/>
      <c r="L108" s="51"/>
      <c r="M108" s="21" t="s">
        <v>6</v>
      </c>
      <c r="N108" s="18"/>
      <c r="AD108" s="53"/>
      <c r="AI108" s="20"/>
      <c r="AJ108" s="51"/>
      <c r="AK108" s="21" t="s">
        <v>7</v>
      </c>
      <c r="AL108" s="18">
        <v>1</v>
      </c>
      <c r="AM108">
        <v>7</v>
      </c>
      <c r="AN108">
        <v>9</v>
      </c>
      <c r="AO108">
        <v>12</v>
      </c>
      <c r="AP108">
        <v>2</v>
      </c>
      <c r="AQ108" s="20"/>
      <c r="AS108" s="48">
        <f>SUM(N109:AI109)</f>
        <v>101</v>
      </c>
    </row>
    <row r="109" spans="1:45" x14ac:dyDescent="0.3">
      <c r="A109" s="43"/>
      <c r="B109" s="24" t="s">
        <v>7</v>
      </c>
      <c r="C109" s="18">
        <v>6</v>
      </c>
      <c r="D109">
        <v>9</v>
      </c>
      <c r="E109">
        <v>6</v>
      </c>
      <c r="F109">
        <v>7</v>
      </c>
      <c r="G109" s="19">
        <v>23</v>
      </c>
      <c r="H109">
        <v>11</v>
      </c>
      <c r="I109" s="19">
        <v>24</v>
      </c>
      <c r="J109">
        <v>6</v>
      </c>
      <c r="K109" s="20">
        <v>8</v>
      </c>
      <c r="L109" s="51"/>
      <c r="M109" s="21" t="s">
        <v>7</v>
      </c>
      <c r="N109" s="18">
        <v>2</v>
      </c>
      <c r="O109">
        <v>3</v>
      </c>
      <c r="P109">
        <v>2</v>
      </c>
      <c r="Q109">
        <v>8</v>
      </c>
      <c r="R109">
        <v>3</v>
      </c>
      <c r="S109">
        <v>4</v>
      </c>
      <c r="T109">
        <v>6</v>
      </c>
      <c r="U109">
        <v>15</v>
      </c>
      <c r="V109">
        <v>4</v>
      </c>
      <c r="W109">
        <v>2</v>
      </c>
      <c r="X109">
        <v>1</v>
      </c>
      <c r="Y109">
        <v>6</v>
      </c>
      <c r="Z109">
        <v>8</v>
      </c>
      <c r="AA109">
        <v>1</v>
      </c>
      <c r="AB109">
        <v>2</v>
      </c>
      <c r="AC109">
        <v>7</v>
      </c>
      <c r="AD109" s="53"/>
      <c r="AE109">
        <v>1</v>
      </c>
      <c r="AF109">
        <v>18</v>
      </c>
      <c r="AG109">
        <v>1</v>
      </c>
      <c r="AH109">
        <v>2</v>
      </c>
      <c r="AI109" s="20">
        <v>5</v>
      </c>
      <c r="AJ109" s="54" t="str">
        <f>L110</f>
        <v>VI 1T</v>
      </c>
      <c r="AK109" s="21" t="s">
        <v>8</v>
      </c>
      <c r="AL109" s="18"/>
      <c r="AQ109" s="20"/>
      <c r="AS109" s="48">
        <f t="shared" si="55"/>
        <v>0</v>
      </c>
    </row>
    <row r="110" spans="1:45" x14ac:dyDescent="0.3">
      <c r="A110" s="45" t="s">
        <v>26</v>
      </c>
      <c r="B110" s="24" t="s">
        <v>10</v>
      </c>
      <c r="C110" s="18"/>
      <c r="K110" s="20"/>
      <c r="L110" s="54" t="str">
        <f>A110</f>
        <v>VI 1T</v>
      </c>
      <c r="M110" s="21" t="s">
        <v>10</v>
      </c>
      <c r="N110" s="18"/>
      <c r="AD110" s="53"/>
      <c r="AI110" s="20"/>
      <c r="AJ110" s="54"/>
      <c r="AK110" s="21" t="s">
        <v>11</v>
      </c>
      <c r="AL110" s="18">
        <v>3</v>
      </c>
      <c r="AM110">
        <v>2</v>
      </c>
      <c r="AN110">
        <v>1</v>
      </c>
      <c r="AO110">
        <v>3</v>
      </c>
      <c r="AP110">
        <v>3</v>
      </c>
      <c r="AQ110" s="20"/>
      <c r="AS110" s="48">
        <f>SUM(N111:AI111)</f>
        <v>113</v>
      </c>
    </row>
    <row r="111" spans="1:45" x14ac:dyDescent="0.3">
      <c r="A111" s="45"/>
      <c r="B111" s="24" t="s">
        <v>11</v>
      </c>
      <c r="C111" s="18">
        <v>3</v>
      </c>
      <c r="D111">
        <v>8</v>
      </c>
      <c r="E111" s="19">
        <v>36</v>
      </c>
      <c r="F111">
        <v>8</v>
      </c>
      <c r="G111">
        <v>3</v>
      </c>
      <c r="H111">
        <v>2</v>
      </c>
      <c r="I111">
        <v>14</v>
      </c>
      <c r="J111">
        <v>4</v>
      </c>
      <c r="K111" s="20">
        <v>5</v>
      </c>
      <c r="L111" s="54"/>
      <c r="M111" s="21" t="s">
        <v>11</v>
      </c>
      <c r="N111" s="18">
        <v>3</v>
      </c>
      <c r="O111">
        <v>11</v>
      </c>
      <c r="P111">
        <v>2</v>
      </c>
      <c r="Q111">
        <v>8</v>
      </c>
      <c r="R111">
        <v>10</v>
      </c>
      <c r="S111">
        <v>6</v>
      </c>
      <c r="T111">
        <v>4</v>
      </c>
      <c r="U111">
        <v>3</v>
      </c>
      <c r="V111">
        <v>4</v>
      </c>
      <c r="W111">
        <v>12</v>
      </c>
      <c r="X111">
        <v>4</v>
      </c>
      <c r="Y111">
        <v>5</v>
      </c>
      <c r="Z111">
        <v>2</v>
      </c>
      <c r="AA111">
        <v>2</v>
      </c>
      <c r="AB111">
        <v>10</v>
      </c>
      <c r="AC111">
        <v>3</v>
      </c>
      <c r="AD111" s="53"/>
      <c r="AE111">
        <v>4</v>
      </c>
      <c r="AF111">
        <v>3</v>
      </c>
      <c r="AG111">
        <v>5</v>
      </c>
      <c r="AH111">
        <v>4</v>
      </c>
      <c r="AI111" s="20">
        <v>8</v>
      </c>
      <c r="AJ111" s="54"/>
      <c r="AK111" s="21" t="s">
        <v>12</v>
      </c>
      <c r="AL111" s="18"/>
      <c r="AQ111" s="20"/>
      <c r="AS111" s="48">
        <f t="shared" si="55"/>
        <v>0</v>
      </c>
    </row>
    <row r="112" spans="1:45" x14ac:dyDescent="0.3">
      <c r="A112" s="45"/>
      <c r="B112" s="24" t="s">
        <v>12</v>
      </c>
      <c r="C112" s="18"/>
      <c r="K112" s="20"/>
      <c r="L112" s="54"/>
      <c r="M112" s="21" t="s">
        <v>12</v>
      </c>
      <c r="N112" s="18"/>
      <c r="AD112" s="53"/>
      <c r="AI112" s="20"/>
      <c r="AJ112" s="54"/>
      <c r="AK112" s="21" t="s">
        <v>13</v>
      </c>
      <c r="AL112" s="18">
        <v>113</v>
      </c>
      <c r="AM112">
        <v>120</v>
      </c>
      <c r="AN112">
        <v>125</v>
      </c>
      <c r="AO112">
        <v>109</v>
      </c>
      <c r="AP112">
        <v>124</v>
      </c>
      <c r="AQ112" s="20"/>
    </row>
    <row r="113" spans="1:45" x14ac:dyDescent="0.3">
      <c r="A113" s="45"/>
      <c r="B113" s="24" t="s">
        <v>13</v>
      </c>
      <c r="C113" s="18">
        <v>93</v>
      </c>
      <c r="D113">
        <v>110</v>
      </c>
      <c r="E113">
        <v>110</v>
      </c>
      <c r="F113">
        <v>126</v>
      </c>
      <c r="G113">
        <v>127</v>
      </c>
      <c r="H113">
        <v>114</v>
      </c>
      <c r="I113">
        <v>105</v>
      </c>
      <c r="J113">
        <v>93</v>
      </c>
      <c r="K113" s="20">
        <v>120</v>
      </c>
      <c r="L113" s="54"/>
      <c r="M113" s="21" t="s">
        <v>13</v>
      </c>
      <c r="N113" s="18">
        <v>145</v>
      </c>
      <c r="O113">
        <v>140</v>
      </c>
      <c r="P113">
        <v>140</v>
      </c>
      <c r="Q113">
        <v>102</v>
      </c>
      <c r="R113">
        <v>138</v>
      </c>
      <c r="S113">
        <v>146</v>
      </c>
      <c r="T113">
        <v>130</v>
      </c>
      <c r="U113">
        <v>70</v>
      </c>
      <c r="V113">
        <v>134</v>
      </c>
      <c r="W113">
        <v>126</v>
      </c>
      <c r="X113">
        <v>119</v>
      </c>
      <c r="Y113">
        <v>133</v>
      </c>
      <c r="Z113">
        <v>121</v>
      </c>
      <c r="AA113">
        <v>100</v>
      </c>
      <c r="AB113">
        <v>117</v>
      </c>
      <c r="AC113">
        <v>121</v>
      </c>
      <c r="AD113" s="53"/>
      <c r="AE113">
        <v>124</v>
      </c>
      <c r="AF113">
        <v>86</v>
      </c>
      <c r="AG113">
        <v>136</v>
      </c>
      <c r="AH113">
        <v>154</v>
      </c>
      <c r="AI113" s="20">
        <v>131</v>
      </c>
      <c r="AJ113" s="54"/>
      <c r="AK113" s="21" t="s">
        <v>14</v>
      </c>
      <c r="AL113" s="27">
        <v>257</v>
      </c>
      <c r="AM113" s="28">
        <v>258</v>
      </c>
      <c r="AN113" s="28">
        <v>279</v>
      </c>
      <c r="AO113" s="28">
        <v>289</v>
      </c>
      <c r="AP113" s="28">
        <v>298</v>
      </c>
      <c r="AQ113" s="29"/>
    </row>
    <row r="114" spans="1:45" x14ac:dyDescent="0.3">
      <c r="A114" s="45"/>
      <c r="B114" s="24" t="s">
        <v>14</v>
      </c>
      <c r="C114" s="27">
        <v>307</v>
      </c>
      <c r="D114" s="28">
        <v>300</v>
      </c>
      <c r="E114" s="28">
        <v>247</v>
      </c>
      <c r="F114" s="28">
        <v>296</v>
      </c>
      <c r="G114" s="28">
        <v>309</v>
      </c>
      <c r="H114" s="28">
        <v>272</v>
      </c>
      <c r="I114" s="28">
        <v>289</v>
      </c>
      <c r="J114" s="28">
        <v>289</v>
      </c>
      <c r="K114" s="29">
        <v>299</v>
      </c>
      <c r="L114" s="54"/>
      <c r="M114" s="21" t="s">
        <v>14</v>
      </c>
      <c r="N114" s="27">
        <v>335</v>
      </c>
      <c r="O114" s="28">
        <v>350</v>
      </c>
      <c r="P114" s="28">
        <v>320</v>
      </c>
      <c r="Q114" s="28">
        <v>280</v>
      </c>
      <c r="R114" s="28">
        <v>350</v>
      </c>
      <c r="S114" s="28">
        <v>340</v>
      </c>
      <c r="T114" s="28">
        <v>290</v>
      </c>
      <c r="U114" s="28">
        <v>277</v>
      </c>
      <c r="V114" s="28">
        <v>306</v>
      </c>
      <c r="W114" s="28">
        <v>305</v>
      </c>
      <c r="X114" s="28">
        <v>288</v>
      </c>
      <c r="Y114" s="28">
        <v>306</v>
      </c>
      <c r="Z114" s="28">
        <v>294</v>
      </c>
      <c r="AA114" s="28">
        <v>292</v>
      </c>
      <c r="AB114" s="28">
        <v>303</v>
      </c>
      <c r="AC114" s="28">
        <v>295</v>
      </c>
      <c r="AD114" s="55"/>
      <c r="AE114" s="28">
        <v>283</v>
      </c>
      <c r="AF114" s="28">
        <v>271</v>
      </c>
      <c r="AG114" s="28">
        <v>310</v>
      </c>
      <c r="AH114" s="28">
        <v>335</v>
      </c>
      <c r="AI114" s="29">
        <v>330</v>
      </c>
      <c r="AK114" s="18"/>
      <c r="AQ114" s="20"/>
    </row>
    <row r="115" spans="1:45" x14ac:dyDescent="0.3">
      <c r="A115" s="43">
        <f>A103</f>
        <v>46087</v>
      </c>
      <c r="B115" s="24" t="s">
        <v>2</v>
      </c>
      <c r="C115" s="9">
        <f t="shared" ref="C115:K115" si="56">(C124*100000)/(C125*60*8)</f>
        <v>77.439692982456137</v>
      </c>
      <c r="D115" s="10">
        <f t="shared" si="56"/>
        <v>76.82724252491694</v>
      </c>
      <c r="E115" s="10">
        <f t="shared" si="56"/>
        <v>83.165322580645167</v>
      </c>
      <c r="F115" s="10">
        <f t="shared" si="56"/>
        <v>86.86440677966101</v>
      </c>
      <c r="G115" s="10">
        <f t="shared" si="56"/>
        <v>85.744908896034303</v>
      </c>
      <c r="H115" s="10">
        <f t="shared" si="56"/>
        <v>83.486519607843135</v>
      </c>
      <c r="I115" s="10">
        <f t="shared" si="56"/>
        <v>78.575547866205312</v>
      </c>
      <c r="J115" s="10">
        <f t="shared" si="56"/>
        <v>74.250288350634378</v>
      </c>
      <c r="K115" s="11">
        <f t="shared" si="56"/>
        <v>88.087248322147644</v>
      </c>
      <c r="L115" s="51">
        <f>A115</f>
        <v>46087</v>
      </c>
      <c r="M115" s="21" t="s">
        <v>2</v>
      </c>
      <c r="N115" s="13">
        <f>(N124*100000)/(N125*60*8)</f>
        <v>87.68656716417911</v>
      </c>
      <c r="O115" s="14">
        <f t="shared" ref="O115:AI115" si="57">(O124*100000)/(O125*60*8)</f>
        <v>78.571428571428569</v>
      </c>
      <c r="P115" s="14">
        <f t="shared" si="57"/>
        <v>96.354166666666671</v>
      </c>
      <c r="Q115" s="14">
        <f t="shared" si="57"/>
        <v>68.452380952380949</v>
      </c>
      <c r="R115" s="14">
        <f t="shared" si="57"/>
        <v>89.285714285714292</v>
      </c>
      <c r="S115" s="14">
        <f t="shared" si="57"/>
        <v>83.333333333333329</v>
      </c>
      <c r="T115" s="14">
        <f t="shared" si="57"/>
        <v>86.329908675799089</v>
      </c>
      <c r="U115" s="14">
        <f t="shared" si="57"/>
        <v>73.327850877192986</v>
      </c>
      <c r="V115" s="14">
        <f t="shared" si="57"/>
        <v>83.061002178649233</v>
      </c>
      <c r="W115" s="14">
        <f t="shared" si="57"/>
        <v>83.333333333333329</v>
      </c>
      <c r="X115" s="14">
        <f t="shared" si="57"/>
        <v>84.826275787187839</v>
      </c>
      <c r="Y115" s="14">
        <f t="shared" si="57"/>
        <v>94.635076252723309</v>
      </c>
      <c r="Z115" s="14">
        <f t="shared" si="57"/>
        <v>89.68926553672317</v>
      </c>
      <c r="AA115" s="14">
        <f t="shared" si="57"/>
        <v>71.347031963470315</v>
      </c>
      <c r="AB115" s="14">
        <f t="shared" si="57"/>
        <v>86.633663366336634</v>
      </c>
      <c r="AC115" s="14">
        <f t="shared" si="57"/>
        <v>88.983050847457633</v>
      </c>
      <c r="AD115" s="14">
        <f t="shared" si="57"/>
        <v>85.663377192982452</v>
      </c>
      <c r="AE115" s="14">
        <f t="shared" si="57"/>
        <v>86.805555555555557</v>
      </c>
      <c r="AF115" s="14">
        <f t="shared" si="57"/>
        <v>95.982142857142861</v>
      </c>
      <c r="AG115" s="14">
        <f t="shared" si="57"/>
        <v>96.102150537634415</v>
      </c>
      <c r="AH115" s="14">
        <f t="shared" si="57"/>
        <v>93.896713615023472</v>
      </c>
      <c r="AI115" s="11">
        <f t="shared" si="57"/>
        <v>68.813131313131308</v>
      </c>
      <c r="AJ115" s="51">
        <f>L115</f>
        <v>46087</v>
      </c>
      <c r="AK115" s="21" t="s">
        <v>2</v>
      </c>
      <c r="AL115" s="9">
        <f>(AL123*100000)/(AL124*60*8)</f>
        <v>92.147435897435898</v>
      </c>
      <c r="AM115" s="10">
        <f t="shared" ref="AM115:AP115" si="58">(AM123*100000)/(AM124*60*8)</f>
        <v>95.982142857142861</v>
      </c>
      <c r="AN115" s="10">
        <f t="shared" si="58"/>
        <v>71.428571428571431</v>
      </c>
      <c r="AO115" s="10">
        <f t="shared" si="58"/>
        <v>81.896551724137936</v>
      </c>
      <c r="AP115" s="10">
        <f t="shared" si="58"/>
        <v>91.582774049217008</v>
      </c>
      <c r="AQ115" s="15"/>
      <c r="AS115">
        <f>SUM(N124:AI124)</f>
        <v>2800</v>
      </c>
    </row>
    <row r="116" spans="1:45" x14ac:dyDescent="0.3">
      <c r="A116" s="43"/>
      <c r="B116" s="24" t="s">
        <v>3</v>
      </c>
      <c r="C116" s="18">
        <v>3</v>
      </c>
      <c r="D116">
        <v>5</v>
      </c>
      <c r="E116">
        <v>6</v>
      </c>
      <c r="F116">
        <v>10</v>
      </c>
      <c r="G116">
        <v>3</v>
      </c>
      <c r="H116">
        <v>3</v>
      </c>
      <c r="I116">
        <v>2</v>
      </c>
      <c r="J116">
        <v>7</v>
      </c>
      <c r="K116" s="20">
        <v>3</v>
      </c>
      <c r="L116" s="51"/>
      <c r="M116" s="21" t="s">
        <v>3</v>
      </c>
      <c r="N116" s="18">
        <v>8</v>
      </c>
      <c r="O116">
        <v>10</v>
      </c>
      <c r="Q116">
        <v>0</v>
      </c>
      <c r="R116">
        <v>1</v>
      </c>
      <c r="S116">
        <v>5</v>
      </c>
      <c r="T116">
        <v>5</v>
      </c>
      <c r="U116">
        <v>13</v>
      </c>
      <c r="V116">
        <v>11</v>
      </c>
      <c r="W116">
        <v>15</v>
      </c>
      <c r="X116">
        <v>7</v>
      </c>
      <c r="Y116">
        <v>0</v>
      </c>
      <c r="Z116">
        <v>4</v>
      </c>
      <c r="AA116">
        <v>1</v>
      </c>
      <c r="AB116">
        <v>1</v>
      </c>
      <c r="AC116">
        <v>6</v>
      </c>
      <c r="AD116">
        <v>1</v>
      </c>
      <c r="AE116">
        <v>6</v>
      </c>
      <c r="AF116">
        <v>0</v>
      </c>
      <c r="AG116">
        <v>2</v>
      </c>
      <c r="AH116">
        <v>1</v>
      </c>
      <c r="AI116" s="20">
        <v>7</v>
      </c>
      <c r="AJ116" s="51"/>
      <c r="AK116" s="21" t="s">
        <v>3</v>
      </c>
      <c r="AL116" s="18">
        <v>5</v>
      </c>
      <c r="AN116">
        <v>4</v>
      </c>
      <c r="AO116">
        <v>3</v>
      </c>
      <c r="AP116">
        <v>2</v>
      </c>
      <c r="AQ116" s="20"/>
      <c r="AS116">
        <f>SUM(N117:AI117)</f>
        <v>0</v>
      </c>
    </row>
    <row r="117" spans="1:45" x14ac:dyDescent="0.3">
      <c r="A117" s="43"/>
      <c r="B117" s="21" t="s">
        <v>4</v>
      </c>
      <c r="K117" s="20"/>
      <c r="L117" s="51"/>
      <c r="M117" s="21" t="s">
        <v>4</v>
      </c>
      <c r="N117" s="18"/>
      <c r="AJ117" s="51"/>
      <c r="AK117" s="21" t="s">
        <v>4</v>
      </c>
      <c r="AL117" s="18"/>
      <c r="AQ117" s="20"/>
      <c r="AS117">
        <f>SUM(N118:AI118)</f>
        <v>124</v>
      </c>
    </row>
    <row r="118" spans="1:45" x14ac:dyDescent="0.3">
      <c r="A118" s="43"/>
      <c r="B118" s="24" t="s">
        <v>5</v>
      </c>
      <c r="C118" s="22">
        <v>20</v>
      </c>
      <c r="D118">
        <v>14</v>
      </c>
      <c r="E118">
        <v>8</v>
      </c>
      <c r="F118">
        <v>2</v>
      </c>
      <c r="G118">
        <v>7</v>
      </c>
      <c r="H118">
        <v>9</v>
      </c>
      <c r="I118" s="19">
        <v>28</v>
      </c>
      <c r="J118">
        <v>6</v>
      </c>
      <c r="K118" s="20">
        <v>11</v>
      </c>
      <c r="L118" s="51"/>
      <c r="M118" s="21" t="s">
        <v>5</v>
      </c>
      <c r="N118" s="18">
        <v>2</v>
      </c>
      <c r="O118">
        <v>3</v>
      </c>
      <c r="Q118">
        <v>15</v>
      </c>
      <c r="R118">
        <v>4</v>
      </c>
      <c r="S118">
        <v>4</v>
      </c>
      <c r="T118">
        <v>4</v>
      </c>
      <c r="U118">
        <v>7</v>
      </c>
      <c r="V118">
        <v>8</v>
      </c>
      <c r="W118">
        <v>12</v>
      </c>
      <c r="X118">
        <v>8</v>
      </c>
      <c r="Y118">
        <v>1</v>
      </c>
      <c r="Z118">
        <v>4</v>
      </c>
      <c r="AA118">
        <v>4</v>
      </c>
      <c r="AB118" s="19">
        <v>21</v>
      </c>
      <c r="AC118">
        <v>2</v>
      </c>
      <c r="AD118">
        <v>3</v>
      </c>
      <c r="AE118">
        <v>10</v>
      </c>
      <c r="AF118">
        <v>3</v>
      </c>
      <c r="AG118">
        <v>1</v>
      </c>
      <c r="AH118">
        <v>4</v>
      </c>
      <c r="AI118" s="20">
        <v>4</v>
      </c>
      <c r="AJ118" s="51"/>
      <c r="AK118" s="21" t="s">
        <v>5</v>
      </c>
      <c r="AL118" s="18">
        <v>3</v>
      </c>
      <c r="AN118">
        <v>2</v>
      </c>
      <c r="AO118">
        <v>0</v>
      </c>
      <c r="AP118">
        <v>6</v>
      </c>
      <c r="AQ118" s="20"/>
    </row>
    <row r="119" spans="1:45" x14ac:dyDescent="0.3">
      <c r="A119" s="43"/>
      <c r="B119" s="24" t="s">
        <v>6</v>
      </c>
      <c r="C119" s="18"/>
      <c r="K119" s="20"/>
      <c r="L119" s="51"/>
      <c r="M119" s="21" t="s">
        <v>6</v>
      </c>
      <c r="N119" s="18"/>
      <c r="AI119" s="20"/>
      <c r="AJ119" s="51"/>
      <c r="AK119" s="21" t="s">
        <v>7</v>
      </c>
      <c r="AL119" s="18">
        <v>4</v>
      </c>
      <c r="AN119">
        <v>8</v>
      </c>
      <c r="AO119">
        <v>12</v>
      </c>
      <c r="AP119">
        <v>4</v>
      </c>
      <c r="AQ119" s="20"/>
      <c r="AS119">
        <f>SUM(N120:AI120)</f>
        <v>127</v>
      </c>
    </row>
    <row r="120" spans="1:45" x14ac:dyDescent="0.3">
      <c r="A120" s="43"/>
      <c r="B120" s="24" t="s">
        <v>7</v>
      </c>
      <c r="C120" s="18">
        <v>8</v>
      </c>
      <c r="D120">
        <v>12</v>
      </c>
      <c r="E120" s="19">
        <v>24</v>
      </c>
      <c r="F120">
        <v>9</v>
      </c>
      <c r="G120">
        <v>9</v>
      </c>
      <c r="H120">
        <v>9</v>
      </c>
      <c r="I120">
        <v>11</v>
      </c>
      <c r="J120">
        <v>9</v>
      </c>
      <c r="K120" s="20">
        <v>3</v>
      </c>
      <c r="L120" s="51"/>
      <c r="M120" s="21" t="s">
        <v>7</v>
      </c>
      <c r="N120" s="18">
        <v>2</v>
      </c>
      <c r="O120">
        <v>2</v>
      </c>
      <c r="Q120">
        <v>7</v>
      </c>
      <c r="R120">
        <v>0</v>
      </c>
      <c r="S120">
        <v>6</v>
      </c>
      <c r="T120">
        <v>9</v>
      </c>
      <c r="U120">
        <v>18</v>
      </c>
      <c r="V120">
        <v>15</v>
      </c>
      <c r="W120">
        <v>13</v>
      </c>
      <c r="X120">
        <v>3</v>
      </c>
      <c r="Y120">
        <v>2</v>
      </c>
      <c r="Z120">
        <v>5</v>
      </c>
      <c r="AA120">
        <v>1</v>
      </c>
      <c r="AB120">
        <v>4</v>
      </c>
      <c r="AC120">
        <v>6</v>
      </c>
      <c r="AD120">
        <v>15</v>
      </c>
      <c r="AE120">
        <v>1</v>
      </c>
      <c r="AF120">
        <v>8</v>
      </c>
      <c r="AG120">
        <v>0</v>
      </c>
      <c r="AH120">
        <v>1</v>
      </c>
      <c r="AI120" s="20">
        <v>9</v>
      </c>
      <c r="AJ120" s="51"/>
      <c r="AK120" s="21" t="s">
        <v>8</v>
      </c>
      <c r="AL120" s="18"/>
      <c r="AQ120" s="20"/>
      <c r="AS120">
        <f>SUM(N121:AI121)</f>
        <v>0</v>
      </c>
    </row>
    <row r="121" spans="1:45" x14ac:dyDescent="0.3">
      <c r="A121" s="54" t="s">
        <v>27</v>
      </c>
      <c r="B121" s="24" t="s">
        <v>10</v>
      </c>
      <c r="C121" s="18"/>
      <c r="K121" s="20"/>
      <c r="L121" s="54" t="str">
        <f>A121</f>
        <v>VI 2T</v>
      </c>
      <c r="M121" s="21" t="s">
        <v>10</v>
      </c>
      <c r="N121" s="18"/>
      <c r="AI121" s="20"/>
      <c r="AJ121" s="54" t="str">
        <f>+L121</f>
        <v>VI 2T</v>
      </c>
      <c r="AK121" s="21" t="s">
        <v>11</v>
      </c>
      <c r="AL121" s="18">
        <v>3</v>
      </c>
      <c r="AM121">
        <v>9</v>
      </c>
      <c r="AN121">
        <v>1</v>
      </c>
      <c r="AO121">
        <v>2</v>
      </c>
      <c r="AP121">
        <v>7</v>
      </c>
      <c r="AQ121" s="20"/>
      <c r="AS121">
        <f>SUM(N122:AI122)</f>
        <v>99</v>
      </c>
    </row>
    <row r="122" spans="1:45" x14ac:dyDescent="0.3">
      <c r="A122" s="54"/>
      <c r="B122" s="24" t="s">
        <v>11</v>
      </c>
      <c r="C122" s="18">
        <v>3</v>
      </c>
      <c r="D122">
        <v>8</v>
      </c>
      <c r="E122">
        <v>7</v>
      </c>
      <c r="F122">
        <v>13</v>
      </c>
      <c r="G122">
        <v>6</v>
      </c>
      <c r="H122">
        <v>3</v>
      </c>
      <c r="I122">
        <v>8</v>
      </c>
      <c r="J122">
        <v>3</v>
      </c>
      <c r="K122" s="20">
        <v>5</v>
      </c>
      <c r="L122" s="54"/>
      <c r="M122" s="21" t="s">
        <v>11</v>
      </c>
      <c r="N122" s="18">
        <v>0</v>
      </c>
      <c r="O122">
        <v>2</v>
      </c>
      <c r="Q122">
        <v>15</v>
      </c>
      <c r="R122">
        <v>7</v>
      </c>
      <c r="S122">
        <v>5</v>
      </c>
      <c r="T122">
        <v>2</v>
      </c>
      <c r="U122">
        <v>8</v>
      </c>
      <c r="V122">
        <v>11</v>
      </c>
      <c r="W122">
        <v>14</v>
      </c>
      <c r="X122">
        <v>2</v>
      </c>
      <c r="Y122">
        <v>2</v>
      </c>
      <c r="Z122">
        <v>2</v>
      </c>
      <c r="AA122">
        <v>2</v>
      </c>
      <c r="AB122">
        <v>5</v>
      </c>
      <c r="AC122">
        <v>1</v>
      </c>
      <c r="AD122">
        <v>4</v>
      </c>
      <c r="AE122">
        <v>3</v>
      </c>
      <c r="AF122">
        <v>2</v>
      </c>
      <c r="AG122">
        <v>2</v>
      </c>
      <c r="AH122">
        <v>2</v>
      </c>
      <c r="AI122" s="20">
        <v>8</v>
      </c>
      <c r="AJ122" s="54"/>
      <c r="AK122" s="21" t="s">
        <v>12</v>
      </c>
      <c r="AL122" s="18"/>
      <c r="AQ122" s="20"/>
    </row>
    <row r="123" spans="1:45" x14ac:dyDescent="0.3">
      <c r="A123" s="54"/>
      <c r="B123" s="24" t="s">
        <v>12</v>
      </c>
      <c r="C123" s="18"/>
      <c r="K123" s="20"/>
      <c r="L123" s="54"/>
      <c r="M123" s="21" t="s">
        <v>12</v>
      </c>
      <c r="N123" s="18"/>
      <c r="AI123" s="20"/>
      <c r="AJ123" s="54"/>
      <c r="AK123" s="21" t="s">
        <v>13</v>
      </c>
      <c r="AL123" s="18">
        <v>115</v>
      </c>
      <c r="AM123">
        <v>129</v>
      </c>
      <c r="AN123">
        <v>96</v>
      </c>
      <c r="AO123">
        <v>114</v>
      </c>
      <c r="AP123">
        <v>131</v>
      </c>
      <c r="AQ123" s="20"/>
    </row>
    <row r="124" spans="1:45" x14ac:dyDescent="0.3">
      <c r="A124" s="54"/>
      <c r="B124" s="24" t="s">
        <v>13</v>
      </c>
      <c r="C124" s="18">
        <v>113</v>
      </c>
      <c r="D124">
        <v>111</v>
      </c>
      <c r="E124">
        <v>99</v>
      </c>
      <c r="F124">
        <v>123</v>
      </c>
      <c r="G124">
        <v>128</v>
      </c>
      <c r="H124">
        <v>109</v>
      </c>
      <c r="I124">
        <v>109</v>
      </c>
      <c r="J124">
        <v>103</v>
      </c>
      <c r="K124" s="20">
        <v>126</v>
      </c>
      <c r="L124" s="54"/>
      <c r="M124" s="21" t="s">
        <v>13</v>
      </c>
      <c r="N124" s="18">
        <v>141</v>
      </c>
      <c r="O124">
        <v>132</v>
      </c>
      <c r="P124">
        <v>148</v>
      </c>
      <c r="Q124">
        <v>92</v>
      </c>
      <c r="R124">
        <v>150</v>
      </c>
      <c r="S124">
        <v>136</v>
      </c>
      <c r="T124">
        <v>121</v>
      </c>
      <c r="U124">
        <v>107</v>
      </c>
      <c r="V124">
        <v>122</v>
      </c>
      <c r="W124">
        <v>122</v>
      </c>
      <c r="X124">
        <v>125</v>
      </c>
      <c r="Y124">
        <v>139</v>
      </c>
      <c r="Z124">
        <v>127</v>
      </c>
      <c r="AA124">
        <v>100</v>
      </c>
      <c r="AB124">
        <v>126</v>
      </c>
      <c r="AC124">
        <v>126</v>
      </c>
      <c r="AD124">
        <v>125</v>
      </c>
      <c r="AE124">
        <v>120</v>
      </c>
      <c r="AF124">
        <v>129</v>
      </c>
      <c r="AG124">
        <v>143</v>
      </c>
      <c r="AH124">
        <v>160</v>
      </c>
      <c r="AI124" s="20">
        <v>109</v>
      </c>
      <c r="AJ124" s="54"/>
      <c r="AK124" s="21" t="s">
        <v>14</v>
      </c>
      <c r="AL124" s="27">
        <v>260</v>
      </c>
      <c r="AM124" s="28">
        <v>280</v>
      </c>
      <c r="AN124" s="28">
        <v>280</v>
      </c>
      <c r="AO124" s="28">
        <v>290</v>
      </c>
      <c r="AP124" s="28">
        <v>298</v>
      </c>
      <c r="AQ124" s="29"/>
    </row>
    <row r="125" spans="1:45" x14ac:dyDescent="0.3">
      <c r="A125" s="54"/>
      <c r="B125" s="24" t="s">
        <v>14</v>
      </c>
      <c r="C125" s="27">
        <v>304</v>
      </c>
      <c r="D125" s="28">
        <v>301</v>
      </c>
      <c r="E125" s="28">
        <v>248</v>
      </c>
      <c r="F125" s="28">
        <v>295</v>
      </c>
      <c r="G125" s="28">
        <v>311</v>
      </c>
      <c r="H125" s="28">
        <v>272</v>
      </c>
      <c r="I125" s="28">
        <v>289</v>
      </c>
      <c r="J125" s="28">
        <v>289</v>
      </c>
      <c r="K125" s="29">
        <v>298</v>
      </c>
      <c r="L125" s="54"/>
      <c r="M125" s="21" t="s">
        <v>14</v>
      </c>
      <c r="N125" s="27">
        <v>335</v>
      </c>
      <c r="O125" s="28">
        <v>350</v>
      </c>
      <c r="P125" s="28">
        <v>320</v>
      </c>
      <c r="Q125" s="28">
        <v>280</v>
      </c>
      <c r="R125" s="28">
        <v>350</v>
      </c>
      <c r="S125" s="28">
        <v>340</v>
      </c>
      <c r="T125" s="28">
        <v>292</v>
      </c>
      <c r="U125" s="28">
        <v>304</v>
      </c>
      <c r="V125" s="28">
        <v>306</v>
      </c>
      <c r="W125" s="28">
        <v>305</v>
      </c>
      <c r="X125" s="28">
        <v>307</v>
      </c>
      <c r="Y125" s="28">
        <v>306</v>
      </c>
      <c r="Z125" s="28">
        <v>295</v>
      </c>
      <c r="AA125" s="28">
        <v>292</v>
      </c>
      <c r="AB125" s="28">
        <v>303</v>
      </c>
      <c r="AC125" s="28">
        <v>295</v>
      </c>
      <c r="AD125" s="28">
        <v>304</v>
      </c>
      <c r="AE125" s="28">
        <v>288</v>
      </c>
      <c r="AF125" s="28">
        <v>280</v>
      </c>
      <c r="AG125" s="28">
        <v>310</v>
      </c>
      <c r="AH125" s="28">
        <v>355</v>
      </c>
      <c r="AI125" s="29">
        <v>330</v>
      </c>
      <c r="AK125" s="18"/>
      <c r="AQ125" s="20"/>
    </row>
    <row r="126" spans="1:45" x14ac:dyDescent="0.3">
      <c r="A126" s="51">
        <f>A103</f>
        <v>46087</v>
      </c>
      <c r="B126" s="31" t="s">
        <v>2</v>
      </c>
      <c r="C126" s="9">
        <f t="shared" ref="C126:K126" si="59">(C135*100000)/(C136*60*8)</f>
        <v>85.663377192982452</v>
      </c>
      <c r="D126" s="10">
        <f t="shared" si="59"/>
        <v>75</v>
      </c>
      <c r="E126" s="10">
        <f t="shared" si="59"/>
        <v>96.606182795698928</v>
      </c>
      <c r="F126" s="10">
        <f t="shared" si="59"/>
        <v>90.883668903803127</v>
      </c>
      <c r="G126" s="10">
        <f t="shared" si="59"/>
        <v>73.968512486427798</v>
      </c>
      <c r="H126" s="10">
        <f t="shared" si="59"/>
        <v>89.61397058823529</v>
      </c>
      <c r="I126" s="10">
        <f t="shared" si="59"/>
        <v>86.505190311418687</v>
      </c>
      <c r="J126" s="10">
        <f t="shared" si="59"/>
        <v>88.667820069204154</v>
      </c>
      <c r="K126" s="11">
        <f t="shared" si="59"/>
        <v>96.15384615384616</v>
      </c>
      <c r="L126" s="43">
        <f>A126</f>
        <v>46087</v>
      </c>
      <c r="M126" s="21" t="s">
        <v>2</v>
      </c>
      <c r="N126" s="13">
        <f>(N135*100000)/(N136*60*8)</f>
        <v>87.68656716417911</v>
      </c>
      <c r="O126" s="14">
        <f t="shared" ref="O126:AI126" si="60">(O135*100000)/(O136*60*8)</f>
        <v>91.299019607843135</v>
      </c>
      <c r="P126" s="14">
        <f t="shared" si="60"/>
        <v>55.338541666666664</v>
      </c>
      <c r="Q126" s="14">
        <f t="shared" si="60"/>
        <v>72.172619047619051</v>
      </c>
      <c r="R126" s="14">
        <f t="shared" si="60"/>
        <v>95.833333333333329</v>
      </c>
      <c r="S126" s="14">
        <f t="shared" si="60"/>
        <v>94.975490196078425</v>
      </c>
      <c r="T126" s="14">
        <f t="shared" si="60"/>
        <v>94.827586206896555</v>
      </c>
      <c r="U126" s="14">
        <f t="shared" si="60"/>
        <v>94.1969196919692</v>
      </c>
      <c r="V126" s="14">
        <f t="shared" si="60"/>
        <v>89.188453159041401</v>
      </c>
      <c r="W126" s="14">
        <f t="shared" si="60"/>
        <v>59.42622950819672</v>
      </c>
      <c r="X126" s="14">
        <f t="shared" si="60"/>
        <v>83.621683967704726</v>
      </c>
      <c r="Y126" s="14">
        <f t="shared" si="60"/>
        <v>95.315904139433556</v>
      </c>
      <c r="Z126" s="14">
        <f t="shared" si="60"/>
        <v>85.034013605442183</v>
      </c>
      <c r="AA126" s="14">
        <f t="shared" si="60"/>
        <v>86.329908675799089</v>
      </c>
      <c r="AB126" s="14">
        <f t="shared" si="60"/>
        <v>95.138888888888886</v>
      </c>
      <c r="AC126" s="14">
        <f t="shared" si="60"/>
        <v>62.146892655367232</v>
      </c>
      <c r="AD126" s="14">
        <f t="shared" si="60"/>
        <v>82.78145695364239</v>
      </c>
      <c r="AE126" s="14">
        <f t="shared" si="60"/>
        <v>89.075382803297998</v>
      </c>
      <c r="AF126" s="14">
        <f t="shared" si="60"/>
        <v>72.115384615384613</v>
      </c>
      <c r="AG126" s="14">
        <f t="shared" si="60"/>
        <v>80.729166666666671</v>
      </c>
      <c r="AH126" s="14">
        <f t="shared" si="60"/>
        <v>81.547619047619051</v>
      </c>
      <c r="AI126" s="11">
        <f t="shared" si="60"/>
        <v>70.075757575757578</v>
      </c>
      <c r="AJ126" s="43">
        <f>L126</f>
        <v>46087</v>
      </c>
      <c r="AK126" s="21" t="s">
        <v>2</v>
      </c>
      <c r="AL126" s="9">
        <f>(AL134*100000)/(AL135*60*8)</f>
        <v>91.601815823605705</v>
      </c>
      <c r="AM126" s="10">
        <f t="shared" ref="AM126:AP126" si="61">(AM134*100000)/(AM135*60*8)</f>
        <v>89.285714285714292</v>
      </c>
      <c r="AN126" s="10">
        <f t="shared" si="61"/>
        <v>72.172619047619051</v>
      </c>
      <c r="AO126" s="10">
        <f t="shared" si="61"/>
        <v>91.551326412918115</v>
      </c>
      <c r="AP126" s="10">
        <f t="shared" si="61"/>
        <v>72.706935123042499</v>
      </c>
      <c r="AQ126" s="15"/>
      <c r="AS126" s="48">
        <f t="shared" ref="AS126:AS132" si="62">SUM(N127:AI127)</f>
        <v>82</v>
      </c>
    </row>
    <row r="127" spans="1:45" x14ac:dyDescent="0.3">
      <c r="A127" s="51"/>
      <c r="B127" s="21" t="s">
        <v>3</v>
      </c>
      <c r="C127" s="18">
        <v>2</v>
      </c>
      <c r="D127">
        <v>19</v>
      </c>
      <c r="E127">
        <v>0</v>
      </c>
      <c r="F127">
        <v>4</v>
      </c>
      <c r="G127">
        <v>6</v>
      </c>
      <c r="H127">
        <v>2</v>
      </c>
      <c r="I127">
        <v>2</v>
      </c>
      <c r="J127">
        <v>4</v>
      </c>
      <c r="K127" s="20">
        <v>0</v>
      </c>
      <c r="L127" s="43"/>
      <c r="M127" s="21" t="s">
        <v>3</v>
      </c>
      <c r="N127" s="18">
        <v>1</v>
      </c>
      <c r="O127">
        <v>5</v>
      </c>
      <c r="P127">
        <v>1</v>
      </c>
      <c r="Q127">
        <v>0</v>
      </c>
      <c r="R127">
        <v>1</v>
      </c>
      <c r="S127">
        <v>3</v>
      </c>
      <c r="T127">
        <v>3</v>
      </c>
      <c r="U127">
        <v>7</v>
      </c>
      <c r="V127">
        <v>3</v>
      </c>
      <c r="W127">
        <v>3</v>
      </c>
      <c r="X127">
        <v>5</v>
      </c>
      <c r="Y127">
        <v>1</v>
      </c>
      <c r="Z127">
        <v>6</v>
      </c>
      <c r="AA127">
        <v>1</v>
      </c>
      <c r="AB127">
        <v>0</v>
      </c>
      <c r="AC127">
        <v>4</v>
      </c>
      <c r="AE127">
        <v>12</v>
      </c>
      <c r="AF127">
        <v>0</v>
      </c>
      <c r="AG127">
        <v>12</v>
      </c>
      <c r="AH127">
        <v>3</v>
      </c>
      <c r="AI127" s="20">
        <v>11</v>
      </c>
      <c r="AJ127" s="43"/>
      <c r="AK127" s="21" t="s">
        <v>3</v>
      </c>
      <c r="AL127" s="18">
        <v>1</v>
      </c>
      <c r="AM127">
        <v>6</v>
      </c>
      <c r="AN127">
        <v>3</v>
      </c>
      <c r="AO127">
        <v>0</v>
      </c>
      <c r="AP127">
        <v>1</v>
      </c>
      <c r="AQ127" s="20"/>
      <c r="AS127" s="48">
        <f t="shared" si="62"/>
        <v>0</v>
      </c>
    </row>
    <row r="128" spans="1:45" x14ac:dyDescent="0.3">
      <c r="A128" s="51"/>
      <c r="B128" s="21" t="s">
        <v>4</v>
      </c>
      <c r="C128" s="18"/>
      <c r="K128" s="20"/>
      <c r="L128" s="43"/>
      <c r="M128" s="21" t="s">
        <v>4</v>
      </c>
      <c r="N128" s="18"/>
      <c r="AJ128" s="43"/>
      <c r="AK128" s="21" t="s">
        <v>4</v>
      </c>
      <c r="AL128" s="18"/>
      <c r="AQ128" s="20"/>
      <c r="AS128" s="48">
        <f t="shared" si="62"/>
        <v>176</v>
      </c>
    </row>
    <row r="129" spans="1:45" x14ac:dyDescent="0.3">
      <c r="A129" s="51"/>
      <c r="B129" s="21" t="s">
        <v>5</v>
      </c>
      <c r="C129" s="18">
        <v>8</v>
      </c>
      <c r="D129" s="19">
        <v>23</v>
      </c>
      <c r="E129">
        <v>2</v>
      </c>
      <c r="F129">
        <v>1</v>
      </c>
      <c r="G129">
        <v>5</v>
      </c>
      <c r="H129">
        <v>7</v>
      </c>
      <c r="I129" s="19">
        <v>29</v>
      </c>
      <c r="J129">
        <v>1</v>
      </c>
      <c r="K129" s="20">
        <v>3</v>
      </c>
      <c r="L129" s="43"/>
      <c r="M129" s="21" t="s">
        <v>5</v>
      </c>
      <c r="N129" s="18">
        <v>2</v>
      </c>
      <c r="O129">
        <v>2</v>
      </c>
      <c r="P129">
        <v>5</v>
      </c>
      <c r="Q129" s="19">
        <v>25</v>
      </c>
      <c r="R129">
        <v>5</v>
      </c>
      <c r="S129">
        <v>4</v>
      </c>
      <c r="T129">
        <v>2</v>
      </c>
      <c r="U129">
        <v>2</v>
      </c>
      <c r="V129" s="19">
        <v>30</v>
      </c>
      <c r="W129">
        <v>10</v>
      </c>
      <c r="X129">
        <v>8</v>
      </c>
      <c r="Y129">
        <v>3</v>
      </c>
      <c r="Z129">
        <v>10</v>
      </c>
      <c r="AA129">
        <v>13</v>
      </c>
      <c r="AB129">
        <v>1</v>
      </c>
      <c r="AC129">
        <v>17</v>
      </c>
      <c r="AE129">
        <v>9</v>
      </c>
      <c r="AF129">
        <v>7</v>
      </c>
      <c r="AG129">
        <v>16</v>
      </c>
      <c r="AH129">
        <v>3</v>
      </c>
      <c r="AI129" s="20">
        <v>2</v>
      </c>
      <c r="AJ129" s="43"/>
      <c r="AK129" s="21" t="s">
        <v>5</v>
      </c>
      <c r="AL129" s="18">
        <v>17</v>
      </c>
      <c r="AM129">
        <v>3</v>
      </c>
      <c r="AN129">
        <v>5</v>
      </c>
      <c r="AO129">
        <v>0</v>
      </c>
      <c r="AP129">
        <v>1</v>
      </c>
      <c r="AQ129" s="20"/>
      <c r="AS129" s="48">
        <f t="shared" si="62"/>
        <v>0</v>
      </c>
    </row>
    <row r="130" spans="1:45" x14ac:dyDescent="0.3">
      <c r="A130" s="51"/>
      <c r="B130" s="21" t="s">
        <v>6</v>
      </c>
      <c r="C130" s="18"/>
      <c r="K130" s="20"/>
      <c r="L130" s="43"/>
      <c r="M130" s="21" t="s">
        <v>6</v>
      </c>
      <c r="N130" s="18"/>
      <c r="AI130" s="20"/>
      <c r="AJ130" s="43"/>
      <c r="AK130" s="21" t="s">
        <v>7</v>
      </c>
      <c r="AL130" s="18">
        <v>2</v>
      </c>
      <c r="AM130">
        <v>10</v>
      </c>
      <c r="AN130">
        <v>2</v>
      </c>
      <c r="AO130">
        <v>0</v>
      </c>
      <c r="AP130">
        <v>3</v>
      </c>
      <c r="AQ130" s="20"/>
      <c r="AS130" s="48">
        <f t="shared" si="62"/>
        <v>146</v>
      </c>
    </row>
    <row r="131" spans="1:45" x14ac:dyDescent="0.3">
      <c r="A131" s="51"/>
      <c r="B131" s="21" t="s">
        <v>7</v>
      </c>
      <c r="C131" s="18">
        <v>16</v>
      </c>
      <c r="D131">
        <v>7</v>
      </c>
      <c r="E131">
        <v>0</v>
      </c>
      <c r="F131">
        <v>14</v>
      </c>
      <c r="G131">
        <v>12</v>
      </c>
      <c r="H131">
        <v>5</v>
      </c>
      <c r="I131">
        <v>14</v>
      </c>
      <c r="J131">
        <v>5</v>
      </c>
      <c r="K131" s="20">
        <v>3</v>
      </c>
      <c r="L131" s="43"/>
      <c r="M131" s="21" t="s">
        <v>7</v>
      </c>
      <c r="N131" s="18">
        <v>4</v>
      </c>
      <c r="O131">
        <v>2</v>
      </c>
      <c r="P131">
        <v>18</v>
      </c>
      <c r="Q131">
        <v>7</v>
      </c>
      <c r="R131">
        <v>6</v>
      </c>
      <c r="S131">
        <v>2</v>
      </c>
      <c r="T131">
        <v>6</v>
      </c>
      <c r="U131">
        <v>2</v>
      </c>
      <c r="V131">
        <v>9</v>
      </c>
      <c r="W131">
        <v>14</v>
      </c>
      <c r="X131">
        <v>10</v>
      </c>
      <c r="Y131">
        <v>2</v>
      </c>
      <c r="Z131">
        <v>10</v>
      </c>
      <c r="AA131">
        <v>4</v>
      </c>
      <c r="AB131">
        <v>3</v>
      </c>
      <c r="AC131">
        <v>17</v>
      </c>
      <c r="AE131">
        <v>1</v>
      </c>
      <c r="AF131">
        <v>17</v>
      </c>
      <c r="AG131">
        <v>2</v>
      </c>
      <c r="AH131">
        <v>4</v>
      </c>
      <c r="AI131" s="20">
        <v>6</v>
      </c>
      <c r="AJ131" s="43"/>
      <c r="AK131" s="21" t="s">
        <v>8</v>
      </c>
      <c r="AL131" s="18"/>
      <c r="AQ131" s="20"/>
      <c r="AS131" s="48">
        <f t="shared" si="62"/>
        <v>0</v>
      </c>
    </row>
    <row r="132" spans="1:45" x14ac:dyDescent="0.3">
      <c r="A132" s="45" t="s">
        <v>28</v>
      </c>
      <c r="B132" s="21" t="s">
        <v>10</v>
      </c>
      <c r="C132" s="18"/>
      <c r="K132" s="20"/>
      <c r="L132" s="45" t="str">
        <f>A132</f>
        <v>VI 3T</v>
      </c>
      <c r="M132" s="21" t="s">
        <v>10</v>
      </c>
      <c r="N132" s="18"/>
      <c r="AI132" s="20"/>
      <c r="AJ132" s="45" t="str">
        <f>L132</f>
        <v>VI 3T</v>
      </c>
      <c r="AK132" s="21" t="s">
        <v>11</v>
      </c>
      <c r="AL132" s="18">
        <v>2</v>
      </c>
      <c r="AM132">
        <v>9</v>
      </c>
      <c r="AN132">
        <v>4</v>
      </c>
      <c r="AO132">
        <v>1</v>
      </c>
      <c r="AP132">
        <v>4</v>
      </c>
      <c r="AQ132" s="20"/>
      <c r="AS132" s="48">
        <f t="shared" si="62"/>
        <v>118</v>
      </c>
    </row>
    <row r="133" spans="1:45" x14ac:dyDescent="0.3">
      <c r="A133" s="45"/>
      <c r="B133" s="21" t="s">
        <v>11</v>
      </c>
      <c r="C133" s="18">
        <v>4</v>
      </c>
      <c r="D133" s="19">
        <v>21</v>
      </c>
      <c r="E133">
        <v>1</v>
      </c>
      <c r="F133">
        <v>18</v>
      </c>
      <c r="G133">
        <v>8</v>
      </c>
      <c r="H133">
        <v>2</v>
      </c>
      <c r="I133" s="19">
        <v>22</v>
      </c>
      <c r="J133">
        <v>2</v>
      </c>
      <c r="K133" s="20">
        <v>7</v>
      </c>
      <c r="L133" s="45"/>
      <c r="M133" s="21" t="s">
        <v>11</v>
      </c>
      <c r="N133" s="18">
        <v>1</v>
      </c>
      <c r="O133">
        <v>2</v>
      </c>
      <c r="P133">
        <v>1</v>
      </c>
      <c r="Q133">
        <v>2</v>
      </c>
      <c r="R133">
        <v>3</v>
      </c>
      <c r="S133">
        <v>2</v>
      </c>
      <c r="T133">
        <v>2</v>
      </c>
      <c r="U133">
        <v>5</v>
      </c>
      <c r="V133">
        <v>5</v>
      </c>
      <c r="W133" s="19">
        <v>31</v>
      </c>
      <c r="X133">
        <v>4</v>
      </c>
      <c r="Y133">
        <v>4</v>
      </c>
      <c r="Z133">
        <v>5</v>
      </c>
      <c r="AA133">
        <v>5</v>
      </c>
      <c r="AB133">
        <v>2</v>
      </c>
      <c r="AC133">
        <v>16</v>
      </c>
      <c r="AE133">
        <v>6</v>
      </c>
      <c r="AF133">
        <v>2</v>
      </c>
      <c r="AG133">
        <v>5</v>
      </c>
      <c r="AH133">
        <v>4</v>
      </c>
      <c r="AI133" s="20">
        <v>11</v>
      </c>
      <c r="AJ133" s="45"/>
      <c r="AK133" s="21" t="s">
        <v>12</v>
      </c>
      <c r="AL133" s="18"/>
      <c r="AQ133" s="20"/>
    </row>
    <row r="134" spans="1:45" x14ac:dyDescent="0.3">
      <c r="A134" s="45"/>
      <c r="B134" s="21" t="s">
        <v>12</v>
      </c>
      <c r="C134" s="18"/>
      <c r="K134" s="20"/>
      <c r="L134" s="45"/>
      <c r="M134" s="21" t="s">
        <v>12</v>
      </c>
      <c r="N134" s="18"/>
      <c r="AI134" s="20"/>
      <c r="AJ134" s="45"/>
      <c r="AK134" s="21" t="s">
        <v>13</v>
      </c>
      <c r="AL134" s="18">
        <v>113</v>
      </c>
      <c r="AM134">
        <v>120</v>
      </c>
      <c r="AN134">
        <v>97</v>
      </c>
      <c r="AO134">
        <v>127</v>
      </c>
      <c r="AP134">
        <v>104</v>
      </c>
      <c r="AQ134" s="20"/>
    </row>
    <row r="135" spans="1:45" x14ac:dyDescent="0.3">
      <c r="A135" s="45"/>
      <c r="B135" s="21" t="s">
        <v>13</v>
      </c>
      <c r="C135" s="18">
        <v>125</v>
      </c>
      <c r="D135">
        <v>108</v>
      </c>
      <c r="E135">
        <v>115</v>
      </c>
      <c r="F135">
        <v>130</v>
      </c>
      <c r="G135">
        <v>109</v>
      </c>
      <c r="H135">
        <v>117</v>
      </c>
      <c r="I135">
        <v>120</v>
      </c>
      <c r="J135">
        <v>123</v>
      </c>
      <c r="K135" s="20">
        <v>138</v>
      </c>
      <c r="L135" s="45"/>
      <c r="M135" s="21" t="s">
        <v>13</v>
      </c>
      <c r="N135" s="18">
        <v>141</v>
      </c>
      <c r="O135">
        <v>149</v>
      </c>
      <c r="P135">
        <v>85</v>
      </c>
      <c r="Q135">
        <v>97</v>
      </c>
      <c r="R135">
        <v>115</v>
      </c>
      <c r="S135">
        <v>155</v>
      </c>
      <c r="T135">
        <v>132</v>
      </c>
      <c r="U135">
        <v>137</v>
      </c>
      <c r="V135">
        <v>131</v>
      </c>
      <c r="W135">
        <v>87</v>
      </c>
      <c r="X135">
        <v>116</v>
      </c>
      <c r="Y135">
        <v>140</v>
      </c>
      <c r="Z135">
        <v>120</v>
      </c>
      <c r="AA135">
        <v>121</v>
      </c>
      <c r="AB135">
        <v>137</v>
      </c>
      <c r="AC135">
        <v>88</v>
      </c>
      <c r="AD135">
        <v>120</v>
      </c>
      <c r="AE135">
        <v>121</v>
      </c>
      <c r="AF135">
        <v>90</v>
      </c>
      <c r="AG135">
        <v>124</v>
      </c>
      <c r="AH135">
        <v>137</v>
      </c>
      <c r="AI135" s="20">
        <v>111</v>
      </c>
      <c r="AJ135" s="45"/>
      <c r="AK135" s="21" t="s">
        <v>14</v>
      </c>
      <c r="AL135" s="27">
        <v>257</v>
      </c>
      <c r="AM135" s="28">
        <v>280</v>
      </c>
      <c r="AN135" s="28">
        <v>280</v>
      </c>
      <c r="AO135" s="28">
        <v>289</v>
      </c>
      <c r="AP135" s="28">
        <v>298</v>
      </c>
      <c r="AQ135" s="29"/>
    </row>
    <row r="136" spans="1:45" ht="15" thickBot="1" x14ac:dyDescent="0.35">
      <c r="A136" s="45"/>
      <c r="B136" s="24" t="s">
        <v>14</v>
      </c>
      <c r="C136" s="27">
        <v>304</v>
      </c>
      <c r="D136" s="28">
        <v>300</v>
      </c>
      <c r="E136" s="28">
        <v>248</v>
      </c>
      <c r="F136" s="28">
        <v>298</v>
      </c>
      <c r="G136" s="28">
        <v>307</v>
      </c>
      <c r="H136" s="28">
        <v>272</v>
      </c>
      <c r="I136" s="28">
        <v>289</v>
      </c>
      <c r="J136" s="28">
        <v>289</v>
      </c>
      <c r="K136" s="29">
        <v>299</v>
      </c>
      <c r="L136" s="45"/>
      <c r="M136" s="21" t="s">
        <v>14</v>
      </c>
      <c r="N136" s="27">
        <v>335</v>
      </c>
      <c r="O136" s="28">
        <v>340</v>
      </c>
      <c r="P136" s="28">
        <v>320</v>
      </c>
      <c r="Q136" s="28">
        <v>280</v>
      </c>
      <c r="R136" s="28">
        <v>250</v>
      </c>
      <c r="S136" s="28">
        <v>340</v>
      </c>
      <c r="T136" s="28">
        <v>290</v>
      </c>
      <c r="U136" s="28">
        <v>303</v>
      </c>
      <c r="V136" s="28">
        <v>306</v>
      </c>
      <c r="W136" s="28">
        <v>305</v>
      </c>
      <c r="X136" s="28">
        <v>289</v>
      </c>
      <c r="Y136" s="28">
        <v>306</v>
      </c>
      <c r="Z136" s="28">
        <v>294</v>
      </c>
      <c r="AA136" s="28">
        <v>292</v>
      </c>
      <c r="AB136" s="28">
        <v>300</v>
      </c>
      <c r="AC136" s="28">
        <v>295</v>
      </c>
      <c r="AD136" s="28">
        <v>302</v>
      </c>
      <c r="AE136" s="28">
        <v>283</v>
      </c>
      <c r="AF136" s="28">
        <v>260</v>
      </c>
      <c r="AG136" s="28">
        <v>320</v>
      </c>
      <c r="AH136" s="28">
        <v>350</v>
      </c>
      <c r="AI136" s="29">
        <v>330</v>
      </c>
      <c r="AJ136" s="30"/>
      <c r="AK136" s="18"/>
      <c r="AQ136" s="20"/>
    </row>
    <row r="137" spans="1:45" x14ac:dyDescent="0.3">
      <c r="A137" s="56">
        <f>A126+1</f>
        <v>46088</v>
      </c>
      <c r="B137" s="8" t="s">
        <v>1</v>
      </c>
      <c r="C137" s="39">
        <v>201</v>
      </c>
      <c r="D137" s="39">
        <f t="shared" ref="D137:H137" si="63">+C137+1</f>
        <v>202</v>
      </c>
      <c r="E137" s="39">
        <f t="shared" si="63"/>
        <v>203</v>
      </c>
      <c r="F137" s="39">
        <f t="shared" si="63"/>
        <v>204</v>
      </c>
      <c r="G137" s="39">
        <f t="shared" si="63"/>
        <v>205</v>
      </c>
      <c r="H137" s="39">
        <f t="shared" si="63"/>
        <v>206</v>
      </c>
      <c r="I137" s="39">
        <v>213</v>
      </c>
      <c r="J137" s="39">
        <f>+I137+1</f>
        <v>214</v>
      </c>
      <c r="K137" s="40">
        <f>+J137+1</f>
        <v>215</v>
      </c>
      <c r="L137" s="56">
        <f>A137</f>
        <v>46088</v>
      </c>
      <c r="M137" s="8" t="s">
        <v>1</v>
      </c>
      <c r="N137" s="39">
        <v>299</v>
      </c>
      <c r="O137" s="39">
        <f t="shared" ref="O137:X137" si="64">+N137+1</f>
        <v>300</v>
      </c>
      <c r="P137" s="39">
        <f t="shared" si="64"/>
        <v>301</v>
      </c>
      <c r="Q137" s="39">
        <f t="shared" si="64"/>
        <v>302</v>
      </c>
      <c r="R137" s="39">
        <f t="shared" si="64"/>
        <v>303</v>
      </c>
      <c r="S137" s="39">
        <f t="shared" si="64"/>
        <v>304</v>
      </c>
      <c r="T137" s="39">
        <f t="shared" si="64"/>
        <v>305</v>
      </c>
      <c r="U137" s="39">
        <f t="shared" si="64"/>
        <v>306</v>
      </c>
      <c r="V137" s="39">
        <f t="shared" si="64"/>
        <v>307</v>
      </c>
      <c r="W137" s="39">
        <f t="shared" si="64"/>
        <v>308</v>
      </c>
      <c r="X137" s="39">
        <f t="shared" si="64"/>
        <v>309</v>
      </c>
      <c r="Y137" s="39">
        <f>+X137+1</f>
        <v>310</v>
      </c>
      <c r="Z137" s="39">
        <f t="shared" ref="Z137:AB137" si="65">+Y137+1</f>
        <v>311</v>
      </c>
      <c r="AA137" s="39">
        <f t="shared" si="65"/>
        <v>312</v>
      </c>
      <c r="AB137" s="39">
        <f t="shared" si="65"/>
        <v>313</v>
      </c>
      <c r="AC137" s="39">
        <f>+AB137+1</f>
        <v>314</v>
      </c>
      <c r="AD137" s="39">
        <f t="shared" ref="AD137:AI137" si="66">+AC137+1</f>
        <v>315</v>
      </c>
      <c r="AE137" s="39">
        <f t="shared" si="66"/>
        <v>316</v>
      </c>
      <c r="AF137" s="39">
        <f t="shared" si="66"/>
        <v>317</v>
      </c>
      <c r="AG137" s="39">
        <f t="shared" si="66"/>
        <v>318</v>
      </c>
      <c r="AH137" s="39">
        <f t="shared" si="66"/>
        <v>319</v>
      </c>
      <c r="AI137" s="40">
        <f t="shared" si="66"/>
        <v>320</v>
      </c>
      <c r="AJ137" s="56">
        <f>L137</f>
        <v>46088</v>
      </c>
      <c r="AK137" s="12" t="s">
        <v>1</v>
      </c>
      <c r="AL137" s="42">
        <v>207</v>
      </c>
      <c r="AM137" s="42">
        <f>+AL137+1</f>
        <v>208</v>
      </c>
      <c r="AN137" s="42">
        <f>+AM137+1</f>
        <v>209</v>
      </c>
      <c r="AO137" s="42">
        <f>+AN137+1</f>
        <v>210</v>
      </c>
      <c r="AP137" s="42">
        <f>+AO137+1</f>
        <v>211</v>
      </c>
      <c r="AQ137" s="40">
        <f>+AP137+1</f>
        <v>212</v>
      </c>
    </row>
    <row r="138" spans="1:45" x14ac:dyDescent="0.3">
      <c r="A138" s="57"/>
      <c r="B138" s="24" t="s">
        <v>2</v>
      </c>
      <c r="C138" s="9">
        <f t="shared" ref="C138:K138" si="67">(C147*100000)/(C148*60*8)</f>
        <v>56.880482456140349</v>
      </c>
      <c r="D138" s="10">
        <f t="shared" si="67"/>
        <v>75.442967884828349</v>
      </c>
      <c r="E138" s="10">
        <f t="shared" si="67"/>
        <v>84.005376344086017</v>
      </c>
      <c r="F138" s="10">
        <f t="shared" si="67"/>
        <v>74.858757062146893</v>
      </c>
      <c r="G138" s="10">
        <f t="shared" si="67"/>
        <v>65.648445873526256</v>
      </c>
      <c r="H138" s="10">
        <f t="shared" si="67"/>
        <v>79.656862745098039</v>
      </c>
      <c r="I138" s="10">
        <f t="shared" si="67"/>
        <v>69.20415224913495</v>
      </c>
      <c r="J138" s="10">
        <f t="shared" si="67"/>
        <v>85.063437139561714</v>
      </c>
      <c r="K138" s="11">
        <f t="shared" si="67"/>
        <v>91.582774049217008</v>
      </c>
      <c r="L138" s="57"/>
      <c r="M138" s="21" t="s">
        <v>2</v>
      </c>
      <c r="N138" s="13">
        <f>(N147*100000)/(N148*60*8)</f>
        <v>85.820895522388057</v>
      </c>
      <c r="O138" s="14">
        <f t="shared" ref="O138:S138" si="68">(O147*100000)/(O148*60*8)</f>
        <v>82.142857142857139</v>
      </c>
      <c r="P138" s="14">
        <f t="shared" si="68"/>
        <v>89.84375</v>
      </c>
      <c r="Q138" s="14">
        <f t="shared" si="68"/>
        <v>71.428571428571431</v>
      </c>
      <c r="R138" s="14">
        <f t="shared" si="68"/>
        <v>86.785714285714292</v>
      </c>
      <c r="S138" s="14">
        <f t="shared" si="68"/>
        <v>91.911764705882348</v>
      </c>
      <c r="T138" s="14">
        <f>(T147*100000)/(T148*60*8)</f>
        <v>91.324200913242009</v>
      </c>
      <c r="U138" s="14">
        <f>(U147*100000)/(U148*60*8)</f>
        <v>93.887061403508767</v>
      </c>
      <c r="V138" s="14">
        <f t="shared" ref="V138:AI138" si="69">(V147*100000)/(V148*60*8)</f>
        <v>74.210239651416117</v>
      </c>
      <c r="W138" s="14">
        <f t="shared" si="69"/>
        <v>68.306010928961754</v>
      </c>
      <c r="X138" s="14">
        <f t="shared" si="69"/>
        <v>71.932681867535294</v>
      </c>
      <c r="Y138" s="14">
        <f t="shared" si="69"/>
        <v>91.911764705882348</v>
      </c>
      <c r="Z138" s="14">
        <f t="shared" si="69"/>
        <v>82.627118644067792</v>
      </c>
      <c r="AA138" s="14">
        <f t="shared" si="69"/>
        <v>85.61643835616438</v>
      </c>
      <c r="AB138" s="14">
        <f t="shared" si="69"/>
        <v>49.504950495049506</v>
      </c>
      <c r="AC138" s="14">
        <f t="shared" si="69"/>
        <v>86.86440677966101</v>
      </c>
      <c r="AD138" s="14">
        <f t="shared" si="69"/>
        <v>85.663377192982452</v>
      </c>
      <c r="AE138" s="14">
        <f t="shared" si="69"/>
        <v>88.975694444444443</v>
      </c>
      <c r="AF138" s="14">
        <f t="shared" si="69"/>
        <v>76.636904761904759</v>
      </c>
      <c r="AG138" s="14">
        <f t="shared" si="69"/>
        <v>77.956989247311824</v>
      </c>
      <c r="AH138" s="14">
        <f t="shared" si="69"/>
        <v>89.201877934272304</v>
      </c>
      <c r="AI138" s="11">
        <f t="shared" si="69"/>
        <v>86.48989898989899</v>
      </c>
      <c r="AJ138" s="57"/>
      <c r="AK138" s="21" t="s">
        <v>2</v>
      </c>
      <c r="AL138" s="9">
        <f>(AL146*100000)/(AL147*60*8)</f>
        <v>43.269230769230766</v>
      </c>
      <c r="AM138" s="10">
        <f t="shared" ref="AM138:AP138" si="70">(AM146*100000)/(AM147*60*8)</f>
        <v>86.30952380952381</v>
      </c>
      <c r="AN138" s="10">
        <f t="shared" si="70"/>
        <v>74.404761904761898</v>
      </c>
      <c r="AO138" s="10">
        <f t="shared" si="70"/>
        <v>73.275862068965523</v>
      </c>
      <c r="AP138" s="10">
        <f t="shared" si="70"/>
        <v>76.901565995525729</v>
      </c>
      <c r="AQ138" s="15"/>
      <c r="AS138">
        <f t="shared" ref="AS138:AS145" si="71">SUM(N139:AI139)</f>
        <v>171</v>
      </c>
    </row>
    <row r="139" spans="1:45" x14ac:dyDescent="0.3">
      <c r="A139" s="57"/>
      <c r="B139" s="21" t="s">
        <v>3</v>
      </c>
      <c r="C139" s="18">
        <v>15</v>
      </c>
      <c r="D139" s="19">
        <v>22</v>
      </c>
      <c r="E139">
        <v>7</v>
      </c>
      <c r="F139">
        <v>5</v>
      </c>
      <c r="G139">
        <v>10</v>
      </c>
      <c r="H139">
        <v>1</v>
      </c>
      <c r="I139">
        <v>3</v>
      </c>
      <c r="J139">
        <v>12</v>
      </c>
      <c r="K139" s="20">
        <v>0</v>
      </c>
      <c r="L139" s="57"/>
      <c r="M139" s="21" t="s">
        <v>3</v>
      </c>
      <c r="N139" s="18">
        <v>5</v>
      </c>
      <c r="O139" s="19">
        <v>35</v>
      </c>
      <c r="P139">
        <v>5</v>
      </c>
      <c r="Q139">
        <v>0</v>
      </c>
      <c r="R139">
        <v>1</v>
      </c>
      <c r="S139" s="20">
        <v>4</v>
      </c>
      <c r="T139">
        <v>3</v>
      </c>
      <c r="U139">
        <v>15</v>
      </c>
      <c r="V139">
        <v>16</v>
      </c>
      <c r="X139">
        <v>13</v>
      </c>
      <c r="Y139">
        <v>2</v>
      </c>
      <c r="Z139">
        <v>8</v>
      </c>
      <c r="AA139" s="19">
        <v>32</v>
      </c>
      <c r="AB139">
        <v>1</v>
      </c>
      <c r="AC139">
        <v>5</v>
      </c>
      <c r="AD139">
        <v>3</v>
      </c>
      <c r="AE139">
        <v>10</v>
      </c>
      <c r="AF139">
        <v>2</v>
      </c>
      <c r="AG139">
        <v>4</v>
      </c>
      <c r="AH139">
        <v>3</v>
      </c>
      <c r="AI139" s="20">
        <v>4</v>
      </c>
      <c r="AJ139" s="57"/>
      <c r="AK139" s="21" t="s">
        <v>3</v>
      </c>
      <c r="AL139" s="18">
        <v>12</v>
      </c>
      <c r="AN139">
        <v>3</v>
      </c>
      <c r="AO139">
        <v>2</v>
      </c>
      <c r="AQ139" s="20"/>
      <c r="AS139">
        <f t="shared" si="71"/>
        <v>0</v>
      </c>
    </row>
    <row r="140" spans="1:45" x14ac:dyDescent="0.3">
      <c r="A140" s="57"/>
      <c r="B140" s="21" t="s">
        <v>4</v>
      </c>
      <c r="C140" s="18"/>
      <c r="K140" s="20"/>
      <c r="L140" s="57"/>
      <c r="M140" s="21" t="s">
        <v>4</v>
      </c>
      <c r="N140" s="18"/>
      <c r="S140" s="20"/>
      <c r="AJ140" s="57"/>
      <c r="AK140" s="21" t="s">
        <v>4</v>
      </c>
      <c r="AL140" s="18"/>
      <c r="AQ140" s="20"/>
      <c r="AS140">
        <f>SUM(N141:AI141)</f>
        <v>145</v>
      </c>
    </row>
    <row r="141" spans="1:45" x14ac:dyDescent="0.3">
      <c r="A141" s="57"/>
      <c r="B141" s="21" t="s">
        <v>5</v>
      </c>
      <c r="C141" s="18">
        <v>2</v>
      </c>
      <c r="D141" s="19">
        <v>21</v>
      </c>
      <c r="E141">
        <v>6</v>
      </c>
      <c r="F141">
        <v>7</v>
      </c>
      <c r="G141">
        <v>7</v>
      </c>
      <c r="H141">
        <v>14</v>
      </c>
      <c r="I141" s="19">
        <v>22</v>
      </c>
      <c r="J141">
        <v>3</v>
      </c>
      <c r="K141" s="20">
        <v>7</v>
      </c>
      <c r="L141" s="57"/>
      <c r="M141" s="21" t="s">
        <v>5</v>
      </c>
      <c r="N141" s="18">
        <v>4</v>
      </c>
      <c r="O141">
        <v>8</v>
      </c>
      <c r="P141">
        <v>2</v>
      </c>
      <c r="Q141" s="19">
        <v>25</v>
      </c>
      <c r="R141">
        <v>0</v>
      </c>
      <c r="S141" s="20">
        <v>1</v>
      </c>
      <c r="T141">
        <v>4</v>
      </c>
      <c r="U141">
        <v>4</v>
      </c>
      <c r="V141">
        <v>3</v>
      </c>
      <c r="X141">
        <v>15</v>
      </c>
      <c r="Y141">
        <v>2</v>
      </c>
      <c r="Z141">
        <v>9</v>
      </c>
      <c r="AA141">
        <v>6</v>
      </c>
      <c r="AB141">
        <v>13</v>
      </c>
      <c r="AC141">
        <v>3</v>
      </c>
      <c r="AD141">
        <v>11</v>
      </c>
      <c r="AE141">
        <v>8</v>
      </c>
      <c r="AF141">
        <v>2</v>
      </c>
      <c r="AG141" s="19">
        <v>22</v>
      </c>
      <c r="AH141">
        <v>1</v>
      </c>
      <c r="AI141" s="20">
        <v>2</v>
      </c>
      <c r="AJ141" s="57"/>
      <c r="AK141" s="21" t="s">
        <v>5</v>
      </c>
      <c r="AL141" s="18">
        <v>3</v>
      </c>
      <c r="AN141">
        <v>2</v>
      </c>
      <c r="AO141">
        <v>4</v>
      </c>
      <c r="AQ141" s="20"/>
      <c r="AS141">
        <f t="shared" si="71"/>
        <v>0</v>
      </c>
    </row>
    <row r="142" spans="1:45" x14ac:dyDescent="0.3">
      <c r="A142" s="57"/>
      <c r="B142" s="21" t="s">
        <v>6</v>
      </c>
      <c r="C142" s="18"/>
      <c r="K142" s="20"/>
      <c r="L142" s="57"/>
      <c r="M142" s="21" t="s">
        <v>6</v>
      </c>
      <c r="N142" s="18"/>
      <c r="S142" s="20"/>
      <c r="AI142" s="20"/>
      <c r="AJ142" s="57"/>
      <c r="AK142" s="21" t="s">
        <v>7</v>
      </c>
      <c r="AL142" s="18">
        <v>6</v>
      </c>
      <c r="AN142">
        <v>6</v>
      </c>
      <c r="AO142">
        <v>6</v>
      </c>
      <c r="AQ142" s="20"/>
      <c r="AS142">
        <f t="shared" si="71"/>
        <v>109</v>
      </c>
    </row>
    <row r="143" spans="1:45" x14ac:dyDescent="0.3">
      <c r="A143" s="57"/>
      <c r="B143" s="21" t="s">
        <v>7</v>
      </c>
      <c r="C143" s="18">
        <v>19</v>
      </c>
      <c r="D143">
        <v>11</v>
      </c>
      <c r="E143">
        <v>3</v>
      </c>
      <c r="F143">
        <v>6</v>
      </c>
      <c r="G143" s="19">
        <v>24</v>
      </c>
      <c r="H143">
        <v>12</v>
      </c>
      <c r="I143">
        <v>17</v>
      </c>
      <c r="J143">
        <v>5</v>
      </c>
      <c r="K143" s="20">
        <v>3</v>
      </c>
      <c r="L143" s="57"/>
      <c r="M143" s="21" t="s">
        <v>7</v>
      </c>
      <c r="N143" s="18">
        <v>3</v>
      </c>
      <c r="O143">
        <v>2</v>
      </c>
      <c r="P143">
        <v>6</v>
      </c>
      <c r="Q143">
        <v>7</v>
      </c>
      <c r="R143">
        <v>2</v>
      </c>
      <c r="S143" s="20">
        <v>5</v>
      </c>
      <c r="T143">
        <v>11</v>
      </c>
      <c r="U143">
        <v>0</v>
      </c>
      <c r="V143">
        <v>16</v>
      </c>
      <c r="X143">
        <v>5</v>
      </c>
      <c r="Y143">
        <v>2</v>
      </c>
      <c r="Z143">
        <v>3</v>
      </c>
      <c r="AA143">
        <v>0</v>
      </c>
      <c r="AB143">
        <v>7</v>
      </c>
      <c r="AC143">
        <v>3</v>
      </c>
      <c r="AD143">
        <v>14</v>
      </c>
      <c r="AE143">
        <v>1</v>
      </c>
      <c r="AF143">
        <v>13</v>
      </c>
      <c r="AG143">
        <v>0</v>
      </c>
      <c r="AH143">
        <v>5</v>
      </c>
      <c r="AI143" s="20">
        <v>4</v>
      </c>
      <c r="AJ143" s="58" t="str">
        <f>+L144</f>
        <v>SA 1T</v>
      </c>
      <c r="AK143" s="21" t="s">
        <v>8</v>
      </c>
      <c r="AL143" s="18"/>
      <c r="AQ143" s="20"/>
      <c r="AS143">
        <f t="shared" si="71"/>
        <v>0</v>
      </c>
    </row>
    <row r="144" spans="1:45" x14ac:dyDescent="0.3">
      <c r="A144" s="58" t="s">
        <v>29</v>
      </c>
      <c r="B144" s="21" t="s">
        <v>10</v>
      </c>
      <c r="C144" s="18"/>
      <c r="K144" s="20"/>
      <c r="L144" s="58" t="str">
        <f>A144</f>
        <v>SA 1T</v>
      </c>
      <c r="M144" s="21" t="s">
        <v>10</v>
      </c>
      <c r="N144" s="18"/>
      <c r="S144" s="20"/>
      <c r="AI144" s="20"/>
      <c r="AJ144" s="58"/>
      <c r="AK144" s="21" t="s">
        <v>11</v>
      </c>
      <c r="AL144" s="18">
        <v>3</v>
      </c>
      <c r="AN144">
        <v>2</v>
      </c>
      <c r="AO144">
        <v>1</v>
      </c>
      <c r="AQ144" s="20"/>
      <c r="AS144">
        <f t="shared" si="71"/>
        <v>112</v>
      </c>
    </row>
    <row r="145" spans="1:45" x14ac:dyDescent="0.3">
      <c r="A145" s="58"/>
      <c r="B145" s="21" t="s">
        <v>11</v>
      </c>
      <c r="C145" s="22">
        <v>27</v>
      </c>
      <c r="D145" s="19">
        <v>23</v>
      </c>
      <c r="E145">
        <v>14</v>
      </c>
      <c r="F145">
        <v>27</v>
      </c>
      <c r="G145">
        <v>8</v>
      </c>
      <c r="H145">
        <v>2</v>
      </c>
      <c r="I145">
        <v>7</v>
      </c>
      <c r="J145">
        <v>0</v>
      </c>
      <c r="K145" s="20">
        <v>3</v>
      </c>
      <c r="L145" s="58"/>
      <c r="M145" s="21" t="s">
        <v>11</v>
      </c>
      <c r="N145" s="18">
        <v>3</v>
      </c>
      <c r="O145">
        <v>7</v>
      </c>
      <c r="P145">
        <v>1</v>
      </c>
      <c r="Q145">
        <v>8</v>
      </c>
      <c r="R145">
        <v>5</v>
      </c>
      <c r="S145" s="20">
        <v>6</v>
      </c>
      <c r="T145">
        <v>4</v>
      </c>
      <c r="U145">
        <v>6</v>
      </c>
      <c r="V145">
        <v>10</v>
      </c>
      <c r="X145">
        <v>6</v>
      </c>
      <c r="Y145">
        <v>3</v>
      </c>
      <c r="Z145">
        <v>4</v>
      </c>
      <c r="AA145">
        <v>18</v>
      </c>
      <c r="AB145">
        <v>5</v>
      </c>
      <c r="AC145">
        <v>3</v>
      </c>
      <c r="AD145">
        <v>6</v>
      </c>
      <c r="AE145">
        <v>3</v>
      </c>
      <c r="AF145">
        <v>1</v>
      </c>
      <c r="AG145">
        <v>3</v>
      </c>
      <c r="AH145">
        <v>4</v>
      </c>
      <c r="AI145" s="20">
        <v>6</v>
      </c>
      <c r="AJ145" s="58"/>
      <c r="AK145" s="21" t="s">
        <v>12</v>
      </c>
      <c r="AL145" s="18"/>
      <c r="AQ145" s="20"/>
      <c r="AS145">
        <f t="shared" si="71"/>
        <v>0</v>
      </c>
    </row>
    <row r="146" spans="1:45" x14ac:dyDescent="0.3">
      <c r="A146" s="58"/>
      <c r="B146" s="21" t="s">
        <v>12</v>
      </c>
      <c r="C146" s="18"/>
      <c r="K146" s="20"/>
      <c r="L146" s="58"/>
      <c r="M146" s="21" t="s">
        <v>12</v>
      </c>
      <c r="N146" s="18"/>
      <c r="AI146" s="20"/>
      <c r="AJ146" s="58"/>
      <c r="AK146" s="21" t="s">
        <v>13</v>
      </c>
      <c r="AL146" s="18">
        <v>54</v>
      </c>
      <c r="AM146">
        <v>116</v>
      </c>
      <c r="AN146">
        <v>100</v>
      </c>
      <c r="AO146">
        <v>102</v>
      </c>
      <c r="AP146">
        <v>110</v>
      </c>
      <c r="AQ146" s="20"/>
    </row>
    <row r="147" spans="1:45" x14ac:dyDescent="0.3">
      <c r="A147" s="58"/>
      <c r="B147" s="21" t="s">
        <v>13</v>
      </c>
      <c r="C147" s="18">
        <v>83</v>
      </c>
      <c r="D147">
        <v>109</v>
      </c>
      <c r="E147">
        <v>100</v>
      </c>
      <c r="F147">
        <v>106</v>
      </c>
      <c r="G147">
        <v>98</v>
      </c>
      <c r="H147">
        <v>104</v>
      </c>
      <c r="I147">
        <v>96</v>
      </c>
      <c r="J147">
        <v>118</v>
      </c>
      <c r="K147" s="20">
        <v>131</v>
      </c>
      <c r="L147" s="58"/>
      <c r="M147" s="21" t="s">
        <v>13</v>
      </c>
      <c r="N147">
        <v>138</v>
      </c>
      <c r="O147">
        <v>138</v>
      </c>
      <c r="P147">
        <v>138</v>
      </c>
      <c r="Q147">
        <v>96</v>
      </c>
      <c r="R147">
        <v>145.80000000000001</v>
      </c>
      <c r="S147">
        <v>150</v>
      </c>
      <c r="T147">
        <v>128</v>
      </c>
      <c r="U147">
        <v>137</v>
      </c>
      <c r="V147">
        <v>109</v>
      </c>
      <c r="W147">
        <v>100</v>
      </c>
      <c r="X147">
        <v>106</v>
      </c>
      <c r="Y147">
        <v>135</v>
      </c>
      <c r="Z147">
        <v>117</v>
      </c>
      <c r="AA147">
        <v>120</v>
      </c>
      <c r="AB147">
        <v>72</v>
      </c>
      <c r="AC147">
        <v>123</v>
      </c>
      <c r="AD147">
        <v>125</v>
      </c>
      <c r="AE147">
        <v>123</v>
      </c>
      <c r="AF147">
        <v>103</v>
      </c>
      <c r="AG147">
        <v>116</v>
      </c>
      <c r="AH147">
        <v>152</v>
      </c>
      <c r="AI147" s="20">
        <v>137</v>
      </c>
      <c r="AJ147" s="58"/>
      <c r="AK147" s="21" t="s">
        <v>14</v>
      </c>
      <c r="AL147" s="27">
        <v>260</v>
      </c>
      <c r="AM147" s="28">
        <v>280</v>
      </c>
      <c r="AN147" s="28">
        <v>280</v>
      </c>
      <c r="AO147" s="28">
        <v>290</v>
      </c>
      <c r="AP147" s="28">
        <v>298</v>
      </c>
      <c r="AQ147" s="29"/>
    </row>
    <row r="148" spans="1:45" x14ac:dyDescent="0.3">
      <c r="A148" s="58"/>
      <c r="B148" s="24" t="s">
        <v>14</v>
      </c>
      <c r="C148" s="27">
        <v>304</v>
      </c>
      <c r="D148" s="28">
        <v>301</v>
      </c>
      <c r="E148" s="28">
        <v>248</v>
      </c>
      <c r="F148" s="28">
        <v>295</v>
      </c>
      <c r="G148" s="28">
        <v>311</v>
      </c>
      <c r="H148" s="28">
        <v>272</v>
      </c>
      <c r="I148" s="28">
        <v>289</v>
      </c>
      <c r="J148" s="28">
        <v>289</v>
      </c>
      <c r="K148" s="29">
        <v>298</v>
      </c>
      <c r="L148" s="58"/>
      <c r="M148" s="21" t="s">
        <v>14</v>
      </c>
      <c r="N148" s="27">
        <v>335</v>
      </c>
      <c r="O148" s="28">
        <v>350</v>
      </c>
      <c r="P148" s="28">
        <v>320</v>
      </c>
      <c r="Q148" s="28">
        <v>280</v>
      </c>
      <c r="R148" s="28">
        <v>350</v>
      </c>
      <c r="S148" s="28">
        <v>340</v>
      </c>
      <c r="T148" s="28">
        <v>292</v>
      </c>
      <c r="U148" s="28">
        <v>304</v>
      </c>
      <c r="V148" s="28">
        <v>306</v>
      </c>
      <c r="W148" s="28">
        <v>305</v>
      </c>
      <c r="X148" s="28">
        <v>307</v>
      </c>
      <c r="Y148" s="28">
        <v>306</v>
      </c>
      <c r="Z148" s="28">
        <v>295</v>
      </c>
      <c r="AA148" s="28">
        <v>292</v>
      </c>
      <c r="AB148" s="28">
        <v>303</v>
      </c>
      <c r="AC148" s="28">
        <v>295</v>
      </c>
      <c r="AD148" s="28">
        <v>304</v>
      </c>
      <c r="AE148" s="28">
        <v>288</v>
      </c>
      <c r="AF148" s="28">
        <v>280</v>
      </c>
      <c r="AG148" s="28">
        <v>310</v>
      </c>
      <c r="AH148" s="28">
        <v>355</v>
      </c>
      <c r="AI148" s="29">
        <v>330</v>
      </c>
      <c r="AJ148" s="30"/>
      <c r="AK148" s="18"/>
      <c r="AQ148" s="20"/>
    </row>
    <row r="149" spans="1:45" x14ac:dyDescent="0.3">
      <c r="A149" s="57">
        <f>+A137</f>
        <v>46088</v>
      </c>
      <c r="B149" s="24" t="s">
        <v>2</v>
      </c>
      <c r="C149" s="9">
        <f t="shared" ref="C149:K149" si="72">(C158*100000)/(C159*60*8)</f>
        <v>64.63146314631463</v>
      </c>
      <c r="D149" s="10">
        <f t="shared" si="72"/>
        <v>74.55406911928651</v>
      </c>
      <c r="E149" s="10">
        <f t="shared" si="72"/>
        <v>81.48521505376344</v>
      </c>
      <c r="F149" s="10">
        <f t="shared" si="72"/>
        <v>59.121621621621621</v>
      </c>
      <c r="G149" s="10">
        <f t="shared" si="72"/>
        <v>72.815533980582529</v>
      </c>
      <c r="H149" s="10">
        <f t="shared" si="72"/>
        <v>82.720588235294116</v>
      </c>
      <c r="I149" s="10">
        <f t="shared" si="72"/>
        <v>86.505190311418687</v>
      </c>
      <c r="J149" s="10">
        <f t="shared" si="72"/>
        <v>75.954861111111114</v>
      </c>
      <c r="K149" s="11">
        <f t="shared" si="72"/>
        <v>93.680089485458609</v>
      </c>
      <c r="L149" s="57">
        <f>+L137</f>
        <v>46088</v>
      </c>
      <c r="M149" s="21" t="s">
        <v>2</v>
      </c>
      <c r="N149" s="13">
        <f>(N158*100000)/(N159*60*8)</f>
        <v>92.039800995024876</v>
      </c>
      <c r="O149" s="14">
        <f t="shared" ref="O149:AI149" si="73">(O158*100000)/(O159*60*8)</f>
        <v>85.171568627450981</v>
      </c>
      <c r="P149" s="14">
        <f t="shared" si="73"/>
        <v>63.151041666666664</v>
      </c>
      <c r="Q149" s="14">
        <f t="shared" si="73"/>
        <v>57.76220145379024</v>
      </c>
      <c r="R149" s="14">
        <f t="shared" si="73"/>
        <v>91.666666666666671</v>
      </c>
      <c r="S149" s="14">
        <f t="shared" si="73"/>
        <v>88.848039215686271</v>
      </c>
      <c r="T149" s="14">
        <f t="shared" si="73"/>
        <v>65.058479532163744</v>
      </c>
      <c r="U149" s="14">
        <f t="shared" si="73"/>
        <v>86.748633879781423</v>
      </c>
      <c r="V149" s="14">
        <f t="shared" si="73"/>
        <v>75.819672131147541</v>
      </c>
      <c r="W149" s="52" t="s">
        <v>30</v>
      </c>
      <c r="X149" s="14">
        <f t="shared" si="73"/>
        <v>83.188657407407405</v>
      </c>
      <c r="Y149" s="59" t="s">
        <v>31</v>
      </c>
      <c r="Z149" s="14">
        <f t="shared" si="73"/>
        <v>75.369738339021609</v>
      </c>
      <c r="AA149" s="14">
        <f t="shared" si="73"/>
        <v>68.493150684931507</v>
      </c>
      <c r="AB149" s="14">
        <f t="shared" si="73"/>
        <v>88.888888888888886</v>
      </c>
      <c r="AC149" s="14">
        <f t="shared" si="73"/>
        <v>88.276836158192097</v>
      </c>
      <c r="AD149" s="14">
        <f t="shared" si="73"/>
        <v>44.004400440044002</v>
      </c>
      <c r="AE149" s="14">
        <f t="shared" si="73"/>
        <v>91.933570581257413</v>
      </c>
      <c r="AF149" s="14">
        <f t="shared" si="73"/>
        <v>84.134615384615387</v>
      </c>
      <c r="AG149" s="14">
        <f t="shared" si="73"/>
        <v>77.564102564102569</v>
      </c>
      <c r="AH149" s="14">
        <f t="shared" si="73"/>
        <v>71.009389671361504</v>
      </c>
      <c r="AI149" s="11">
        <f t="shared" si="73"/>
        <v>68.055555555555557</v>
      </c>
      <c r="AJ149" s="57">
        <f>L149</f>
        <v>46088</v>
      </c>
      <c r="AK149" s="21" t="s">
        <v>2</v>
      </c>
      <c r="AL149" s="9">
        <f>(AL157*100000)/(AL158*60*8)</f>
        <v>92.948717948717942</v>
      </c>
      <c r="AM149" s="10">
        <f t="shared" ref="AM149:AO149" si="74">(AM157*100000)/(AM158*60*8)</f>
        <v>93.75</v>
      </c>
      <c r="AN149" s="10">
        <f t="shared" si="74"/>
        <v>86.30952380952381</v>
      </c>
      <c r="AO149" s="10">
        <f t="shared" si="74"/>
        <v>90.422453703703709</v>
      </c>
      <c r="AP149" s="60" t="s">
        <v>25</v>
      </c>
      <c r="AQ149" s="15"/>
      <c r="AS149">
        <f t="shared" ref="AS149:AS155" si="75">SUM(N150:AI150)</f>
        <v>152</v>
      </c>
    </row>
    <row r="150" spans="1:45" x14ac:dyDescent="0.3">
      <c r="A150" s="57"/>
      <c r="B150" s="21" t="s">
        <v>3</v>
      </c>
      <c r="C150" s="18"/>
      <c r="D150">
        <v>5</v>
      </c>
      <c r="E150">
        <v>10</v>
      </c>
      <c r="F150">
        <v>5</v>
      </c>
      <c r="G150" s="19">
        <v>25</v>
      </c>
      <c r="H150">
        <v>11</v>
      </c>
      <c r="I150">
        <v>2</v>
      </c>
      <c r="K150" s="20">
        <v>4</v>
      </c>
      <c r="L150" s="57"/>
      <c r="M150" s="21" t="s">
        <v>3</v>
      </c>
      <c r="N150" s="18">
        <v>1</v>
      </c>
      <c r="P150">
        <v>4</v>
      </c>
      <c r="Q150">
        <v>3</v>
      </c>
      <c r="R150">
        <v>0</v>
      </c>
      <c r="S150">
        <v>1</v>
      </c>
      <c r="T150">
        <v>4</v>
      </c>
      <c r="U150">
        <v>10</v>
      </c>
      <c r="V150" s="19">
        <v>49</v>
      </c>
      <c r="W150" s="53"/>
      <c r="X150">
        <v>8</v>
      </c>
      <c r="Y150" s="61"/>
      <c r="Z150">
        <v>6</v>
      </c>
      <c r="AA150" s="19">
        <v>36</v>
      </c>
      <c r="AB150">
        <v>2</v>
      </c>
      <c r="AC150">
        <v>4</v>
      </c>
      <c r="AD150">
        <v>3</v>
      </c>
      <c r="AE150">
        <v>8</v>
      </c>
      <c r="AF150">
        <v>0</v>
      </c>
      <c r="AG150">
        <v>3</v>
      </c>
      <c r="AH150">
        <v>0</v>
      </c>
      <c r="AI150" s="20">
        <v>10</v>
      </c>
      <c r="AJ150" s="57"/>
      <c r="AK150" s="21" t="s">
        <v>3</v>
      </c>
      <c r="AL150" s="18">
        <v>4</v>
      </c>
      <c r="AN150">
        <v>7</v>
      </c>
      <c r="AO150">
        <v>3</v>
      </c>
      <c r="AP150" s="62"/>
      <c r="AQ150" s="20"/>
      <c r="AS150">
        <f t="shared" si="75"/>
        <v>0</v>
      </c>
    </row>
    <row r="151" spans="1:45" x14ac:dyDescent="0.3">
      <c r="A151" s="57"/>
      <c r="B151" s="21" t="s">
        <v>4</v>
      </c>
      <c r="K151" s="20"/>
      <c r="L151" s="57"/>
      <c r="M151" s="21" t="s">
        <v>4</v>
      </c>
      <c r="N151" s="18"/>
      <c r="W151" s="53"/>
      <c r="Y151" s="61"/>
      <c r="AJ151" s="57"/>
      <c r="AK151" s="21" t="s">
        <v>4</v>
      </c>
      <c r="AL151" s="18"/>
      <c r="AP151" s="62"/>
      <c r="AQ151" s="20"/>
      <c r="AS151">
        <f t="shared" si="75"/>
        <v>119</v>
      </c>
    </row>
    <row r="152" spans="1:45" x14ac:dyDescent="0.3">
      <c r="A152" s="57"/>
      <c r="B152" s="21" t="s">
        <v>5</v>
      </c>
      <c r="C152" s="18"/>
      <c r="D152" s="19">
        <v>20</v>
      </c>
      <c r="E152">
        <v>8</v>
      </c>
      <c r="F152">
        <v>6</v>
      </c>
      <c r="G152">
        <v>4</v>
      </c>
      <c r="H152">
        <v>5</v>
      </c>
      <c r="I152" s="19">
        <v>20</v>
      </c>
      <c r="K152" s="20">
        <v>1</v>
      </c>
      <c r="L152" s="57"/>
      <c r="M152" s="21" t="s">
        <v>5</v>
      </c>
      <c r="N152" s="18">
        <v>1</v>
      </c>
      <c r="O152">
        <v>1</v>
      </c>
      <c r="P152">
        <v>6</v>
      </c>
      <c r="Q152">
        <v>13</v>
      </c>
      <c r="R152">
        <v>3</v>
      </c>
      <c r="S152">
        <v>1</v>
      </c>
      <c r="T152">
        <v>4</v>
      </c>
      <c r="U152">
        <v>3</v>
      </c>
      <c r="V152">
        <v>1</v>
      </c>
      <c r="W152" s="53"/>
      <c r="X152">
        <v>7</v>
      </c>
      <c r="Y152" s="61"/>
      <c r="Z152">
        <v>14</v>
      </c>
      <c r="AA152">
        <v>8</v>
      </c>
      <c r="AB152">
        <v>11</v>
      </c>
      <c r="AC152">
        <v>3</v>
      </c>
      <c r="AD152">
        <v>9</v>
      </c>
      <c r="AE152">
        <v>8</v>
      </c>
      <c r="AF152">
        <v>2</v>
      </c>
      <c r="AG152">
        <v>11</v>
      </c>
      <c r="AH152">
        <v>8</v>
      </c>
      <c r="AI152" s="20">
        <v>5</v>
      </c>
      <c r="AJ152" s="57"/>
      <c r="AK152" s="21" t="s">
        <v>5</v>
      </c>
      <c r="AL152" s="18">
        <v>6</v>
      </c>
      <c r="AN152">
        <v>3</v>
      </c>
      <c r="AO152">
        <v>1</v>
      </c>
      <c r="AP152" s="62"/>
      <c r="AQ152" s="20"/>
      <c r="AS152">
        <f t="shared" si="75"/>
        <v>0</v>
      </c>
    </row>
    <row r="153" spans="1:45" x14ac:dyDescent="0.3">
      <c r="A153" s="57"/>
      <c r="B153" s="21" t="s">
        <v>6</v>
      </c>
      <c r="C153" s="18"/>
      <c r="K153" s="20"/>
      <c r="L153" s="57"/>
      <c r="M153" s="21" t="s">
        <v>6</v>
      </c>
      <c r="N153" s="18"/>
      <c r="W153" s="53"/>
      <c r="Y153" s="61"/>
      <c r="AI153" s="20"/>
      <c r="AJ153" s="57"/>
      <c r="AK153" s="21" t="s">
        <v>7</v>
      </c>
      <c r="AL153" s="18">
        <v>5</v>
      </c>
      <c r="AN153">
        <v>3</v>
      </c>
      <c r="AO153">
        <v>4</v>
      </c>
      <c r="AP153" s="62"/>
      <c r="AQ153" s="20"/>
      <c r="AS153">
        <f t="shared" si="75"/>
        <v>145</v>
      </c>
    </row>
    <row r="154" spans="1:45" x14ac:dyDescent="0.3">
      <c r="A154" s="57"/>
      <c r="B154" s="21" t="s">
        <v>7</v>
      </c>
      <c r="C154" s="18"/>
      <c r="D154">
        <v>6</v>
      </c>
      <c r="E154">
        <v>3</v>
      </c>
      <c r="F154">
        <v>15</v>
      </c>
      <c r="G154">
        <v>15</v>
      </c>
      <c r="H154">
        <v>6</v>
      </c>
      <c r="I154" s="19">
        <v>24</v>
      </c>
      <c r="K154" s="20">
        <v>5</v>
      </c>
      <c r="L154" s="57"/>
      <c r="M154" s="21" t="s">
        <v>7</v>
      </c>
      <c r="N154" s="18">
        <v>2</v>
      </c>
      <c r="O154">
        <v>1</v>
      </c>
      <c r="P154">
        <v>1</v>
      </c>
      <c r="Q154">
        <v>5</v>
      </c>
      <c r="R154">
        <v>11</v>
      </c>
      <c r="S154">
        <v>11</v>
      </c>
      <c r="T154">
        <v>10</v>
      </c>
      <c r="U154">
        <v>4</v>
      </c>
      <c r="V154">
        <v>9</v>
      </c>
      <c r="W154" s="53"/>
      <c r="X154">
        <v>8</v>
      </c>
      <c r="Y154" s="61"/>
      <c r="Z154" s="19">
        <v>29</v>
      </c>
      <c r="AA154">
        <v>0</v>
      </c>
      <c r="AB154">
        <v>5</v>
      </c>
      <c r="AC154">
        <v>7</v>
      </c>
      <c r="AD154">
        <v>13</v>
      </c>
      <c r="AE154">
        <v>0</v>
      </c>
      <c r="AF154">
        <v>14</v>
      </c>
      <c r="AG154">
        <v>2</v>
      </c>
      <c r="AH154">
        <v>6</v>
      </c>
      <c r="AI154" s="20">
        <v>7</v>
      </c>
      <c r="AJ154" s="57"/>
      <c r="AK154" s="21" t="s">
        <v>8</v>
      </c>
      <c r="AL154" s="18"/>
      <c r="AP154" s="62"/>
      <c r="AQ154" s="20"/>
      <c r="AS154">
        <f t="shared" si="75"/>
        <v>0</v>
      </c>
    </row>
    <row r="155" spans="1:45" x14ac:dyDescent="0.3">
      <c r="A155" s="58" t="s">
        <v>32</v>
      </c>
      <c r="B155" s="21" t="s">
        <v>10</v>
      </c>
      <c r="C155" s="18"/>
      <c r="K155" s="20"/>
      <c r="L155" s="58" t="str">
        <f>A155</f>
        <v>SA 2T</v>
      </c>
      <c r="M155" s="21" t="s">
        <v>10</v>
      </c>
      <c r="N155" s="18"/>
      <c r="W155" s="53"/>
      <c r="Y155" s="61"/>
      <c r="AI155" s="20"/>
      <c r="AJ155" s="58" t="str">
        <f>+L155</f>
        <v>SA 2T</v>
      </c>
      <c r="AK155" s="21" t="s">
        <v>11</v>
      </c>
      <c r="AL155" s="18">
        <v>3</v>
      </c>
      <c r="AN155">
        <v>1</v>
      </c>
      <c r="AO155">
        <v>2</v>
      </c>
      <c r="AP155" s="62"/>
      <c r="AQ155" s="20"/>
      <c r="AS155">
        <f t="shared" si="75"/>
        <v>107</v>
      </c>
    </row>
    <row r="156" spans="1:45" x14ac:dyDescent="0.3">
      <c r="A156" s="58"/>
      <c r="B156" s="21" t="s">
        <v>11</v>
      </c>
      <c r="C156" s="18"/>
      <c r="D156">
        <v>7</v>
      </c>
      <c r="E156">
        <v>12</v>
      </c>
      <c r="F156">
        <v>9</v>
      </c>
      <c r="G156">
        <v>5</v>
      </c>
      <c r="H156">
        <v>14</v>
      </c>
      <c r="I156">
        <v>11</v>
      </c>
      <c r="K156" s="20">
        <v>6</v>
      </c>
      <c r="L156" s="58"/>
      <c r="M156" s="21" t="s">
        <v>11</v>
      </c>
      <c r="N156" s="18">
        <v>0</v>
      </c>
      <c r="P156">
        <v>10</v>
      </c>
      <c r="Q156">
        <v>7</v>
      </c>
      <c r="R156">
        <v>5</v>
      </c>
      <c r="S156">
        <v>2</v>
      </c>
      <c r="T156">
        <v>11</v>
      </c>
      <c r="U156">
        <v>6</v>
      </c>
      <c r="V156">
        <v>13</v>
      </c>
      <c r="W156" s="53"/>
      <c r="X156">
        <v>3</v>
      </c>
      <c r="Y156" s="61"/>
      <c r="Z156">
        <v>4</v>
      </c>
      <c r="AA156">
        <v>7</v>
      </c>
      <c r="AB156">
        <v>3</v>
      </c>
      <c r="AC156">
        <v>3</v>
      </c>
      <c r="AD156">
        <v>8</v>
      </c>
      <c r="AE156">
        <v>3</v>
      </c>
      <c r="AF156">
        <v>1</v>
      </c>
      <c r="AG156">
        <v>4</v>
      </c>
      <c r="AH156">
        <v>6</v>
      </c>
      <c r="AI156" s="20">
        <v>11</v>
      </c>
      <c r="AJ156" s="58"/>
      <c r="AK156" s="21" t="s">
        <v>12</v>
      </c>
      <c r="AL156" s="18"/>
      <c r="AP156" s="62"/>
      <c r="AQ156" s="20"/>
    </row>
    <row r="157" spans="1:45" x14ac:dyDescent="0.3">
      <c r="A157" s="58"/>
      <c r="B157" s="21" t="s">
        <v>12</v>
      </c>
      <c r="C157" s="18"/>
      <c r="K157" s="20"/>
      <c r="L157" s="58"/>
      <c r="M157" s="21" t="s">
        <v>12</v>
      </c>
      <c r="N157" s="18"/>
      <c r="W157" s="53"/>
      <c r="Y157" s="61"/>
      <c r="AI157" s="20"/>
      <c r="AJ157" s="58"/>
      <c r="AK157" s="21" t="s">
        <v>13</v>
      </c>
      <c r="AL157" s="18">
        <v>116</v>
      </c>
      <c r="AM157">
        <v>126</v>
      </c>
      <c r="AN157">
        <v>116</v>
      </c>
      <c r="AO157">
        <v>125</v>
      </c>
      <c r="AP157" s="62"/>
      <c r="AQ157" s="20"/>
    </row>
    <row r="158" spans="1:45" x14ac:dyDescent="0.3">
      <c r="A158" s="58"/>
      <c r="B158" s="21" t="s">
        <v>13</v>
      </c>
      <c r="C158" s="18">
        <v>94</v>
      </c>
      <c r="D158">
        <v>107</v>
      </c>
      <c r="E158">
        <v>97</v>
      </c>
      <c r="F158">
        <v>84</v>
      </c>
      <c r="G158">
        <v>108</v>
      </c>
      <c r="H158">
        <v>108</v>
      </c>
      <c r="I158">
        <v>120</v>
      </c>
      <c r="J158">
        <v>105</v>
      </c>
      <c r="K158" s="20">
        <v>134</v>
      </c>
      <c r="L158" s="58"/>
      <c r="M158" s="21" t="s">
        <v>13</v>
      </c>
      <c r="N158" s="18">
        <v>148</v>
      </c>
      <c r="O158">
        <v>139</v>
      </c>
      <c r="P158">
        <v>97</v>
      </c>
      <c r="Q158">
        <v>89</v>
      </c>
      <c r="R158">
        <v>154</v>
      </c>
      <c r="S158">
        <v>145</v>
      </c>
      <c r="T158">
        <v>89</v>
      </c>
      <c r="U158">
        <v>127</v>
      </c>
      <c r="V158">
        <v>111</v>
      </c>
      <c r="W158" s="53"/>
      <c r="X158">
        <v>115</v>
      </c>
      <c r="Y158" s="61"/>
      <c r="Z158">
        <v>106</v>
      </c>
      <c r="AA158">
        <v>96</v>
      </c>
      <c r="AB158">
        <v>128</v>
      </c>
      <c r="AC158">
        <v>125</v>
      </c>
      <c r="AD158">
        <v>64</v>
      </c>
      <c r="AE158">
        <v>124</v>
      </c>
      <c r="AF158">
        <v>105</v>
      </c>
      <c r="AG158">
        <v>121</v>
      </c>
      <c r="AH158">
        <v>121</v>
      </c>
      <c r="AI158" s="20">
        <v>98</v>
      </c>
      <c r="AJ158" s="58"/>
      <c r="AK158" s="21" t="s">
        <v>14</v>
      </c>
      <c r="AL158" s="27">
        <v>260</v>
      </c>
      <c r="AM158" s="28">
        <v>280</v>
      </c>
      <c r="AN158" s="28">
        <v>280</v>
      </c>
      <c r="AO158" s="28">
        <v>288</v>
      </c>
      <c r="AP158" s="63"/>
      <c r="AQ158" s="29"/>
    </row>
    <row r="159" spans="1:45" x14ac:dyDescent="0.3">
      <c r="A159" s="58"/>
      <c r="B159" s="24" t="s">
        <v>14</v>
      </c>
      <c r="C159" s="27">
        <v>303</v>
      </c>
      <c r="D159" s="28">
        <v>299</v>
      </c>
      <c r="E159" s="28">
        <v>248</v>
      </c>
      <c r="F159" s="28">
        <v>296</v>
      </c>
      <c r="G159" s="28">
        <v>309</v>
      </c>
      <c r="H159" s="28">
        <v>272</v>
      </c>
      <c r="I159" s="28">
        <v>289</v>
      </c>
      <c r="J159" s="28">
        <v>288</v>
      </c>
      <c r="K159" s="29">
        <v>298</v>
      </c>
      <c r="L159" s="58"/>
      <c r="M159" s="21" t="s">
        <v>14</v>
      </c>
      <c r="N159" s="27">
        <v>335</v>
      </c>
      <c r="O159" s="28">
        <v>340</v>
      </c>
      <c r="P159" s="28">
        <v>320</v>
      </c>
      <c r="Q159" s="28">
        <v>321</v>
      </c>
      <c r="R159" s="28">
        <v>350</v>
      </c>
      <c r="S159" s="28">
        <v>340</v>
      </c>
      <c r="T159" s="28">
        <v>285</v>
      </c>
      <c r="U159" s="28">
        <v>305</v>
      </c>
      <c r="V159" s="28">
        <v>305</v>
      </c>
      <c r="W159" s="55"/>
      <c r="X159" s="28">
        <v>288</v>
      </c>
      <c r="Y159" s="64"/>
      <c r="Z159" s="28">
        <v>293</v>
      </c>
      <c r="AA159" s="28">
        <v>292</v>
      </c>
      <c r="AB159" s="28">
        <v>300</v>
      </c>
      <c r="AC159" s="28">
        <v>295</v>
      </c>
      <c r="AD159" s="28">
        <v>303</v>
      </c>
      <c r="AE159" s="28">
        <v>281</v>
      </c>
      <c r="AF159" s="28">
        <v>260</v>
      </c>
      <c r="AG159" s="28">
        <v>325</v>
      </c>
      <c r="AH159" s="28">
        <v>355</v>
      </c>
      <c r="AI159" s="29">
        <v>300</v>
      </c>
      <c r="AJ159" s="30"/>
      <c r="AK159" s="18"/>
      <c r="AQ159" s="20"/>
    </row>
    <row r="160" spans="1:45" x14ac:dyDescent="0.3">
      <c r="A160" s="57">
        <f>+A149</f>
        <v>46088</v>
      </c>
      <c r="B160" s="24" t="s">
        <v>2</v>
      </c>
      <c r="C160" s="9">
        <f t="shared" ref="C160:K160" si="76">(C169*100000)/(C170*60*8)</f>
        <v>93.201754385964918</v>
      </c>
      <c r="D160" s="10">
        <f t="shared" si="76"/>
        <v>67.275747508305642</v>
      </c>
      <c r="E160" s="10">
        <f t="shared" si="76"/>
        <v>83.165322580645167</v>
      </c>
      <c r="F160" s="10">
        <f t="shared" si="76"/>
        <v>91.101694915254242</v>
      </c>
      <c r="G160" s="10">
        <f t="shared" si="76"/>
        <v>87.084673097534832</v>
      </c>
      <c r="H160" s="10">
        <f t="shared" si="76"/>
        <v>86.550245098039213</v>
      </c>
      <c r="I160" s="10">
        <f t="shared" si="76"/>
        <v>69.925028835063443</v>
      </c>
      <c r="J160" s="10">
        <f t="shared" si="76"/>
        <v>86.505190311418687</v>
      </c>
      <c r="K160" s="11">
        <f t="shared" si="76"/>
        <v>94.37919463087249</v>
      </c>
      <c r="L160" s="57">
        <f>+L149</f>
        <v>46088</v>
      </c>
      <c r="M160" s="21" t="s">
        <v>2</v>
      </c>
      <c r="N160" s="13">
        <f>(N169*100000)/(N170*60*8)</f>
        <v>91.417910447761187</v>
      </c>
      <c r="O160" s="14">
        <f t="shared" ref="O160:AI160" si="77">(O169*100000)/(O170*60*8)</f>
        <v>75</v>
      </c>
      <c r="P160" s="14">
        <f t="shared" si="77"/>
        <v>84.635416666666671</v>
      </c>
      <c r="Q160" s="14">
        <f t="shared" si="77"/>
        <v>95.238095238095241</v>
      </c>
      <c r="R160" s="14">
        <f t="shared" si="77"/>
        <v>71.428571428571431</v>
      </c>
      <c r="S160" s="14">
        <f t="shared" si="77"/>
        <v>87.622549019607845</v>
      </c>
      <c r="T160" s="14">
        <f t="shared" si="77"/>
        <v>48.515981735159819</v>
      </c>
      <c r="U160" s="14">
        <f t="shared" si="77"/>
        <v>79.495614035087726</v>
      </c>
      <c r="V160" s="14">
        <f t="shared" si="77"/>
        <v>86.465141612200441</v>
      </c>
      <c r="W160" s="52" t="s">
        <v>30</v>
      </c>
      <c r="X160" s="14">
        <f t="shared" si="77"/>
        <v>69.218241042345284</v>
      </c>
      <c r="Y160" s="14">
        <f t="shared" si="77"/>
        <v>90.550108932461868</v>
      </c>
      <c r="Z160" s="14">
        <f t="shared" si="77"/>
        <v>80.508474576271183</v>
      </c>
      <c r="AA160" s="14">
        <f t="shared" si="77"/>
        <v>80.265410958904113</v>
      </c>
      <c r="AB160" s="14">
        <f t="shared" si="77"/>
        <v>84.570957095709574</v>
      </c>
      <c r="AC160" s="14">
        <f t="shared" si="77"/>
        <v>95.33898305084746</v>
      </c>
      <c r="AD160" s="14">
        <f t="shared" si="77"/>
        <v>70.586622807017548</v>
      </c>
      <c r="AE160" s="14">
        <f t="shared" si="77"/>
        <v>73.061342592592595</v>
      </c>
      <c r="AF160" s="14">
        <f t="shared" si="77"/>
        <v>78.125</v>
      </c>
      <c r="AG160" s="14">
        <f t="shared" si="77"/>
        <v>81.317204301075265</v>
      </c>
      <c r="AH160" s="14">
        <f t="shared" si="77"/>
        <v>88.028169014084511</v>
      </c>
      <c r="AI160" s="11">
        <f t="shared" si="77"/>
        <v>61.868686868686872</v>
      </c>
      <c r="AJ160" s="57">
        <f>+AJ149</f>
        <v>46088</v>
      </c>
      <c r="AK160" s="21" t="s">
        <v>2</v>
      </c>
      <c r="AL160" s="9">
        <f>(AL168*100000)/(AL169*60*8)</f>
        <v>96.15384615384616</v>
      </c>
      <c r="AM160" s="10">
        <f t="shared" ref="AM160:AP160" si="78">(AM168*100000)/(AM169*60*8)</f>
        <v>91.517857142857139</v>
      </c>
      <c r="AN160" s="10">
        <f t="shared" si="78"/>
        <v>78.86904761904762</v>
      </c>
      <c r="AO160" s="10">
        <f t="shared" si="78"/>
        <v>87.643678160919535</v>
      </c>
      <c r="AP160" s="10">
        <f t="shared" si="78"/>
        <v>63.618568232662192</v>
      </c>
      <c r="AQ160" s="15"/>
      <c r="AS160">
        <f t="shared" ref="AS160:AS166" si="79">SUM(N161:AI161)</f>
        <v>118</v>
      </c>
    </row>
    <row r="161" spans="1:45" x14ac:dyDescent="0.3">
      <c r="A161" s="57"/>
      <c r="B161" s="21" t="s">
        <v>3</v>
      </c>
      <c r="C161" s="18">
        <v>15</v>
      </c>
      <c r="D161" s="19">
        <v>27</v>
      </c>
      <c r="E161">
        <v>9</v>
      </c>
      <c r="F161">
        <v>2</v>
      </c>
      <c r="G161" s="19">
        <v>40</v>
      </c>
      <c r="H161">
        <v>7</v>
      </c>
      <c r="I161">
        <v>3</v>
      </c>
      <c r="J161">
        <v>7</v>
      </c>
      <c r="K161" s="20">
        <v>3</v>
      </c>
      <c r="L161" s="57"/>
      <c r="M161" s="21" t="s">
        <v>3</v>
      </c>
      <c r="N161" s="18">
        <v>4</v>
      </c>
      <c r="O161">
        <v>4</v>
      </c>
      <c r="P161" s="20">
        <v>4</v>
      </c>
      <c r="Q161">
        <v>2</v>
      </c>
      <c r="R161">
        <v>0</v>
      </c>
      <c r="S161">
        <v>2</v>
      </c>
      <c r="T161">
        <v>2</v>
      </c>
      <c r="U161">
        <v>13</v>
      </c>
      <c r="V161">
        <v>8</v>
      </c>
      <c r="W161" s="53"/>
      <c r="X161">
        <v>6</v>
      </c>
      <c r="Y161">
        <v>2</v>
      </c>
      <c r="Z161">
        <v>8</v>
      </c>
      <c r="AA161" s="19">
        <v>23</v>
      </c>
      <c r="AB161">
        <v>0</v>
      </c>
      <c r="AC161">
        <v>3</v>
      </c>
      <c r="AD161">
        <v>7</v>
      </c>
      <c r="AE161">
        <v>15</v>
      </c>
      <c r="AF161">
        <v>0</v>
      </c>
      <c r="AG161">
        <v>3</v>
      </c>
      <c r="AH161">
        <v>2</v>
      </c>
      <c r="AI161" s="20">
        <v>10</v>
      </c>
      <c r="AJ161" s="57"/>
      <c r="AK161" s="21" t="s">
        <v>3</v>
      </c>
      <c r="AL161">
        <v>1</v>
      </c>
      <c r="AM161">
        <v>4</v>
      </c>
      <c r="AN161">
        <v>2</v>
      </c>
      <c r="AO161">
        <v>4</v>
      </c>
      <c r="AP161">
        <v>7</v>
      </c>
      <c r="AQ161" s="20"/>
      <c r="AS161">
        <f t="shared" si="79"/>
        <v>0</v>
      </c>
    </row>
    <row r="162" spans="1:45" x14ac:dyDescent="0.3">
      <c r="A162" s="57"/>
      <c r="B162" s="21" t="s">
        <v>4</v>
      </c>
      <c r="C162" s="18"/>
      <c r="K162" s="20"/>
      <c r="L162" s="57"/>
      <c r="M162" s="21" t="s">
        <v>4</v>
      </c>
      <c r="N162" s="18"/>
      <c r="P162" s="20"/>
      <c r="W162" s="53"/>
      <c r="AJ162" s="57"/>
      <c r="AK162" s="21" t="s">
        <v>4</v>
      </c>
      <c r="AQ162" s="20"/>
      <c r="AS162">
        <f t="shared" si="79"/>
        <v>146</v>
      </c>
    </row>
    <row r="163" spans="1:45" x14ac:dyDescent="0.3">
      <c r="A163" s="57"/>
      <c r="B163" s="21" t="s">
        <v>5</v>
      </c>
      <c r="C163" s="18">
        <v>8</v>
      </c>
      <c r="D163">
        <v>1</v>
      </c>
      <c r="E163">
        <v>12</v>
      </c>
      <c r="F163">
        <v>6</v>
      </c>
      <c r="G163">
        <v>2</v>
      </c>
      <c r="H163">
        <v>5</v>
      </c>
      <c r="I163" s="19">
        <v>23</v>
      </c>
      <c r="J163">
        <v>9</v>
      </c>
      <c r="K163" s="20">
        <v>9</v>
      </c>
      <c r="L163" s="57"/>
      <c r="M163" s="21" t="s">
        <v>5</v>
      </c>
      <c r="N163" s="18">
        <v>1</v>
      </c>
      <c r="O163">
        <v>1</v>
      </c>
      <c r="P163" s="20">
        <v>1</v>
      </c>
      <c r="Q163">
        <v>14</v>
      </c>
      <c r="R163">
        <v>3</v>
      </c>
      <c r="S163">
        <v>3</v>
      </c>
      <c r="T163" s="19">
        <v>25</v>
      </c>
      <c r="U163">
        <v>1</v>
      </c>
      <c r="V163">
        <v>2</v>
      </c>
      <c r="W163" s="53"/>
      <c r="X163">
        <v>5</v>
      </c>
      <c r="Y163">
        <v>10</v>
      </c>
      <c r="Z163">
        <v>15</v>
      </c>
      <c r="AA163">
        <v>3</v>
      </c>
      <c r="AB163" s="19">
        <v>20</v>
      </c>
      <c r="AC163">
        <v>1</v>
      </c>
      <c r="AD163">
        <v>15</v>
      </c>
      <c r="AE163">
        <v>4</v>
      </c>
      <c r="AF163">
        <v>2</v>
      </c>
      <c r="AG163">
        <v>11</v>
      </c>
      <c r="AH163">
        <v>4</v>
      </c>
      <c r="AI163" s="20">
        <v>5</v>
      </c>
      <c r="AJ163" s="57"/>
      <c r="AK163" s="21" t="s">
        <v>5</v>
      </c>
      <c r="AL163">
        <v>0</v>
      </c>
      <c r="AM163">
        <v>11</v>
      </c>
      <c r="AN163">
        <v>1</v>
      </c>
      <c r="AO163">
        <v>3</v>
      </c>
      <c r="AP163">
        <v>11</v>
      </c>
      <c r="AQ163" s="20"/>
      <c r="AS163">
        <f t="shared" si="79"/>
        <v>0</v>
      </c>
    </row>
    <row r="164" spans="1:45" x14ac:dyDescent="0.3">
      <c r="A164" s="57"/>
      <c r="B164" s="21" t="s">
        <v>6</v>
      </c>
      <c r="C164" s="18"/>
      <c r="K164" s="20"/>
      <c r="L164" s="57"/>
      <c r="M164" s="21" t="s">
        <v>6</v>
      </c>
      <c r="N164" s="18"/>
      <c r="P164" s="20"/>
      <c r="W164" s="53"/>
      <c r="AI164" s="20"/>
      <c r="AJ164" s="57"/>
      <c r="AK164" s="21" t="s">
        <v>7</v>
      </c>
      <c r="AL164">
        <v>3</v>
      </c>
      <c r="AM164">
        <v>2</v>
      </c>
      <c r="AN164">
        <v>1</v>
      </c>
      <c r="AO164">
        <v>10</v>
      </c>
      <c r="AP164">
        <v>1</v>
      </c>
      <c r="AQ164" s="20"/>
      <c r="AS164">
        <f t="shared" si="79"/>
        <v>87</v>
      </c>
    </row>
    <row r="165" spans="1:45" x14ac:dyDescent="0.3">
      <c r="A165" s="57"/>
      <c r="B165" s="21" t="s">
        <v>7</v>
      </c>
      <c r="C165" s="18">
        <v>1</v>
      </c>
      <c r="D165" s="19">
        <v>66</v>
      </c>
      <c r="E165">
        <v>0</v>
      </c>
      <c r="F165">
        <v>11</v>
      </c>
      <c r="G165">
        <v>6</v>
      </c>
      <c r="H165">
        <v>7</v>
      </c>
      <c r="I165" s="19">
        <v>25</v>
      </c>
      <c r="J165">
        <v>9</v>
      </c>
      <c r="K165" s="20">
        <v>4</v>
      </c>
      <c r="L165" s="57"/>
      <c r="M165" s="21" t="s">
        <v>7</v>
      </c>
      <c r="N165" s="18">
        <v>2</v>
      </c>
      <c r="O165">
        <v>1</v>
      </c>
      <c r="P165" s="20">
        <v>5</v>
      </c>
      <c r="Q165">
        <v>0</v>
      </c>
      <c r="R165">
        <v>11</v>
      </c>
      <c r="S165">
        <v>6</v>
      </c>
      <c r="T165">
        <v>2</v>
      </c>
      <c r="U165">
        <v>0</v>
      </c>
      <c r="V165">
        <v>6</v>
      </c>
      <c r="W165" s="53"/>
      <c r="X165">
        <v>0</v>
      </c>
      <c r="Y165">
        <v>0</v>
      </c>
      <c r="Z165">
        <v>9</v>
      </c>
      <c r="AA165">
        <v>0</v>
      </c>
      <c r="AB165">
        <v>1</v>
      </c>
      <c r="AC165">
        <v>1</v>
      </c>
      <c r="AD165">
        <v>15</v>
      </c>
      <c r="AE165">
        <v>0</v>
      </c>
      <c r="AF165">
        <v>14</v>
      </c>
      <c r="AG165">
        <v>2</v>
      </c>
      <c r="AH165">
        <v>5</v>
      </c>
      <c r="AI165" s="20">
        <v>7</v>
      </c>
      <c r="AJ165" s="57"/>
      <c r="AK165" s="21" t="s">
        <v>8</v>
      </c>
      <c r="AQ165" s="20"/>
      <c r="AS165">
        <f t="shared" si="79"/>
        <v>0</v>
      </c>
    </row>
    <row r="166" spans="1:45" x14ac:dyDescent="0.3">
      <c r="A166" s="58" t="s">
        <v>33</v>
      </c>
      <c r="B166" s="21" t="s">
        <v>10</v>
      </c>
      <c r="C166" s="18"/>
      <c r="K166" s="20"/>
      <c r="L166" s="58" t="str">
        <f>A166</f>
        <v>SA 3T</v>
      </c>
      <c r="M166" s="21" t="s">
        <v>10</v>
      </c>
      <c r="N166" s="18"/>
      <c r="P166" s="20"/>
      <c r="W166" s="53"/>
      <c r="AI166" s="20"/>
      <c r="AJ166" s="58" t="str">
        <f>L166</f>
        <v>SA 3T</v>
      </c>
      <c r="AK166" s="21" t="s">
        <v>11</v>
      </c>
      <c r="AL166">
        <v>3</v>
      </c>
      <c r="AM166">
        <v>7</v>
      </c>
      <c r="AN166">
        <v>2</v>
      </c>
      <c r="AO166">
        <v>2</v>
      </c>
      <c r="AP166">
        <v>2</v>
      </c>
      <c r="AQ166" s="20"/>
      <c r="AS166">
        <f t="shared" si="79"/>
        <v>109</v>
      </c>
    </row>
    <row r="167" spans="1:45" x14ac:dyDescent="0.3">
      <c r="A167" s="58"/>
      <c r="B167" s="21" t="s">
        <v>11</v>
      </c>
      <c r="C167" s="18">
        <v>5</v>
      </c>
      <c r="D167">
        <v>17</v>
      </c>
      <c r="E167" s="19">
        <v>20</v>
      </c>
      <c r="F167">
        <v>18</v>
      </c>
      <c r="G167">
        <v>3</v>
      </c>
      <c r="H167">
        <v>3</v>
      </c>
      <c r="I167">
        <v>7</v>
      </c>
      <c r="J167">
        <v>4</v>
      </c>
      <c r="K167" s="20">
        <v>3</v>
      </c>
      <c r="L167" s="58"/>
      <c r="M167" s="21" t="s">
        <v>11</v>
      </c>
      <c r="N167" s="18">
        <v>0</v>
      </c>
      <c r="O167">
        <v>5</v>
      </c>
      <c r="P167" s="20">
        <v>6</v>
      </c>
      <c r="Q167">
        <v>5</v>
      </c>
      <c r="R167">
        <v>5</v>
      </c>
      <c r="S167">
        <v>3</v>
      </c>
      <c r="T167">
        <v>4</v>
      </c>
      <c r="U167">
        <v>5</v>
      </c>
      <c r="V167">
        <v>9</v>
      </c>
      <c r="W167" s="53"/>
      <c r="X167">
        <v>14</v>
      </c>
      <c r="Y167">
        <v>6</v>
      </c>
      <c r="Z167">
        <v>4</v>
      </c>
      <c r="AA167">
        <v>3</v>
      </c>
      <c r="AB167">
        <v>7</v>
      </c>
      <c r="AC167">
        <v>3</v>
      </c>
      <c r="AD167">
        <v>4</v>
      </c>
      <c r="AE167">
        <v>6</v>
      </c>
      <c r="AF167">
        <v>1</v>
      </c>
      <c r="AG167">
        <v>4</v>
      </c>
      <c r="AH167">
        <v>4</v>
      </c>
      <c r="AI167" s="20">
        <v>11</v>
      </c>
      <c r="AJ167" s="58"/>
      <c r="AK167" s="21" t="s">
        <v>12</v>
      </c>
      <c r="AL167" s="18"/>
      <c r="AQ167" s="20"/>
    </row>
    <row r="168" spans="1:45" x14ac:dyDescent="0.3">
      <c r="A168" s="58"/>
      <c r="B168" s="21" t="s">
        <v>12</v>
      </c>
      <c r="C168" s="18"/>
      <c r="K168" s="20"/>
      <c r="L168" s="58"/>
      <c r="M168" s="21" t="s">
        <v>34</v>
      </c>
      <c r="N168" s="18"/>
      <c r="W168" s="53"/>
      <c r="AI168" s="20"/>
      <c r="AJ168" s="58"/>
      <c r="AK168" s="21" t="s">
        <v>13</v>
      </c>
      <c r="AL168" s="18">
        <v>120</v>
      </c>
      <c r="AM168">
        <v>123</v>
      </c>
      <c r="AN168">
        <v>106</v>
      </c>
      <c r="AO168">
        <v>122</v>
      </c>
      <c r="AP168">
        <v>91</v>
      </c>
      <c r="AQ168" s="20"/>
    </row>
    <row r="169" spans="1:45" x14ac:dyDescent="0.3">
      <c r="A169" s="58"/>
      <c r="B169" s="21" t="s">
        <v>13</v>
      </c>
      <c r="C169" s="18">
        <v>136</v>
      </c>
      <c r="D169">
        <v>97.2</v>
      </c>
      <c r="E169">
        <v>99</v>
      </c>
      <c r="F169">
        <v>129</v>
      </c>
      <c r="G169">
        <v>130</v>
      </c>
      <c r="H169">
        <v>113</v>
      </c>
      <c r="I169">
        <v>97</v>
      </c>
      <c r="J169">
        <v>120</v>
      </c>
      <c r="K169" s="20">
        <v>135</v>
      </c>
      <c r="L169" s="58"/>
      <c r="M169" s="21" t="s">
        <v>13</v>
      </c>
      <c r="N169" s="18">
        <v>147</v>
      </c>
      <c r="O169">
        <v>126</v>
      </c>
      <c r="P169">
        <v>130</v>
      </c>
      <c r="Q169">
        <v>128</v>
      </c>
      <c r="R169">
        <v>120</v>
      </c>
      <c r="S169">
        <v>143</v>
      </c>
      <c r="T169">
        <v>68</v>
      </c>
      <c r="U169">
        <v>116</v>
      </c>
      <c r="V169">
        <v>127</v>
      </c>
      <c r="W169" s="53"/>
      <c r="X169">
        <v>102</v>
      </c>
      <c r="Y169">
        <v>133</v>
      </c>
      <c r="Z169">
        <v>114</v>
      </c>
      <c r="AA169">
        <v>112.5</v>
      </c>
      <c r="AB169">
        <v>123</v>
      </c>
      <c r="AC169">
        <v>135</v>
      </c>
      <c r="AD169">
        <v>103</v>
      </c>
      <c r="AE169">
        <v>101</v>
      </c>
      <c r="AF169">
        <v>105</v>
      </c>
      <c r="AG169">
        <v>121</v>
      </c>
      <c r="AH169">
        <v>150</v>
      </c>
      <c r="AI169" s="20">
        <v>98</v>
      </c>
      <c r="AJ169" s="58"/>
      <c r="AK169" s="21" t="s">
        <v>14</v>
      </c>
      <c r="AL169" s="27">
        <v>260</v>
      </c>
      <c r="AM169" s="28">
        <v>280</v>
      </c>
      <c r="AN169" s="28">
        <v>280</v>
      </c>
      <c r="AO169" s="28">
        <v>290</v>
      </c>
      <c r="AP169" s="28">
        <v>298</v>
      </c>
      <c r="AQ169" s="29"/>
    </row>
    <row r="170" spans="1:45" ht="15" thickBot="1" x14ac:dyDescent="0.35">
      <c r="A170" s="58"/>
      <c r="B170" s="24" t="s">
        <v>14</v>
      </c>
      <c r="C170" s="27">
        <v>304</v>
      </c>
      <c r="D170" s="28">
        <v>301</v>
      </c>
      <c r="E170" s="28">
        <v>248</v>
      </c>
      <c r="F170" s="28">
        <v>295</v>
      </c>
      <c r="G170" s="28">
        <v>311</v>
      </c>
      <c r="H170" s="28">
        <v>272</v>
      </c>
      <c r="I170" s="28">
        <v>289</v>
      </c>
      <c r="J170" s="28">
        <v>289</v>
      </c>
      <c r="K170" s="29">
        <v>298</v>
      </c>
      <c r="L170" s="65"/>
      <c r="M170" s="66" t="s">
        <v>14</v>
      </c>
      <c r="N170" s="27">
        <v>335</v>
      </c>
      <c r="O170" s="28">
        <v>350</v>
      </c>
      <c r="P170" s="28">
        <v>320</v>
      </c>
      <c r="Q170" s="28">
        <v>280</v>
      </c>
      <c r="R170" s="28">
        <v>350</v>
      </c>
      <c r="S170" s="28">
        <v>340</v>
      </c>
      <c r="T170" s="28">
        <v>292</v>
      </c>
      <c r="U170" s="28">
        <v>304</v>
      </c>
      <c r="V170" s="28">
        <v>306</v>
      </c>
      <c r="W170" s="55"/>
      <c r="X170" s="28">
        <v>307</v>
      </c>
      <c r="Y170" s="28">
        <v>306</v>
      </c>
      <c r="Z170" s="28">
        <v>295</v>
      </c>
      <c r="AA170" s="28">
        <v>292</v>
      </c>
      <c r="AB170" s="28">
        <v>303</v>
      </c>
      <c r="AC170" s="28">
        <v>295</v>
      </c>
      <c r="AD170" s="28">
        <v>304</v>
      </c>
      <c r="AE170" s="28">
        <v>288</v>
      </c>
      <c r="AF170" s="28">
        <v>280</v>
      </c>
      <c r="AG170" s="28">
        <v>310</v>
      </c>
      <c r="AH170" s="28">
        <v>355</v>
      </c>
      <c r="AI170" s="29">
        <v>330</v>
      </c>
      <c r="AJ170" s="46"/>
      <c r="AK170" s="47"/>
      <c r="AQ170" s="20"/>
    </row>
    <row r="171" spans="1:45" x14ac:dyDescent="0.3">
      <c r="A171" s="38">
        <f>+A160+1</f>
        <v>46089</v>
      </c>
      <c r="B171" s="8" t="s">
        <v>1</v>
      </c>
      <c r="C171" s="39">
        <v>201</v>
      </c>
      <c r="D171" s="39">
        <f>+C171+1</f>
        <v>202</v>
      </c>
      <c r="E171" s="39">
        <f>+D171+1</f>
        <v>203</v>
      </c>
      <c r="F171" s="39">
        <f>+E171+1</f>
        <v>204</v>
      </c>
      <c r="G171" s="39">
        <f>+F171+1</f>
        <v>205</v>
      </c>
      <c r="H171" s="39">
        <f>+G171+1</f>
        <v>206</v>
      </c>
      <c r="I171" s="39">
        <v>213</v>
      </c>
      <c r="J171" s="39">
        <f>+I171+1</f>
        <v>214</v>
      </c>
      <c r="K171" s="40">
        <f>+J171+1</f>
        <v>215</v>
      </c>
      <c r="L171" s="51">
        <f>A171</f>
        <v>46089</v>
      </c>
      <c r="M171" s="24" t="s">
        <v>1</v>
      </c>
      <c r="N171" s="39">
        <v>299</v>
      </c>
      <c r="O171" s="39">
        <f t="shared" ref="O171:X171" si="80">+N171+1</f>
        <v>300</v>
      </c>
      <c r="P171" s="39">
        <f t="shared" si="80"/>
        <v>301</v>
      </c>
      <c r="Q171" s="39">
        <f t="shared" si="80"/>
        <v>302</v>
      </c>
      <c r="R171" s="39">
        <f t="shared" si="80"/>
        <v>303</v>
      </c>
      <c r="S171" s="39">
        <f t="shared" si="80"/>
        <v>304</v>
      </c>
      <c r="T171" s="39">
        <f t="shared" si="80"/>
        <v>305</v>
      </c>
      <c r="U171" s="39">
        <f t="shared" si="80"/>
        <v>306</v>
      </c>
      <c r="V171" s="39">
        <f t="shared" si="80"/>
        <v>307</v>
      </c>
      <c r="W171" s="39">
        <f t="shared" si="80"/>
        <v>308</v>
      </c>
      <c r="X171" s="39">
        <f t="shared" si="80"/>
        <v>309</v>
      </c>
      <c r="Y171" s="39">
        <f>+X171+1</f>
        <v>310</v>
      </c>
      <c r="Z171" s="39">
        <f t="shared" ref="Z171:AB171" si="81">+Y171+1</f>
        <v>311</v>
      </c>
      <c r="AA171" s="39">
        <f t="shared" si="81"/>
        <v>312</v>
      </c>
      <c r="AB171" s="39">
        <f t="shared" si="81"/>
        <v>313</v>
      </c>
      <c r="AC171" s="39">
        <f>+AB171+1</f>
        <v>314</v>
      </c>
      <c r="AD171" s="39">
        <f t="shared" ref="AD171:AI171" si="82">+AC171+1</f>
        <v>315</v>
      </c>
      <c r="AE171" s="39">
        <f t="shared" si="82"/>
        <v>316</v>
      </c>
      <c r="AF171" s="39">
        <f t="shared" si="82"/>
        <v>317</v>
      </c>
      <c r="AG171" s="39">
        <f t="shared" si="82"/>
        <v>318</v>
      </c>
      <c r="AH171" s="39">
        <f t="shared" si="82"/>
        <v>319</v>
      </c>
      <c r="AI171" s="40">
        <f t="shared" si="82"/>
        <v>320</v>
      </c>
      <c r="AJ171" s="38">
        <f>L171</f>
        <v>46089</v>
      </c>
      <c r="AK171" s="12" t="s">
        <v>1</v>
      </c>
      <c r="AL171" s="42">
        <v>207</v>
      </c>
      <c r="AM171" s="42">
        <f>+AL171+1</f>
        <v>208</v>
      </c>
      <c r="AN171" s="42">
        <f>+AM171+1</f>
        <v>209</v>
      </c>
      <c r="AO171" s="42">
        <f>+AN171+1</f>
        <v>210</v>
      </c>
      <c r="AP171" s="42">
        <f>+AO171+1</f>
        <v>211</v>
      </c>
      <c r="AQ171" s="40">
        <f>+AP171+1</f>
        <v>212</v>
      </c>
    </row>
    <row r="172" spans="1:45" x14ac:dyDescent="0.3">
      <c r="A172" s="43"/>
      <c r="B172" s="31" t="s">
        <v>2</v>
      </c>
      <c r="C172" s="9">
        <f t="shared" ref="C172:K172" si="83">(C181*100000)/(C182*60*8)</f>
        <v>92.821782178217816</v>
      </c>
      <c r="D172" s="10">
        <f t="shared" si="83"/>
        <v>86.206896551724142</v>
      </c>
      <c r="E172" s="10">
        <f t="shared" si="83"/>
        <v>83.165322580645167</v>
      </c>
      <c r="F172" s="10">
        <f t="shared" si="83"/>
        <v>90.793918918918919</v>
      </c>
      <c r="G172" s="10">
        <f t="shared" si="83"/>
        <v>87.365591397849457</v>
      </c>
      <c r="H172" s="10">
        <f t="shared" si="83"/>
        <v>85.15815085158151</v>
      </c>
      <c r="I172" s="10">
        <f t="shared" si="83"/>
        <v>86.206896551724142</v>
      </c>
      <c r="J172" s="10">
        <f t="shared" si="83"/>
        <v>88.339222614840992</v>
      </c>
      <c r="K172" s="11">
        <f t="shared" si="83"/>
        <v>94.063545150501668</v>
      </c>
      <c r="L172" s="51"/>
      <c r="M172" s="44" t="s">
        <v>2</v>
      </c>
      <c r="N172" s="13">
        <f>(N181*100000)/(N182*60*8)</f>
        <v>93.28358208955224</v>
      </c>
      <c r="O172" s="14">
        <f t="shared" ref="O172:S172" si="84">(O181*100000)/(O182*60*8)</f>
        <v>83.946078431372555</v>
      </c>
      <c r="P172" s="14">
        <f t="shared" si="84"/>
        <v>89.84375</v>
      </c>
      <c r="Q172" s="14">
        <f t="shared" si="84"/>
        <v>87.890625</v>
      </c>
      <c r="R172" s="14">
        <f t="shared" si="84"/>
        <v>53.385416666666664</v>
      </c>
      <c r="S172" s="14">
        <f t="shared" si="84"/>
        <v>95.588235294117652</v>
      </c>
      <c r="T172" s="14">
        <f>(T181*100000)/(T182*60*8)</f>
        <v>91.869212962962962</v>
      </c>
      <c r="U172" s="14">
        <f>(U181*100000)/(U182*60*8)</f>
        <v>95.942982456140356</v>
      </c>
      <c r="V172" s="14">
        <f t="shared" ref="V172:AI172" si="85">(V181*100000)/(V182*60*8)</f>
        <v>86.465141612200441</v>
      </c>
      <c r="W172" s="52" t="s">
        <v>30</v>
      </c>
      <c r="X172" s="14">
        <f t="shared" si="85"/>
        <v>70.891203703703709</v>
      </c>
      <c r="Y172" s="14">
        <f t="shared" si="85"/>
        <v>49.019607843137258</v>
      </c>
      <c r="Z172" s="14">
        <f t="shared" si="85"/>
        <v>76.530612244897952</v>
      </c>
      <c r="AA172" s="14">
        <f t="shared" si="85"/>
        <v>81.058020477815703</v>
      </c>
      <c r="AB172" s="14">
        <f t="shared" si="85"/>
        <v>81.401766004415009</v>
      </c>
      <c r="AC172" s="14">
        <f t="shared" si="85"/>
        <v>95.33898305084746</v>
      </c>
      <c r="AD172" s="14">
        <f t="shared" si="85"/>
        <v>66.474780701754383</v>
      </c>
      <c r="AE172" s="14">
        <f t="shared" si="85"/>
        <v>56.882821387940844</v>
      </c>
      <c r="AF172" s="14">
        <f t="shared" si="85"/>
        <v>83.333333333333329</v>
      </c>
      <c r="AG172" s="14">
        <f t="shared" si="85"/>
        <v>86.538461538461533</v>
      </c>
      <c r="AH172" s="14">
        <f t="shared" si="85"/>
        <v>87.441314553990608</v>
      </c>
      <c r="AI172" s="11">
        <f t="shared" si="85"/>
        <v>90.773809523809518</v>
      </c>
      <c r="AJ172" s="43"/>
      <c r="AK172" s="21" t="s">
        <v>2</v>
      </c>
      <c r="AL172" s="9">
        <f>(AL180*100000)/(AL181*60*8)</f>
        <v>72.115384615384613</v>
      </c>
      <c r="AM172" s="10">
        <f t="shared" ref="AM172:AP172" si="86">(AM180*100000)/(AM181*60*8)</f>
        <v>81.845238095238102</v>
      </c>
      <c r="AN172" s="10">
        <f t="shared" si="86"/>
        <v>96.726190476190482</v>
      </c>
      <c r="AO172" s="10">
        <f t="shared" si="86"/>
        <v>77.133794694348325</v>
      </c>
      <c r="AP172" s="10">
        <f t="shared" si="86"/>
        <v>68.742985409652078</v>
      </c>
      <c r="AQ172" s="15"/>
      <c r="AS172">
        <f t="shared" ref="AS172:AS178" si="87">SUM(N173:AI173)</f>
        <v>176</v>
      </c>
    </row>
    <row r="173" spans="1:45" x14ac:dyDescent="0.3">
      <c r="A173" s="43"/>
      <c r="B173" s="21" t="s">
        <v>3</v>
      </c>
      <c r="C173" s="18">
        <v>15</v>
      </c>
      <c r="D173" s="19">
        <v>27</v>
      </c>
      <c r="E173">
        <v>9</v>
      </c>
      <c r="F173">
        <v>2</v>
      </c>
      <c r="G173" s="19">
        <v>30</v>
      </c>
      <c r="H173">
        <v>7</v>
      </c>
      <c r="I173">
        <v>3</v>
      </c>
      <c r="J173">
        <v>7</v>
      </c>
      <c r="K173" s="20">
        <v>3</v>
      </c>
      <c r="L173" s="51"/>
      <c r="M173" s="44" t="s">
        <v>3</v>
      </c>
      <c r="N173" s="18">
        <v>8</v>
      </c>
      <c r="O173" s="19">
        <v>20</v>
      </c>
      <c r="P173">
        <v>7</v>
      </c>
      <c r="Q173">
        <v>2</v>
      </c>
      <c r="R173">
        <v>1</v>
      </c>
      <c r="S173">
        <v>1</v>
      </c>
      <c r="T173">
        <v>2</v>
      </c>
      <c r="U173">
        <v>13</v>
      </c>
      <c r="V173">
        <v>8</v>
      </c>
      <c r="W173" s="53"/>
      <c r="X173">
        <v>6</v>
      </c>
      <c r="Y173">
        <v>2</v>
      </c>
      <c r="Z173">
        <v>7</v>
      </c>
      <c r="AA173" s="19">
        <v>32</v>
      </c>
      <c r="AB173">
        <v>2</v>
      </c>
      <c r="AC173">
        <v>6</v>
      </c>
      <c r="AD173">
        <v>9</v>
      </c>
      <c r="AE173" s="19">
        <v>29</v>
      </c>
      <c r="AF173">
        <v>7</v>
      </c>
      <c r="AG173">
        <v>4</v>
      </c>
      <c r="AH173">
        <v>7</v>
      </c>
      <c r="AI173" s="20">
        <v>3</v>
      </c>
      <c r="AJ173" s="43"/>
      <c r="AK173" s="21" t="s">
        <v>3</v>
      </c>
      <c r="AL173" s="18">
        <v>12</v>
      </c>
      <c r="AM173">
        <v>7</v>
      </c>
      <c r="AN173">
        <v>9</v>
      </c>
      <c r="AO173">
        <v>5</v>
      </c>
      <c r="AP173">
        <v>4</v>
      </c>
      <c r="AQ173" s="20"/>
      <c r="AS173">
        <f t="shared" si="87"/>
        <v>0</v>
      </c>
    </row>
    <row r="174" spans="1:45" x14ac:dyDescent="0.3">
      <c r="A174" s="43"/>
      <c r="B174" s="21" t="s">
        <v>4</v>
      </c>
      <c r="C174" s="18"/>
      <c r="K174" s="20"/>
      <c r="L174" s="51"/>
      <c r="M174" s="44" t="s">
        <v>4</v>
      </c>
      <c r="N174" s="18"/>
      <c r="W174" s="53"/>
      <c r="AJ174" s="43"/>
      <c r="AK174" s="21" t="s">
        <v>4</v>
      </c>
      <c r="AL174" s="18"/>
      <c r="AQ174" s="20"/>
      <c r="AS174">
        <f t="shared" si="87"/>
        <v>155</v>
      </c>
    </row>
    <row r="175" spans="1:45" x14ac:dyDescent="0.3">
      <c r="A175" s="43"/>
      <c r="B175" s="21" t="s">
        <v>5</v>
      </c>
      <c r="C175" s="18">
        <v>8</v>
      </c>
      <c r="D175">
        <v>11</v>
      </c>
      <c r="E175">
        <v>12</v>
      </c>
      <c r="F175">
        <v>6</v>
      </c>
      <c r="G175" s="19">
        <v>20</v>
      </c>
      <c r="H175">
        <v>5</v>
      </c>
      <c r="I175" s="19">
        <v>23</v>
      </c>
      <c r="J175">
        <v>9</v>
      </c>
      <c r="K175" s="20">
        <v>8</v>
      </c>
      <c r="L175" s="51"/>
      <c r="M175" s="44" t="s">
        <v>5</v>
      </c>
      <c r="N175" s="18">
        <v>0</v>
      </c>
      <c r="O175">
        <v>6</v>
      </c>
      <c r="P175">
        <v>0</v>
      </c>
      <c r="Q175">
        <v>4</v>
      </c>
      <c r="R175">
        <v>3</v>
      </c>
      <c r="S175">
        <v>2</v>
      </c>
      <c r="T175" s="19">
        <v>25</v>
      </c>
      <c r="U175">
        <v>1</v>
      </c>
      <c r="V175">
        <v>2</v>
      </c>
      <c r="W175" s="53"/>
      <c r="X175">
        <v>6</v>
      </c>
      <c r="Y175">
        <v>10</v>
      </c>
      <c r="Z175">
        <v>9</v>
      </c>
      <c r="AA175">
        <v>5</v>
      </c>
      <c r="AB175">
        <v>15</v>
      </c>
      <c r="AC175">
        <v>7</v>
      </c>
      <c r="AD175">
        <v>15</v>
      </c>
      <c r="AE175">
        <v>16</v>
      </c>
      <c r="AF175">
        <v>4</v>
      </c>
      <c r="AG175" s="19">
        <v>21</v>
      </c>
      <c r="AH175">
        <v>1</v>
      </c>
      <c r="AI175" s="20">
        <v>3</v>
      </c>
      <c r="AJ175" s="43"/>
      <c r="AK175" s="21" t="s">
        <v>5</v>
      </c>
      <c r="AL175" s="18">
        <v>7</v>
      </c>
      <c r="AM175">
        <v>5</v>
      </c>
      <c r="AN175">
        <v>3</v>
      </c>
      <c r="AO175">
        <v>0</v>
      </c>
      <c r="AP175">
        <v>11</v>
      </c>
      <c r="AQ175" s="20"/>
      <c r="AS175">
        <f t="shared" si="87"/>
        <v>0</v>
      </c>
    </row>
    <row r="176" spans="1:45" x14ac:dyDescent="0.3">
      <c r="A176" s="43"/>
      <c r="B176" s="21" t="s">
        <v>6</v>
      </c>
      <c r="C176" s="18"/>
      <c r="K176" s="20"/>
      <c r="L176" s="51"/>
      <c r="M176" s="44" t="s">
        <v>6</v>
      </c>
      <c r="N176" s="18"/>
      <c r="W176" s="53"/>
      <c r="AI176" s="20"/>
      <c r="AJ176" s="43"/>
      <c r="AK176" s="21" t="s">
        <v>7</v>
      </c>
      <c r="AL176" s="18">
        <v>5</v>
      </c>
      <c r="AM176">
        <v>4</v>
      </c>
      <c r="AN176">
        <v>10</v>
      </c>
      <c r="AO176">
        <v>7</v>
      </c>
      <c r="AP176">
        <v>2</v>
      </c>
      <c r="AQ176" s="20"/>
      <c r="AS176">
        <f t="shared" si="87"/>
        <v>82</v>
      </c>
    </row>
    <row r="177" spans="1:45" x14ac:dyDescent="0.3">
      <c r="A177" s="43"/>
      <c r="B177" s="21" t="s">
        <v>7</v>
      </c>
      <c r="C177" s="18">
        <v>1</v>
      </c>
      <c r="D177">
        <v>8</v>
      </c>
      <c r="E177">
        <v>0</v>
      </c>
      <c r="F177">
        <v>11</v>
      </c>
      <c r="G177">
        <v>6</v>
      </c>
      <c r="H177">
        <v>7</v>
      </c>
      <c r="I177" s="19">
        <v>25</v>
      </c>
      <c r="J177">
        <v>9</v>
      </c>
      <c r="K177" s="20">
        <v>4</v>
      </c>
      <c r="L177" s="51"/>
      <c r="M177" s="44" t="s">
        <v>7</v>
      </c>
      <c r="N177" s="18">
        <v>0</v>
      </c>
      <c r="O177">
        <v>1</v>
      </c>
      <c r="P177">
        <v>3</v>
      </c>
      <c r="Q177">
        <v>2</v>
      </c>
      <c r="R177">
        <v>18</v>
      </c>
      <c r="S177">
        <v>3</v>
      </c>
      <c r="T177">
        <v>2</v>
      </c>
      <c r="U177">
        <v>0</v>
      </c>
      <c r="V177">
        <v>6</v>
      </c>
      <c r="W177" s="53"/>
      <c r="X177">
        <v>0</v>
      </c>
      <c r="Y177">
        <v>0</v>
      </c>
      <c r="Z177">
        <v>6</v>
      </c>
      <c r="AA177">
        <v>2</v>
      </c>
      <c r="AB177">
        <v>3</v>
      </c>
      <c r="AC177">
        <v>9</v>
      </c>
      <c r="AD177">
        <v>5</v>
      </c>
      <c r="AE177">
        <v>3</v>
      </c>
      <c r="AF177">
        <v>12</v>
      </c>
      <c r="AG177">
        <v>0</v>
      </c>
      <c r="AH177">
        <v>3</v>
      </c>
      <c r="AI177" s="20">
        <v>4</v>
      </c>
      <c r="AJ177" s="45" t="str">
        <f>+L178</f>
        <v>DO 1T</v>
      </c>
      <c r="AK177" s="21" t="s">
        <v>8</v>
      </c>
      <c r="AL177" s="18"/>
      <c r="AQ177" s="20"/>
      <c r="AS177">
        <f t="shared" si="87"/>
        <v>0</v>
      </c>
    </row>
    <row r="178" spans="1:45" x14ac:dyDescent="0.3">
      <c r="A178" s="45" t="s">
        <v>35</v>
      </c>
      <c r="B178" s="21" t="s">
        <v>10</v>
      </c>
      <c r="C178" s="18"/>
      <c r="K178" s="20"/>
      <c r="L178" s="45" t="str">
        <f>A178</f>
        <v>DO 1T</v>
      </c>
      <c r="M178" s="44" t="s">
        <v>10</v>
      </c>
      <c r="N178" s="18"/>
      <c r="W178" s="53"/>
      <c r="AI178" s="20"/>
      <c r="AJ178" s="45"/>
      <c r="AK178" s="21" t="s">
        <v>11</v>
      </c>
      <c r="AL178" s="18">
        <v>2</v>
      </c>
      <c r="AM178">
        <v>9</v>
      </c>
      <c r="AN178">
        <v>9</v>
      </c>
      <c r="AO178">
        <v>2</v>
      </c>
      <c r="AP178">
        <v>7</v>
      </c>
      <c r="AQ178" s="20"/>
      <c r="AS178">
        <f t="shared" si="87"/>
        <v>126</v>
      </c>
    </row>
    <row r="179" spans="1:45" x14ac:dyDescent="0.3">
      <c r="A179" s="45"/>
      <c r="B179" s="21" t="s">
        <v>11</v>
      </c>
      <c r="C179" s="18">
        <v>5</v>
      </c>
      <c r="D179">
        <v>17</v>
      </c>
      <c r="E179" s="19">
        <v>20</v>
      </c>
      <c r="F179">
        <v>18</v>
      </c>
      <c r="G179">
        <v>3</v>
      </c>
      <c r="H179">
        <v>3</v>
      </c>
      <c r="I179">
        <v>7</v>
      </c>
      <c r="J179">
        <v>4</v>
      </c>
      <c r="K179" s="20">
        <v>3</v>
      </c>
      <c r="L179" s="45"/>
      <c r="M179" s="44" t="s">
        <v>11</v>
      </c>
      <c r="N179" s="18">
        <v>1</v>
      </c>
      <c r="O179">
        <v>9</v>
      </c>
      <c r="P179">
        <v>2</v>
      </c>
      <c r="Q179">
        <v>2</v>
      </c>
      <c r="R179">
        <v>6</v>
      </c>
      <c r="S179">
        <v>3</v>
      </c>
      <c r="T179">
        <v>4</v>
      </c>
      <c r="U179">
        <v>5</v>
      </c>
      <c r="V179">
        <v>9</v>
      </c>
      <c r="W179" s="53"/>
      <c r="X179">
        <v>14</v>
      </c>
      <c r="Y179">
        <v>6</v>
      </c>
      <c r="Z179" s="19">
        <v>23</v>
      </c>
      <c r="AA179">
        <v>1</v>
      </c>
      <c r="AB179">
        <v>3</v>
      </c>
      <c r="AC179">
        <v>9</v>
      </c>
      <c r="AD179">
        <v>9</v>
      </c>
      <c r="AE179">
        <v>5</v>
      </c>
      <c r="AF179">
        <v>0</v>
      </c>
      <c r="AG179">
        <v>3</v>
      </c>
      <c r="AH179">
        <v>3</v>
      </c>
      <c r="AI179" s="20">
        <v>9</v>
      </c>
      <c r="AJ179" s="45"/>
      <c r="AK179" s="21" t="s">
        <v>12</v>
      </c>
      <c r="AL179" s="18"/>
      <c r="AQ179" s="20"/>
    </row>
    <row r="180" spans="1:45" x14ac:dyDescent="0.3">
      <c r="A180" s="45"/>
      <c r="B180" s="21" t="s">
        <v>12</v>
      </c>
      <c r="C180" s="18"/>
      <c r="K180" s="20"/>
      <c r="L180" s="45"/>
      <c r="M180" s="44" t="s">
        <v>12</v>
      </c>
      <c r="N180" s="18"/>
      <c r="W180" s="53"/>
      <c r="AI180" s="20"/>
      <c r="AJ180" s="45"/>
      <c r="AK180" s="21" t="s">
        <v>13</v>
      </c>
      <c r="AL180" s="18">
        <v>90</v>
      </c>
      <c r="AM180">
        <v>110</v>
      </c>
      <c r="AN180">
        <v>130</v>
      </c>
      <c r="AO180">
        <v>107</v>
      </c>
      <c r="AP180">
        <v>98</v>
      </c>
      <c r="AQ180" s="20"/>
    </row>
    <row r="181" spans="1:45" x14ac:dyDescent="0.3">
      <c r="A181" s="45"/>
      <c r="B181" s="21" t="s">
        <v>13</v>
      </c>
      <c r="C181" s="18">
        <v>135</v>
      </c>
      <c r="D181">
        <v>120</v>
      </c>
      <c r="E181">
        <v>99</v>
      </c>
      <c r="F181">
        <v>129</v>
      </c>
      <c r="G181">
        <v>130</v>
      </c>
      <c r="H181">
        <v>112</v>
      </c>
      <c r="I181">
        <v>120</v>
      </c>
      <c r="J181">
        <v>120</v>
      </c>
      <c r="K181" s="20">
        <v>135</v>
      </c>
      <c r="L181" s="45"/>
      <c r="M181" s="44" t="s">
        <v>13</v>
      </c>
      <c r="N181" s="18">
        <v>150</v>
      </c>
      <c r="O181">
        <v>137</v>
      </c>
      <c r="P181">
        <v>138</v>
      </c>
      <c r="Q181">
        <v>135</v>
      </c>
      <c r="R181">
        <v>82</v>
      </c>
      <c r="S181">
        <v>156</v>
      </c>
      <c r="T181">
        <v>127</v>
      </c>
      <c r="U181">
        <v>140</v>
      </c>
      <c r="V181">
        <v>127</v>
      </c>
      <c r="W181" s="53"/>
      <c r="X181">
        <v>98</v>
      </c>
      <c r="Y181">
        <v>72</v>
      </c>
      <c r="Z181">
        <v>108</v>
      </c>
      <c r="AA181">
        <v>114</v>
      </c>
      <c r="AB181">
        <v>118</v>
      </c>
      <c r="AC181">
        <v>135</v>
      </c>
      <c r="AD181">
        <v>97</v>
      </c>
      <c r="AE181">
        <v>80</v>
      </c>
      <c r="AF181">
        <v>104</v>
      </c>
      <c r="AG181">
        <v>135</v>
      </c>
      <c r="AH181">
        <v>149</v>
      </c>
      <c r="AI181" s="20">
        <v>122</v>
      </c>
      <c r="AJ181" s="45"/>
      <c r="AK181" s="21" t="s">
        <v>14</v>
      </c>
      <c r="AL181" s="27">
        <v>260</v>
      </c>
      <c r="AM181" s="28">
        <v>280</v>
      </c>
      <c r="AN181" s="28">
        <v>280</v>
      </c>
      <c r="AO181" s="28">
        <v>289</v>
      </c>
      <c r="AP181" s="28">
        <v>297</v>
      </c>
      <c r="AQ181" s="29"/>
    </row>
    <row r="182" spans="1:45" x14ac:dyDescent="0.3">
      <c r="A182" s="67"/>
      <c r="B182" s="68" t="s">
        <v>14</v>
      </c>
      <c r="C182" s="27">
        <v>303</v>
      </c>
      <c r="D182" s="28">
        <v>290</v>
      </c>
      <c r="E182" s="28">
        <v>248</v>
      </c>
      <c r="F182" s="28">
        <v>296</v>
      </c>
      <c r="G182" s="28">
        <v>310</v>
      </c>
      <c r="H182" s="28">
        <v>274</v>
      </c>
      <c r="I182" s="28">
        <v>290</v>
      </c>
      <c r="J182" s="28">
        <v>283</v>
      </c>
      <c r="K182" s="29">
        <v>299</v>
      </c>
      <c r="L182" s="67"/>
      <c r="M182" s="69" t="s">
        <v>14</v>
      </c>
      <c r="N182" s="27">
        <v>335</v>
      </c>
      <c r="O182" s="28">
        <v>340</v>
      </c>
      <c r="P182" s="28">
        <v>320</v>
      </c>
      <c r="Q182" s="28">
        <v>320</v>
      </c>
      <c r="R182" s="28">
        <v>320</v>
      </c>
      <c r="S182" s="28">
        <v>340</v>
      </c>
      <c r="T182" s="28">
        <v>288</v>
      </c>
      <c r="U182" s="28">
        <v>304</v>
      </c>
      <c r="V182" s="28">
        <v>306</v>
      </c>
      <c r="W182" s="55"/>
      <c r="X182" s="28">
        <v>288</v>
      </c>
      <c r="Y182" s="28">
        <v>306</v>
      </c>
      <c r="Z182" s="28">
        <v>294</v>
      </c>
      <c r="AA182" s="28">
        <v>293</v>
      </c>
      <c r="AB182" s="28">
        <v>302</v>
      </c>
      <c r="AC182" s="28">
        <v>295</v>
      </c>
      <c r="AD182" s="28">
        <v>304</v>
      </c>
      <c r="AE182" s="28">
        <v>293</v>
      </c>
      <c r="AF182" s="28">
        <v>260</v>
      </c>
      <c r="AG182" s="28">
        <v>325</v>
      </c>
      <c r="AH182" s="28">
        <v>355</v>
      </c>
      <c r="AI182" s="29">
        <v>280</v>
      </c>
      <c r="AJ182" s="30"/>
      <c r="AK182" s="18"/>
      <c r="AQ182" s="20"/>
    </row>
    <row r="183" spans="1:45" x14ac:dyDescent="0.3">
      <c r="A183" s="70">
        <f>+A171</f>
        <v>46089</v>
      </c>
      <c r="B183" s="24" t="s">
        <v>2</v>
      </c>
      <c r="C183" s="9">
        <f t="shared" ref="C183:K183" si="88">(C192*100000)/(C193*60*8)</f>
        <v>84.29276315789474</v>
      </c>
      <c r="D183" s="10">
        <f t="shared" si="88"/>
        <v>75.250836120401331</v>
      </c>
      <c r="E183" s="10">
        <f t="shared" si="88"/>
        <v>65.524193548387103</v>
      </c>
      <c r="F183" s="10">
        <f t="shared" si="88"/>
        <v>87.388143176733777</v>
      </c>
      <c r="G183" s="10">
        <f t="shared" si="88"/>
        <v>74.838187702265373</v>
      </c>
      <c r="H183" s="10">
        <f t="shared" si="88"/>
        <v>60.606060606060609</v>
      </c>
      <c r="I183" s="10">
        <f t="shared" si="88"/>
        <v>68.483275663206456</v>
      </c>
      <c r="J183" s="10">
        <f t="shared" si="88"/>
        <v>75.692041522491351</v>
      </c>
      <c r="K183" s="11">
        <f t="shared" si="88"/>
        <v>70.609619686800897</v>
      </c>
      <c r="L183" s="71">
        <f>+L171</f>
        <v>46089</v>
      </c>
      <c r="M183" s="44" t="s">
        <v>2</v>
      </c>
      <c r="N183" s="13">
        <f>(N192*100000)/(N193*60*8)</f>
        <v>78.358208955223887</v>
      </c>
      <c r="O183" s="14">
        <f t="shared" ref="O183:AI183" si="89">(O192*100000)/(O193*60*8)</f>
        <v>85.532746823069402</v>
      </c>
      <c r="P183" s="14">
        <f t="shared" si="89"/>
        <v>89.192708333333329</v>
      </c>
      <c r="Q183" s="14">
        <f t="shared" si="89"/>
        <v>87.239583333333329</v>
      </c>
      <c r="R183" s="14">
        <f t="shared" si="89"/>
        <v>79.534662867996204</v>
      </c>
      <c r="S183" s="14">
        <f t="shared" si="89"/>
        <v>75.757575757575751</v>
      </c>
      <c r="T183" s="14">
        <f t="shared" si="89"/>
        <v>79.022988505747122</v>
      </c>
      <c r="U183" s="14">
        <f t="shared" si="89"/>
        <v>71.271929824561397</v>
      </c>
      <c r="V183" s="14">
        <f t="shared" si="89"/>
        <v>84.422657952069713</v>
      </c>
      <c r="W183" s="52" t="s">
        <v>30</v>
      </c>
      <c r="X183" s="14">
        <f t="shared" si="89"/>
        <v>88.975694444444443</v>
      </c>
      <c r="Y183" s="14">
        <f t="shared" si="89"/>
        <v>85.10348583877996</v>
      </c>
      <c r="Z183" s="14">
        <f t="shared" si="89"/>
        <v>68.271396396396398</v>
      </c>
      <c r="AA183" s="14">
        <f t="shared" si="89"/>
        <v>84.613196814562002</v>
      </c>
      <c r="AB183" s="14">
        <f t="shared" si="89"/>
        <v>90.669988925802883</v>
      </c>
      <c r="AC183" s="14">
        <f t="shared" si="89"/>
        <v>70.621468926553675</v>
      </c>
      <c r="AD183" s="14">
        <f t="shared" si="89"/>
        <v>62.362938596491226</v>
      </c>
      <c r="AE183" s="14">
        <f t="shared" si="89"/>
        <v>68.735827664399096</v>
      </c>
      <c r="AF183" s="14">
        <f t="shared" si="89"/>
        <v>81.417624521072796</v>
      </c>
      <c r="AG183" s="14">
        <f t="shared" si="89"/>
        <v>62.820512820512818</v>
      </c>
      <c r="AH183" s="14">
        <f t="shared" si="89"/>
        <v>88.366104868913851</v>
      </c>
      <c r="AI183" s="11">
        <f t="shared" si="89"/>
        <v>84.051724137931032</v>
      </c>
      <c r="AJ183" s="43">
        <f>L183</f>
        <v>46089</v>
      </c>
      <c r="AK183" s="21" t="s">
        <v>2</v>
      </c>
      <c r="AL183" s="9">
        <f>(AL191*100000)/(AL192*60*8)</f>
        <v>88.407134071340707</v>
      </c>
      <c r="AM183" s="10">
        <f t="shared" ref="AM183:AP183" si="90">(AM191*100000)/(AM192*60*8)</f>
        <v>70.68452380952381</v>
      </c>
      <c r="AN183" s="10">
        <f t="shared" si="90"/>
        <v>90.029761904761898</v>
      </c>
      <c r="AO183" s="10">
        <f t="shared" si="90"/>
        <v>91.145833333333329</v>
      </c>
      <c r="AP183" s="10">
        <f t="shared" si="90"/>
        <v>86.68903803131991</v>
      </c>
      <c r="AQ183" s="15"/>
      <c r="AS183">
        <f t="shared" ref="AS183:AS189" si="91">SUM(N184:AI184)</f>
        <v>182</v>
      </c>
    </row>
    <row r="184" spans="1:45" x14ac:dyDescent="0.3">
      <c r="A184" s="43"/>
      <c r="B184" s="21" t="s">
        <v>3</v>
      </c>
      <c r="C184" s="18">
        <v>8</v>
      </c>
      <c r="D184" s="19">
        <v>33</v>
      </c>
      <c r="E184">
        <v>10</v>
      </c>
      <c r="F184">
        <v>5</v>
      </c>
      <c r="G184">
        <v>8</v>
      </c>
      <c r="H184">
        <v>3</v>
      </c>
      <c r="I184">
        <v>8</v>
      </c>
      <c r="J184">
        <v>7</v>
      </c>
      <c r="K184" s="34">
        <v>35</v>
      </c>
      <c r="L184" s="51"/>
      <c r="M184" s="44" t="s">
        <v>3</v>
      </c>
      <c r="N184" s="18">
        <v>13</v>
      </c>
      <c r="O184" s="19">
        <v>26</v>
      </c>
      <c r="P184">
        <v>4</v>
      </c>
      <c r="Q184">
        <v>0</v>
      </c>
      <c r="R184">
        <v>6</v>
      </c>
      <c r="S184">
        <v>1</v>
      </c>
      <c r="T184">
        <v>1</v>
      </c>
      <c r="U184">
        <v>16</v>
      </c>
      <c r="V184">
        <v>3</v>
      </c>
      <c r="W184" s="53"/>
      <c r="X184">
        <v>8</v>
      </c>
      <c r="Y184">
        <v>13</v>
      </c>
      <c r="Z184" s="19">
        <v>41</v>
      </c>
      <c r="AA184" s="19">
        <v>31</v>
      </c>
      <c r="AB184">
        <v>1</v>
      </c>
      <c r="AC184">
        <v>1</v>
      </c>
      <c r="AD184">
        <v>3</v>
      </c>
      <c r="AE184">
        <v>5</v>
      </c>
      <c r="AF184">
        <v>0</v>
      </c>
      <c r="AG184">
        <v>2</v>
      </c>
      <c r="AH184">
        <v>3</v>
      </c>
      <c r="AI184" s="20">
        <v>4</v>
      </c>
      <c r="AJ184" s="43"/>
      <c r="AK184" s="21" t="s">
        <v>3</v>
      </c>
      <c r="AL184" s="18">
        <v>6</v>
      </c>
      <c r="AM184">
        <v>5</v>
      </c>
      <c r="AN184">
        <v>4</v>
      </c>
      <c r="AO184">
        <v>3</v>
      </c>
      <c r="AP184">
        <v>19</v>
      </c>
      <c r="AQ184" s="20"/>
      <c r="AS184">
        <f t="shared" si="91"/>
        <v>0</v>
      </c>
    </row>
    <row r="185" spans="1:45" x14ac:dyDescent="0.3">
      <c r="A185" s="43"/>
      <c r="B185" s="21" t="s">
        <v>4</v>
      </c>
      <c r="K185" s="20"/>
      <c r="L185" s="51"/>
      <c r="M185" s="44" t="s">
        <v>4</v>
      </c>
      <c r="N185" s="18"/>
      <c r="W185" s="53"/>
      <c r="AJ185" s="43"/>
      <c r="AK185" s="21" t="s">
        <v>4</v>
      </c>
      <c r="AL185" s="18"/>
      <c r="AQ185" s="20"/>
      <c r="AS185">
        <f>SUM(N186:AI186)</f>
        <v>74</v>
      </c>
    </row>
    <row r="186" spans="1:45" x14ac:dyDescent="0.3">
      <c r="A186" s="43"/>
      <c r="B186" s="21" t="s">
        <v>5</v>
      </c>
      <c r="C186" s="18">
        <v>4</v>
      </c>
      <c r="D186">
        <v>2</v>
      </c>
      <c r="E186">
        <v>13</v>
      </c>
      <c r="F186">
        <v>4</v>
      </c>
      <c r="G186">
        <v>2</v>
      </c>
      <c r="H186">
        <v>18</v>
      </c>
      <c r="I186">
        <v>7</v>
      </c>
      <c r="J186">
        <v>4</v>
      </c>
      <c r="K186" s="20">
        <v>13</v>
      </c>
      <c r="L186" s="51"/>
      <c r="M186" s="44" t="s">
        <v>5</v>
      </c>
      <c r="N186" s="18">
        <v>1</v>
      </c>
      <c r="O186">
        <v>2</v>
      </c>
      <c r="P186">
        <v>1</v>
      </c>
      <c r="Q186">
        <v>0</v>
      </c>
      <c r="R186">
        <v>0</v>
      </c>
      <c r="S186">
        <v>2</v>
      </c>
      <c r="T186">
        <v>1</v>
      </c>
      <c r="U186">
        <v>3</v>
      </c>
      <c r="V186">
        <v>4</v>
      </c>
      <c r="W186" s="53"/>
      <c r="X186">
        <v>5</v>
      </c>
      <c r="Y186">
        <v>3</v>
      </c>
      <c r="Z186">
        <v>2</v>
      </c>
      <c r="AA186">
        <v>7</v>
      </c>
      <c r="AB186">
        <v>5</v>
      </c>
      <c r="AC186">
        <v>4</v>
      </c>
      <c r="AD186">
        <v>6</v>
      </c>
      <c r="AE186">
        <v>16</v>
      </c>
      <c r="AF186">
        <v>2</v>
      </c>
      <c r="AG186">
        <v>6</v>
      </c>
      <c r="AH186">
        <v>2</v>
      </c>
      <c r="AI186" s="20">
        <v>2</v>
      </c>
      <c r="AJ186" s="43"/>
      <c r="AK186" s="44" t="s">
        <v>5</v>
      </c>
      <c r="AL186" s="18">
        <v>3</v>
      </c>
      <c r="AM186">
        <v>9</v>
      </c>
      <c r="AN186">
        <v>9</v>
      </c>
      <c r="AO186">
        <v>7</v>
      </c>
      <c r="AP186">
        <v>5</v>
      </c>
      <c r="AQ186" s="20"/>
      <c r="AS186">
        <f t="shared" si="91"/>
        <v>0</v>
      </c>
    </row>
    <row r="187" spans="1:45" x14ac:dyDescent="0.3">
      <c r="A187" s="43"/>
      <c r="B187" s="21" t="s">
        <v>6</v>
      </c>
      <c r="C187" s="18"/>
      <c r="K187" s="20"/>
      <c r="L187" s="51"/>
      <c r="M187" s="44" t="s">
        <v>6</v>
      </c>
      <c r="N187" s="18"/>
      <c r="W187" s="53"/>
      <c r="AI187" s="20"/>
      <c r="AJ187" s="43"/>
      <c r="AK187" s="21" t="s">
        <v>7</v>
      </c>
      <c r="AL187" s="18">
        <v>2</v>
      </c>
      <c r="AM187">
        <v>7</v>
      </c>
      <c r="AN187">
        <v>9</v>
      </c>
      <c r="AO187">
        <v>6</v>
      </c>
      <c r="AP187">
        <v>1</v>
      </c>
      <c r="AQ187" s="20"/>
      <c r="AS187">
        <f t="shared" si="91"/>
        <v>155</v>
      </c>
    </row>
    <row r="188" spans="1:45" x14ac:dyDescent="0.3">
      <c r="A188" s="43"/>
      <c r="B188" s="21" t="s">
        <v>7</v>
      </c>
      <c r="C188" s="18">
        <v>5</v>
      </c>
      <c r="D188">
        <v>0</v>
      </c>
      <c r="E188">
        <v>6</v>
      </c>
      <c r="F188">
        <v>4</v>
      </c>
      <c r="G188">
        <v>7</v>
      </c>
      <c r="H188">
        <v>14</v>
      </c>
      <c r="I188">
        <v>23</v>
      </c>
      <c r="J188">
        <v>9</v>
      </c>
      <c r="K188" s="20">
        <v>18</v>
      </c>
      <c r="L188" s="51"/>
      <c r="M188" s="44" t="s">
        <v>7</v>
      </c>
      <c r="N188" s="18">
        <v>6</v>
      </c>
      <c r="O188">
        <v>3</v>
      </c>
      <c r="P188">
        <v>3</v>
      </c>
      <c r="Q188">
        <v>3</v>
      </c>
      <c r="R188">
        <v>9</v>
      </c>
      <c r="S188">
        <v>8</v>
      </c>
      <c r="T188">
        <v>12</v>
      </c>
      <c r="U188">
        <v>12</v>
      </c>
      <c r="V188">
        <v>15</v>
      </c>
      <c r="W188" s="53"/>
      <c r="X188">
        <v>0</v>
      </c>
      <c r="Y188">
        <v>13</v>
      </c>
      <c r="Z188">
        <v>15</v>
      </c>
      <c r="AA188">
        <v>0</v>
      </c>
      <c r="AB188">
        <v>2</v>
      </c>
      <c r="AC188">
        <v>6</v>
      </c>
      <c r="AD188" s="19">
        <v>20</v>
      </c>
      <c r="AE188">
        <v>5</v>
      </c>
      <c r="AF188">
        <v>16</v>
      </c>
      <c r="AG188">
        <v>1</v>
      </c>
      <c r="AH188">
        <v>2</v>
      </c>
      <c r="AI188" s="20">
        <v>4</v>
      </c>
      <c r="AJ188" s="43"/>
      <c r="AK188" s="21" t="s">
        <v>8</v>
      </c>
      <c r="AL188" s="18"/>
      <c r="AQ188" s="20"/>
      <c r="AS188">
        <f t="shared" si="91"/>
        <v>0</v>
      </c>
    </row>
    <row r="189" spans="1:45" x14ac:dyDescent="0.3">
      <c r="A189" s="45" t="s">
        <v>36</v>
      </c>
      <c r="B189" s="21" t="s">
        <v>10</v>
      </c>
      <c r="C189" s="18"/>
      <c r="K189" s="20"/>
      <c r="L189" s="45" t="str">
        <f>A189</f>
        <v>DO 2T</v>
      </c>
      <c r="M189" s="44" t="s">
        <v>10</v>
      </c>
      <c r="N189" s="18"/>
      <c r="W189" s="53"/>
      <c r="AI189" s="20"/>
      <c r="AJ189" s="45" t="str">
        <f>L189</f>
        <v>DO 2T</v>
      </c>
      <c r="AK189" s="21" t="s">
        <v>11</v>
      </c>
      <c r="AL189" s="18">
        <v>4</v>
      </c>
      <c r="AM189">
        <v>3</v>
      </c>
      <c r="AN189">
        <v>1</v>
      </c>
      <c r="AO189">
        <v>2</v>
      </c>
      <c r="AP189">
        <v>3</v>
      </c>
      <c r="AQ189" s="20"/>
      <c r="AS189">
        <f t="shared" si="91"/>
        <v>95</v>
      </c>
    </row>
    <row r="190" spans="1:45" x14ac:dyDescent="0.3">
      <c r="A190" s="45"/>
      <c r="B190" s="21" t="s">
        <v>11</v>
      </c>
      <c r="C190" s="18">
        <v>3</v>
      </c>
      <c r="D190">
        <v>19</v>
      </c>
      <c r="E190">
        <v>5</v>
      </c>
      <c r="F190">
        <v>14</v>
      </c>
      <c r="G190">
        <v>9</v>
      </c>
      <c r="H190">
        <v>7</v>
      </c>
      <c r="I190">
        <v>4</v>
      </c>
      <c r="J190">
        <v>5</v>
      </c>
      <c r="K190" s="20">
        <v>16</v>
      </c>
      <c r="L190" s="45"/>
      <c r="M190" s="44" t="s">
        <v>11</v>
      </c>
      <c r="N190" s="18">
        <v>1</v>
      </c>
      <c r="O190">
        <v>8</v>
      </c>
      <c r="P190">
        <v>0</v>
      </c>
      <c r="Q190">
        <v>4</v>
      </c>
      <c r="R190">
        <v>3</v>
      </c>
      <c r="S190">
        <v>6</v>
      </c>
      <c r="T190">
        <v>3</v>
      </c>
      <c r="U190">
        <v>6</v>
      </c>
      <c r="V190">
        <v>3</v>
      </c>
      <c r="W190" s="53"/>
      <c r="X190">
        <v>6</v>
      </c>
      <c r="Y190">
        <v>8</v>
      </c>
      <c r="Z190">
        <v>14</v>
      </c>
      <c r="AA190">
        <v>3</v>
      </c>
      <c r="AB190">
        <v>3</v>
      </c>
      <c r="AC190">
        <v>2</v>
      </c>
      <c r="AD190">
        <v>7</v>
      </c>
      <c r="AE190">
        <v>7</v>
      </c>
      <c r="AF190">
        <v>2</v>
      </c>
      <c r="AG190">
        <v>2</v>
      </c>
      <c r="AH190">
        <v>3</v>
      </c>
      <c r="AI190" s="20">
        <v>4</v>
      </c>
      <c r="AJ190" s="45"/>
      <c r="AK190" s="21" t="s">
        <v>12</v>
      </c>
      <c r="AL190" s="18"/>
      <c r="AQ190" s="20"/>
    </row>
    <row r="191" spans="1:45" x14ac:dyDescent="0.3">
      <c r="A191" s="45"/>
      <c r="B191" s="21" t="s">
        <v>12</v>
      </c>
      <c r="C191" s="18"/>
      <c r="K191" s="20"/>
      <c r="L191" s="45"/>
      <c r="M191" s="44" t="s">
        <v>12</v>
      </c>
      <c r="N191" s="18"/>
      <c r="W191" s="53"/>
      <c r="AI191" s="20"/>
      <c r="AJ191" s="45"/>
      <c r="AK191" s="21" t="s">
        <v>13</v>
      </c>
      <c r="AL191" s="18">
        <v>115</v>
      </c>
      <c r="AM191">
        <v>95</v>
      </c>
      <c r="AN191">
        <v>121</v>
      </c>
      <c r="AO191">
        <v>126</v>
      </c>
      <c r="AP191">
        <v>124</v>
      </c>
      <c r="AQ191" s="20"/>
    </row>
    <row r="192" spans="1:45" x14ac:dyDescent="0.3">
      <c r="A192" s="45"/>
      <c r="B192" s="21" t="s">
        <v>13</v>
      </c>
      <c r="C192" s="18">
        <v>123</v>
      </c>
      <c r="D192">
        <v>108</v>
      </c>
      <c r="E192">
        <v>78</v>
      </c>
      <c r="F192">
        <v>125</v>
      </c>
      <c r="G192">
        <v>111</v>
      </c>
      <c r="H192">
        <v>80</v>
      </c>
      <c r="I192">
        <v>95</v>
      </c>
      <c r="J192">
        <v>105</v>
      </c>
      <c r="K192" s="20">
        <v>101</v>
      </c>
      <c r="L192" s="45"/>
      <c r="M192" s="44" t="s">
        <v>13</v>
      </c>
      <c r="N192" s="18">
        <v>126</v>
      </c>
      <c r="O192">
        <v>140</v>
      </c>
      <c r="P192">
        <v>137</v>
      </c>
      <c r="Q192">
        <v>134</v>
      </c>
      <c r="R192">
        <v>134</v>
      </c>
      <c r="S192">
        <v>124</v>
      </c>
      <c r="T192">
        <v>110</v>
      </c>
      <c r="U192">
        <v>104</v>
      </c>
      <c r="V192">
        <v>124</v>
      </c>
      <c r="W192" s="53"/>
      <c r="X192">
        <v>123</v>
      </c>
      <c r="Y192">
        <v>125</v>
      </c>
      <c r="Z192">
        <v>97</v>
      </c>
      <c r="AA192">
        <v>119</v>
      </c>
      <c r="AB192">
        <v>131</v>
      </c>
      <c r="AC192">
        <v>100</v>
      </c>
      <c r="AD192">
        <v>91</v>
      </c>
      <c r="AE192">
        <v>97</v>
      </c>
      <c r="AF192">
        <v>102</v>
      </c>
      <c r="AG192">
        <v>98</v>
      </c>
      <c r="AH192">
        <v>151</v>
      </c>
      <c r="AI192" s="20">
        <v>117</v>
      </c>
      <c r="AJ192" s="45"/>
      <c r="AK192" s="21" t="s">
        <v>14</v>
      </c>
      <c r="AL192" s="27">
        <v>271</v>
      </c>
      <c r="AM192" s="28">
        <v>280</v>
      </c>
      <c r="AN192" s="28">
        <v>280</v>
      </c>
      <c r="AO192" s="28">
        <v>288</v>
      </c>
      <c r="AP192" s="28">
        <v>298</v>
      </c>
      <c r="AQ192" s="29"/>
    </row>
    <row r="193" spans="1:45" x14ac:dyDescent="0.3">
      <c r="A193" s="67"/>
      <c r="B193" s="72" t="s">
        <v>14</v>
      </c>
      <c r="C193" s="27">
        <v>304</v>
      </c>
      <c r="D193" s="28">
        <v>299</v>
      </c>
      <c r="E193" s="28">
        <v>248</v>
      </c>
      <c r="F193" s="28">
        <v>298</v>
      </c>
      <c r="G193" s="28">
        <v>309</v>
      </c>
      <c r="H193" s="28">
        <v>275</v>
      </c>
      <c r="I193" s="28">
        <v>289</v>
      </c>
      <c r="J193" s="28">
        <v>289</v>
      </c>
      <c r="K193" s="29">
        <v>298</v>
      </c>
      <c r="L193" s="67"/>
      <c r="M193" s="69" t="s">
        <v>14</v>
      </c>
      <c r="N193" s="27">
        <v>335</v>
      </c>
      <c r="O193" s="28">
        <v>341</v>
      </c>
      <c r="P193" s="28">
        <v>320</v>
      </c>
      <c r="Q193" s="28">
        <v>320</v>
      </c>
      <c r="R193" s="28">
        <v>351</v>
      </c>
      <c r="S193" s="28">
        <v>341</v>
      </c>
      <c r="T193" s="28">
        <v>290</v>
      </c>
      <c r="U193" s="28">
        <v>304</v>
      </c>
      <c r="V193" s="28">
        <v>306</v>
      </c>
      <c r="W193" s="55"/>
      <c r="X193" s="28">
        <v>288</v>
      </c>
      <c r="Y193" s="28">
        <v>306</v>
      </c>
      <c r="Z193" s="28">
        <v>296</v>
      </c>
      <c r="AA193" s="28">
        <v>293</v>
      </c>
      <c r="AB193" s="28">
        <v>301</v>
      </c>
      <c r="AC193" s="28">
        <v>295</v>
      </c>
      <c r="AD193" s="28">
        <v>304</v>
      </c>
      <c r="AE193" s="28">
        <v>294</v>
      </c>
      <c r="AF193" s="28">
        <v>261</v>
      </c>
      <c r="AG193" s="28">
        <v>325</v>
      </c>
      <c r="AH193" s="28">
        <v>356</v>
      </c>
      <c r="AI193" s="29">
        <v>290</v>
      </c>
      <c r="AJ193" s="30"/>
      <c r="AK193" s="18"/>
      <c r="AQ193" s="20"/>
    </row>
    <row r="194" spans="1:45" x14ac:dyDescent="0.3">
      <c r="A194" s="70">
        <f>+A183</f>
        <v>46089</v>
      </c>
      <c r="B194" s="73" t="s">
        <v>2</v>
      </c>
      <c r="C194" s="9">
        <f t="shared" ref="C194:K194" si="92">(C203*100000)/(C204*60*8)</f>
        <v>86.633663366336634</v>
      </c>
      <c r="D194" s="10">
        <f t="shared" si="92"/>
        <v>50.167224080267559</v>
      </c>
      <c r="E194" s="10">
        <f t="shared" si="92"/>
        <v>90.725806451612897</v>
      </c>
      <c r="F194" s="10">
        <f t="shared" si="92"/>
        <v>85.867117117117118</v>
      </c>
      <c r="G194" s="10">
        <f t="shared" si="92"/>
        <v>82.254584681769146</v>
      </c>
      <c r="H194" s="10">
        <f t="shared" si="92"/>
        <v>84.397810218978108</v>
      </c>
      <c r="I194" s="10">
        <f t="shared" si="92"/>
        <v>82.900807381776247</v>
      </c>
      <c r="J194" s="10">
        <f t="shared" si="92"/>
        <v>86.130742049469958</v>
      </c>
      <c r="K194" s="11">
        <f t="shared" si="92"/>
        <v>90.18456375838926</v>
      </c>
      <c r="L194" s="71">
        <f>A194</f>
        <v>46089</v>
      </c>
      <c r="M194" s="74" t="s">
        <v>2</v>
      </c>
      <c r="N194" s="13">
        <f>(N203*100000)/(N204*60*8)</f>
        <v>90.796019900497512</v>
      </c>
      <c r="O194" s="14">
        <f t="shared" ref="O194:AI194" si="93">(O203*100000)/(O204*60*8)</f>
        <v>85.784313725490193</v>
      </c>
      <c r="P194" s="14">
        <f t="shared" si="93"/>
        <v>92.447916666666671</v>
      </c>
      <c r="Q194" s="14">
        <f t="shared" si="93"/>
        <v>89.84375</v>
      </c>
      <c r="R194" s="14">
        <f t="shared" si="93"/>
        <v>89.285714285714292</v>
      </c>
      <c r="S194" s="14">
        <f t="shared" si="93"/>
        <v>36.26543209876543</v>
      </c>
      <c r="T194" s="14">
        <f t="shared" si="93"/>
        <v>89.798850574712645</v>
      </c>
      <c r="U194" s="14">
        <f t="shared" si="93"/>
        <v>89.383938393839387</v>
      </c>
      <c r="V194" s="14">
        <f t="shared" si="93"/>
        <v>79.656862745098039</v>
      </c>
      <c r="W194" s="52" t="s">
        <v>30</v>
      </c>
      <c r="X194" s="14">
        <f t="shared" si="93"/>
        <v>71.614583333333329</v>
      </c>
      <c r="Y194" s="14">
        <f t="shared" si="93"/>
        <v>74.647122692725304</v>
      </c>
      <c r="Z194" s="14">
        <f t="shared" si="93"/>
        <v>89.386261261261268</v>
      </c>
      <c r="AA194" s="14">
        <f t="shared" si="93"/>
        <v>82.049086757990864</v>
      </c>
      <c r="AB194" s="14">
        <f t="shared" si="93"/>
        <v>95.888520971302427</v>
      </c>
      <c r="AC194" s="14">
        <f t="shared" si="93"/>
        <v>94.891552511415526</v>
      </c>
      <c r="AD194" s="14">
        <f t="shared" si="93"/>
        <v>75.632563256325639</v>
      </c>
      <c r="AE194" s="14">
        <f t="shared" si="93"/>
        <v>83.902161547212742</v>
      </c>
      <c r="AF194" s="14">
        <f t="shared" si="93"/>
        <v>80.929487179487182</v>
      </c>
      <c r="AG194" s="14">
        <f t="shared" si="93"/>
        <v>52.469135802469133</v>
      </c>
      <c r="AH194" s="14">
        <f t="shared" si="93"/>
        <v>61.032863849765256</v>
      </c>
      <c r="AI194" s="11">
        <f t="shared" si="93"/>
        <v>90.773809523809518</v>
      </c>
      <c r="AJ194" s="43">
        <f>L194</f>
        <v>46089</v>
      </c>
      <c r="AK194" s="21" t="s">
        <v>2</v>
      </c>
      <c r="AL194" s="9">
        <f>(AL202*100000)/(AL203*60*8)</f>
        <v>90.791180285343714</v>
      </c>
      <c r="AM194" s="10">
        <f t="shared" ref="AM194:AP194" si="94">(AM202*100000)/(AM203*60*8)</f>
        <v>75.148809523809518</v>
      </c>
      <c r="AN194" s="10">
        <f t="shared" si="94"/>
        <v>96.726190476190482</v>
      </c>
      <c r="AO194" s="10">
        <f t="shared" si="94"/>
        <v>72.087658592848911</v>
      </c>
      <c r="AP194" s="10">
        <f t="shared" si="94"/>
        <v>88.786353467561526</v>
      </c>
      <c r="AQ194" s="15"/>
      <c r="AS194">
        <f t="shared" ref="AS194:AS201" si="95">SUM(N195:AI195)</f>
        <v>154</v>
      </c>
    </row>
    <row r="195" spans="1:45" x14ac:dyDescent="0.3">
      <c r="A195" s="43"/>
      <c r="B195" s="21" t="s">
        <v>3</v>
      </c>
      <c r="C195" s="18">
        <v>6</v>
      </c>
      <c r="D195">
        <v>7</v>
      </c>
      <c r="E195">
        <v>6</v>
      </c>
      <c r="F195">
        <v>2</v>
      </c>
      <c r="G195">
        <v>8</v>
      </c>
      <c r="H195">
        <v>2</v>
      </c>
      <c r="I195">
        <v>8</v>
      </c>
      <c r="J195">
        <v>9</v>
      </c>
      <c r="K195" s="20">
        <v>13</v>
      </c>
      <c r="L195" s="51"/>
      <c r="M195" s="44" t="s">
        <v>3</v>
      </c>
      <c r="N195" s="18">
        <v>4</v>
      </c>
      <c r="O195">
        <v>17</v>
      </c>
      <c r="P195">
        <v>6</v>
      </c>
      <c r="Q195">
        <v>0</v>
      </c>
      <c r="R195">
        <v>2</v>
      </c>
      <c r="S195">
        <v>1</v>
      </c>
      <c r="T195">
        <v>1</v>
      </c>
      <c r="U195">
        <v>17</v>
      </c>
      <c r="V195">
        <v>3</v>
      </c>
      <c r="W195" s="53"/>
      <c r="X195" s="19">
        <v>20</v>
      </c>
      <c r="Y195">
        <v>7</v>
      </c>
      <c r="Z195">
        <v>9</v>
      </c>
      <c r="AA195" s="19">
        <v>23</v>
      </c>
      <c r="AB195">
        <v>2</v>
      </c>
      <c r="AC195">
        <v>2</v>
      </c>
      <c r="AD195" s="19">
        <v>22</v>
      </c>
      <c r="AE195">
        <v>2</v>
      </c>
      <c r="AF195">
        <v>4</v>
      </c>
      <c r="AG195">
        <v>2</v>
      </c>
      <c r="AH195">
        <v>6</v>
      </c>
      <c r="AI195" s="20">
        <v>4</v>
      </c>
      <c r="AJ195" s="43"/>
      <c r="AK195" s="21" t="s">
        <v>3</v>
      </c>
      <c r="AL195" s="18">
        <v>2</v>
      </c>
      <c r="AM195">
        <v>9</v>
      </c>
      <c r="AN195">
        <v>3</v>
      </c>
      <c r="AO195">
        <v>3</v>
      </c>
      <c r="AP195">
        <v>7</v>
      </c>
      <c r="AQ195" s="20"/>
      <c r="AS195">
        <f t="shared" si="95"/>
        <v>0</v>
      </c>
    </row>
    <row r="196" spans="1:45" x14ac:dyDescent="0.3">
      <c r="A196" s="43"/>
      <c r="B196" s="21" t="s">
        <v>4</v>
      </c>
      <c r="C196" s="18"/>
      <c r="K196" s="20"/>
      <c r="L196" s="51"/>
      <c r="M196" s="44" t="s">
        <v>4</v>
      </c>
      <c r="N196" s="18"/>
      <c r="W196" s="53"/>
      <c r="AJ196" s="43"/>
      <c r="AK196" s="21" t="s">
        <v>4</v>
      </c>
      <c r="AL196" s="18"/>
      <c r="AQ196" s="20"/>
      <c r="AS196">
        <f t="shared" si="95"/>
        <v>115</v>
      </c>
    </row>
    <row r="197" spans="1:45" x14ac:dyDescent="0.3">
      <c r="A197" s="43"/>
      <c r="B197" s="21" t="s">
        <v>5</v>
      </c>
      <c r="C197" s="18">
        <v>1</v>
      </c>
      <c r="D197">
        <v>10</v>
      </c>
      <c r="E197">
        <v>4</v>
      </c>
      <c r="F197">
        <v>2</v>
      </c>
      <c r="G197">
        <v>4</v>
      </c>
      <c r="H197">
        <v>8</v>
      </c>
      <c r="I197">
        <v>14</v>
      </c>
      <c r="J197">
        <v>3</v>
      </c>
      <c r="K197" s="20">
        <v>5</v>
      </c>
      <c r="L197" s="51"/>
      <c r="M197" s="44" t="s">
        <v>5</v>
      </c>
      <c r="N197" s="18">
        <v>0</v>
      </c>
      <c r="O197">
        <v>3</v>
      </c>
      <c r="P197">
        <v>1</v>
      </c>
      <c r="Q197">
        <v>1</v>
      </c>
      <c r="R197">
        <v>1</v>
      </c>
      <c r="S197">
        <v>5</v>
      </c>
      <c r="T197">
        <v>1</v>
      </c>
      <c r="U197">
        <v>0</v>
      </c>
      <c r="V197">
        <v>3</v>
      </c>
      <c r="W197" s="53"/>
      <c r="X197">
        <v>9</v>
      </c>
      <c r="Y197">
        <v>10</v>
      </c>
      <c r="Z197">
        <v>3</v>
      </c>
      <c r="AA197">
        <v>10</v>
      </c>
      <c r="AB197">
        <v>4</v>
      </c>
      <c r="AC197">
        <v>3</v>
      </c>
      <c r="AD197">
        <v>6</v>
      </c>
      <c r="AE197">
        <v>17</v>
      </c>
      <c r="AF197">
        <v>5</v>
      </c>
      <c r="AG197" s="19">
        <v>26</v>
      </c>
      <c r="AH197">
        <v>4</v>
      </c>
      <c r="AI197" s="20">
        <v>3</v>
      </c>
      <c r="AJ197" s="43"/>
      <c r="AK197" s="21" t="s">
        <v>5</v>
      </c>
      <c r="AL197" s="18">
        <v>14</v>
      </c>
      <c r="AM197">
        <v>5</v>
      </c>
      <c r="AN197">
        <v>5</v>
      </c>
      <c r="AO197">
        <v>0</v>
      </c>
      <c r="AP197">
        <v>0</v>
      </c>
      <c r="AQ197" s="20"/>
      <c r="AS197">
        <f t="shared" si="95"/>
        <v>0</v>
      </c>
    </row>
    <row r="198" spans="1:45" x14ac:dyDescent="0.3">
      <c r="A198" s="43"/>
      <c r="B198" s="21" t="s">
        <v>6</v>
      </c>
      <c r="C198" s="18"/>
      <c r="K198" s="20"/>
      <c r="L198" s="51"/>
      <c r="M198" s="44" t="s">
        <v>6</v>
      </c>
      <c r="N198" s="18"/>
      <c r="W198" s="53"/>
      <c r="AI198" s="20"/>
      <c r="AJ198" s="43"/>
      <c r="AK198" s="21" t="s">
        <v>7</v>
      </c>
      <c r="AL198" s="18">
        <v>3</v>
      </c>
      <c r="AM198">
        <v>7</v>
      </c>
      <c r="AN198">
        <v>4</v>
      </c>
      <c r="AO198">
        <v>7</v>
      </c>
      <c r="AP198">
        <v>2</v>
      </c>
      <c r="AQ198" s="20"/>
      <c r="AS198">
        <f t="shared" si="95"/>
        <v>145</v>
      </c>
    </row>
    <row r="199" spans="1:45" x14ac:dyDescent="0.3">
      <c r="A199" s="43"/>
      <c r="B199" s="21" t="s">
        <v>7</v>
      </c>
      <c r="C199" s="18">
        <v>15</v>
      </c>
      <c r="D199">
        <v>1</v>
      </c>
      <c r="E199">
        <v>1</v>
      </c>
      <c r="F199">
        <v>18</v>
      </c>
      <c r="G199" s="19">
        <v>20</v>
      </c>
      <c r="H199">
        <v>10</v>
      </c>
      <c r="I199">
        <v>7</v>
      </c>
      <c r="J199">
        <v>8</v>
      </c>
      <c r="K199" s="20">
        <v>8</v>
      </c>
      <c r="L199" s="51"/>
      <c r="M199" s="44" t="s">
        <v>7</v>
      </c>
      <c r="N199" s="18">
        <v>4</v>
      </c>
      <c r="O199">
        <v>0</v>
      </c>
      <c r="P199">
        <v>2</v>
      </c>
      <c r="Q199">
        <v>5</v>
      </c>
      <c r="R199">
        <v>10</v>
      </c>
      <c r="S199">
        <v>12</v>
      </c>
      <c r="T199">
        <v>14</v>
      </c>
      <c r="U199">
        <v>3</v>
      </c>
      <c r="V199">
        <v>7</v>
      </c>
      <c r="W199" s="53"/>
      <c r="X199">
        <v>4</v>
      </c>
      <c r="Y199" s="19">
        <v>35</v>
      </c>
      <c r="Z199">
        <v>5</v>
      </c>
      <c r="AA199">
        <v>0</v>
      </c>
      <c r="AB199">
        <v>2</v>
      </c>
      <c r="AC199">
        <v>3</v>
      </c>
      <c r="AD199">
        <v>11</v>
      </c>
      <c r="AE199">
        <v>4</v>
      </c>
      <c r="AF199">
        <v>8</v>
      </c>
      <c r="AG199">
        <v>7</v>
      </c>
      <c r="AH199">
        <v>4</v>
      </c>
      <c r="AI199" s="20">
        <v>5</v>
      </c>
      <c r="AJ199" s="43"/>
      <c r="AK199" s="21" t="s">
        <v>8</v>
      </c>
      <c r="AL199" s="18">
        <v>3</v>
      </c>
      <c r="AQ199" s="20"/>
      <c r="AS199">
        <f t="shared" si="95"/>
        <v>0</v>
      </c>
    </row>
    <row r="200" spans="1:45" x14ac:dyDescent="0.3">
      <c r="A200" s="45" t="s">
        <v>37</v>
      </c>
      <c r="B200" s="21" t="s">
        <v>10</v>
      </c>
      <c r="C200" s="18"/>
      <c r="K200" s="20"/>
      <c r="L200" s="45" t="str">
        <f>A200</f>
        <v>DO 3T</v>
      </c>
      <c r="M200" s="44" t="s">
        <v>10</v>
      </c>
      <c r="N200" s="18"/>
      <c r="W200" s="53"/>
      <c r="AI200" s="20"/>
      <c r="AJ200" s="45" t="str">
        <f>L200</f>
        <v>DO 3T</v>
      </c>
      <c r="AK200" s="21" t="s">
        <v>11</v>
      </c>
      <c r="AL200" s="18">
        <v>4</v>
      </c>
      <c r="AM200">
        <v>2</v>
      </c>
      <c r="AN200">
        <v>1</v>
      </c>
      <c r="AO200">
        <v>2</v>
      </c>
      <c r="AP200">
        <v>10</v>
      </c>
      <c r="AQ200" s="20"/>
      <c r="AS200">
        <f t="shared" si="95"/>
        <v>88</v>
      </c>
    </row>
    <row r="201" spans="1:45" x14ac:dyDescent="0.3">
      <c r="A201" s="45"/>
      <c r="B201" s="21" t="s">
        <v>11</v>
      </c>
      <c r="C201" s="18">
        <v>2</v>
      </c>
      <c r="D201">
        <v>7</v>
      </c>
      <c r="E201">
        <v>6</v>
      </c>
      <c r="F201" s="19">
        <v>28</v>
      </c>
      <c r="G201">
        <v>3</v>
      </c>
      <c r="H201">
        <v>3</v>
      </c>
      <c r="I201">
        <v>18</v>
      </c>
      <c r="J201">
        <v>2</v>
      </c>
      <c r="K201" s="20">
        <v>6</v>
      </c>
      <c r="L201" s="45"/>
      <c r="M201" s="44" t="s">
        <v>11</v>
      </c>
      <c r="N201" s="18">
        <v>1</v>
      </c>
      <c r="O201">
        <v>3</v>
      </c>
      <c r="P201">
        <v>0</v>
      </c>
      <c r="Q201">
        <v>4</v>
      </c>
      <c r="R201">
        <v>3</v>
      </c>
      <c r="S201">
        <v>10</v>
      </c>
      <c r="T201">
        <v>2</v>
      </c>
      <c r="U201">
        <v>3</v>
      </c>
      <c r="V201">
        <v>3</v>
      </c>
      <c r="W201" s="53"/>
      <c r="X201">
        <v>6</v>
      </c>
      <c r="Y201">
        <v>9</v>
      </c>
      <c r="Z201">
        <v>7</v>
      </c>
      <c r="AA201">
        <v>3</v>
      </c>
      <c r="AB201">
        <v>2</v>
      </c>
      <c r="AC201">
        <v>2</v>
      </c>
      <c r="AD201">
        <v>8</v>
      </c>
      <c r="AE201">
        <v>4</v>
      </c>
      <c r="AF201">
        <v>2</v>
      </c>
      <c r="AG201">
        <v>10</v>
      </c>
      <c r="AH201">
        <v>3</v>
      </c>
      <c r="AI201" s="20">
        <v>3</v>
      </c>
      <c r="AJ201" s="45"/>
      <c r="AK201" s="21" t="s">
        <v>12</v>
      </c>
      <c r="AL201" s="18"/>
      <c r="AQ201" s="20"/>
      <c r="AS201">
        <f t="shared" si="95"/>
        <v>0</v>
      </c>
    </row>
    <row r="202" spans="1:45" x14ac:dyDescent="0.3">
      <c r="A202" s="45"/>
      <c r="B202" s="21" t="s">
        <v>12</v>
      </c>
      <c r="C202" s="18"/>
      <c r="K202" s="20"/>
      <c r="L202" s="45"/>
      <c r="M202" s="44" t="s">
        <v>12</v>
      </c>
      <c r="N202" s="18"/>
      <c r="W202" s="53"/>
      <c r="AI202" s="20"/>
      <c r="AJ202" s="45"/>
      <c r="AK202" s="21" t="s">
        <v>13</v>
      </c>
      <c r="AL202" s="18">
        <v>112</v>
      </c>
      <c r="AM202">
        <v>101</v>
      </c>
      <c r="AN202">
        <v>130</v>
      </c>
      <c r="AO202">
        <v>100</v>
      </c>
      <c r="AP202">
        <v>127</v>
      </c>
      <c r="AQ202" s="20"/>
    </row>
    <row r="203" spans="1:45" x14ac:dyDescent="0.3">
      <c r="A203" s="45"/>
      <c r="B203" s="21" t="s">
        <v>13</v>
      </c>
      <c r="C203" s="18">
        <v>126</v>
      </c>
      <c r="D203">
        <v>72</v>
      </c>
      <c r="E203">
        <v>108</v>
      </c>
      <c r="F203">
        <v>122</v>
      </c>
      <c r="G203">
        <v>122</v>
      </c>
      <c r="H203">
        <v>111</v>
      </c>
      <c r="I203">
        <v>115</v>
      </c>
      <c r="J203">
        <v>117</v>
      </c>
      <c r="K203" s="20">
        <v>129</v>
      </c>
      <c r="L203" s="45"/>
      <c r="M203" s="44" t="s">
        <v>13</v>
      </c>
      <c r="N203" s="18">
        <v>146</v>
      </c>
      <c r="O203">
        <v>140</v>
      </c>
      <c r="P203">
        <v>142</v>
      </c>
      <c r="Q203">
        <v>138</v>
      </c>
      <c r="R203">
        <v>150</v>
      </c>
      <c r="S203">
        <v>47</v>
      </c>
      <c r="T203">
        <v>125</v>
      </c>
      <c r="U203">
        <v>130</v>
      </c>
      <c r="V203">
        <v>117</v>
      </c>
      <c r="W203" s="53"/>
      <c r="X203">
        <v>99</v>
      </c>
      <c r="Y203">
        <v>110</v>
      </c>
      <c r="Z203">
        <v>127</v>
      </c>
      <c r="AA203">
        <v>115</v>
      </c>
      <c r="AB203">
        <v>139</v>
      </c>
      <c r="AC203">
        <v>133</v>
      </c>
      <c r="AD203">
        <v>110</v>
      </c>
      <c r="AE203">
        <v>118</v>
      </c>
      <c r="AF203">
        <v>101</v>
      </c>
      <c r="AG203">
        <v>68</v>
      </c>
      <c r="AH203">
        <v>104</v>
      </c>
      <c r="AI203" s="20">
        <v>122</v>
      </c>
      <c r="AJ203" s="45"/>
      <c r="AK203" s="21" t="s">
        <v>14</v>
      </c>
      <c r="AL203" s="27">
        <v>257</v>
      </c>
      <c r="AM203" s="28">
        <v>280</v>
      </c>
      <c r="AN203" s="28">
        <v>280</v>
      </c>
      <c r="AO203" s="28">
        <v>289</v>
      </c>
      <c r="AP203" s="28">
        <v>298</v>
      </c>
      <c r="AQ203" s="29"/>
    </row>
    <row r="204" spans="1:45" ht="15" thickBot="1" x14ac:dyDescent="0.35">
      <c r="A204" s="75"/>
      <c r="B204" s="37" t="s">
        <v>14</v>
      </c>
      <c r="C204" s="27">
        <v>303</v>
      </c>
      <c r="D204" s="28">
        <v>299</v>
      </c>
      <c r="E204" s="28">
        <v>248</v>
      </c>
      <c r="F204" s="28">
        <v>296</v>
      </c>
      <c r="G204" s="28">
        <v>309</v>
      </c>
      <c r="H204" s="28">
        <v>274</v>
      </c>
      <c r="I204" s="28">
        <v>289</v>
      </c>
      <c r="J204" s="28">
        <v>283</v>
      </c>
      <c r="K204" s="29">
        <v>298</v>
      </c>
      <c r="L204" s="45"/>
      <c r="M204" s="44" t="s">
        <v>14</v>
      </c>
      <c r="N204" s="27">
        <v>335</v>
      </c>
      <c r="O204" s="28">
        <v>340</v>
      </c>
      <c r="P204" s="28">
        <v>320</v>
      </c>
      <c r="Q204" s="28">
        <v>320</v>
      </c>
      <c r="R204" s="28">
        <v>350</v>
      </c>
      <c r="S204" s="28">
        <v>270</v>
      </c>
      <c r="T204" s="28">
        <v>290</v>
      </c>
      <c r="U204" s="28">
        <v>303</v>
      </c>
      <c r="V204" s="28">
        <v>306</v>
      </c>
      <c r="W204" s="55"/>
      <c r="X204" s="28">
        <v>288</v>
      </c>
      <c r="Y204" s="28">
        <v>307</v>
      </c>
      <c r="Z204" s="28">
        <v>296</v>
      </c>
      <c r="AA204" s="28">
        <v>292</v>
      </c>
      <c r="AB204" s="28">
        <v>302</v>
      </c>
      <c r="AC204" s="28">
        <v>292</v>
      </c>
      <c r="AD204" s="28">
        <v>303</v>
      </c>
      <c r="AE204" s="28">
        <v>293</v>
      </c>
      <c r="AF204" s="28">
        <v>260</v>
      </c>
      <c r="AG204" s="28">
        <v>270</v>
      </c>
      <c r="AH204" s="28">
        <v>355</v>
      </c>
      <c r="AI204" s="29">
        <v>280</v>
      </c>
      <c r="AJ204" s="30"/>
      <c r="AK204" s="18"/>
      <c r="AQ204" s="20"/>
    </row>
    <row r="205" spans="1:45" x14ac:dyDescent="0.3">
      <c r="A205" s="16">
        <f>A194+1</f>
        <v>46090</v>
      </c>
      <c r="B205" s="24" t="s">
        <v>1</v>
      </c>
      <c r="C205" s="39">
        <v>201</v>
      </c>
      <c r="D205" s="39">
        <f>+C205+1</f>
        <v>202</v>
      </c>
      <c r="E205" s="39">
        <f>+D205+1</f>
        <v>203</v>
      </c>
      <c r="F205" s="39">
        <f>+E205+1</f>
        <v>204</v>
      </c>
      <c r="G205" s="39">
        <f>+F205+1</f>
        <v>205</v>
      </c>
      <c r="H205" s="39">
        <f>+G205+1</f>
        <v>206</v>
      </c>
      <c r="I205" s="39">
        <v>213</v>
      </c>
      <c r="J205" s="39">
        <f>+I205+1</f>
        <v>214</v>
      </c>
      <c r="K205" s="40">
        <f>+J205+1</f>
        <v>215</v>
      </c>
      <c r="L205" s="7">
        <f>A205</f>
        <v>46090</v>
      </c>
      <c r="M205" s="8" t="s">
        <v>1</v>
      </c>
      <c r="N205" s="39">
        <v>299</v>
      </c>
      <c r="O205" s="39">
        <f t="shared" ref="O205:X205" si="96">+N205+1</f>
        <v>300</v>
      </c>
      <c r="P205" s="39">
        <f t="shared" si="96"/>
        <v>301</v>
      </c>
      <c r="Q205" s="39">
        <f t="shared" si="96"/>
        <v>302</v>
      </c>
      <c r="R205" s="39">
        <f t="shared" si="96"/>
        <v>303</v>
      </c>
      <c r="S205" s="39">
        <f t="shared" si="96"/>
        <v>304</v>
      </c>
      <c r="T205" s="39">
        <f t="shared" si="96"/>
        <v>305</v>
      </c>
      <c r="U205" s="39">
        <f t="shared" si="96"/>
        <v>306</v>
      </c>
      <c r="V205" s="39">
        <f t="shared" si="96"/>
        <v>307</v>
      </c>
      <c r="W205" s="39">
        <f t="shared" si="96"/>
        <v>308</v>
      </c>
      <c r="X205" s="39">
        <f t="shared" si="96"/>
        <v>309</v>
      </c>
      <c r="Y205" s="39">
        <f>+X205+1</f>
        <v>310</v>
      </c>
      <c r="Z205" s="39">
        <f t="shared" ref="Z205:AB205" si="97">+Y205+1</f>
        <v>311</v>
      </c>
      <c r="AA205" s="39">
        <f t="shared" si="97"/>
        <v>312</v>
      </c>
      <c r="AB205" s="39">
        <f t="shared" si="97"/>
        <v>313</v>
      </c>
      <c r="AC205" s="39">
        <f>+AB205+1</f>
        <v>314</v>
      </c>
      <c r="AD205" s="39">
        <f t="shared" ref="AD205:AI205" si="98">+AC205+1</f>
        <v>315</v>
      </c>
      <c r="AE205" s="39">
        <f t="shared" si="98"/>
        <v>316</v>
      </c>
      <c r="AF205" s="39">
        <f t="shared" si="98"/>
        <v>317</v>
      </c>
      <c r="AG205" s="39">
        <f t="shared" si="98"/>
        <v>318</v>
      </c>
      <c r="AH205" s="39">
        <f t="shared" si="98"/>
        <v>319</v>
      </c>
      <c r="AI205" s="40">
        <f t="shared" si="98"/>
        <v>320</v>
      </c>
      <c r="AJ205" s="7">
        <f>L205</f>
        <v>46090</v>
      </c>
      <c r="AK205" s="12" t="s">
        <v>1</v>
      </c>
      <c r="AL205" s="42">
        <v>207</v>
      </c>
      <c r="AM205" s="42">
        <f>+AL205+1</f>
        <v>208</v>
      </c>
      <c r="AN205" s="42">
        <f>+AM205+1</f>
        <v>209</v>
      </c>
      <c r="AO205" s="42">
        <f>+AN205+1</f>
        <v>210</v>
      </c>
      <c r="AP205" s="42">
        <f>+AO205+1</f>
        <v>211</v>
      </c>
      <c r="AQ205" s="40">
        <f>+AP205+1</f>
        <v>212</v>
      </c>
    </row>
    <row r="206" spans="1:45" x14ac:dyDescent="0.3">
      <c r="A206" s="16"/>
      <c r="B206" s="24" t="s">
        <v>2</v>
      </c>
      <c r="C206" s="9">
        <f t="shared" ref="C206:K206" si="99">(C215*100000)/(C216*60*8)</f>
        <v>91.446644664466447</v>
      </c>
      <c r="D206" s="32" t="s">
        <v>38</v>
      </c>
      <c r="E206" s="10">
        <f t="shared" si="99"/>
        <v>89.885752688172047</v>
      </c>
      <c r="F206" s="10">
        <f t="shared" si="99"/>
        <v>81.64414414414415</v>
      </c>
      <c r="G206" s="10">
        <f t="shared" si="99"/>
        <v>93.042071197411005</v>
      </c>
      <c r="H206" s="10">
        <f t="shared" si="99"/>
        <v>72.992700729927009</v>
      </c>
      <c r="I206" s="10">
        <f t="shared" si="99"/>
        <v>86.505190311418687</v>
      </c>
      <c r="J206" s="10">
        <f t="shared" si="99"/>
        <v>92.756183745583044</v>
      </c>
      <c r="K206" s="11">
        <f t="shared" si="99"/>
        <v>79.697986577181211</v>
      </c>
      <c r="L206" s="16"/>
      <c r="M206" s="21" t="s">
        <v>2</v>
      </c>
      <c r="N206" s="13">
        <f>(N215*100000)/(N216*60*8)</f>
        <v>87.06467661691542</v>
      </c>
      <c r="O206" s="14">
        <f t="shared" ref="O206:S206" si="100">(O215*100000)/(O216*60*8)</f>
        <v>63.725490196078432</v>
      </c>
      <c r="P206" s="14">
        <f t="shared" si="100"/>
        <v>96.354166666666671</v>
      </c>
      <c r="Q206" s="14">
        <f t="shared" si="100"/>
        <v>84.635416666666671</v>
      </c>
      <c r="R206" s="14">
        <f t="shared" si="100"/>
        <v>88.69047619047619</v>
      </c>
      <c r="S206" s="14">
        <f t="shared" si="100"/>
        <v>74.074074074074076</v>
      </c>
      <c r="T206" s="14">
        <f>(T215*100000)/(T216*60*8)</f>
        <v>86.925287356321846</v>
      </c>
      <c r="U206" s="14">
        <f>(U215*100000)/(U216*60*8)</f>
        <v>66.006600660066013</v>
      </c>
      <c r="V206" s="14">
        <f t="shared" ref="V206:AI206" si="101">(V215*100000)/(V216*60*8)</f>
        <v>44.934640522875817</v>
      </c>
      <c r="W206" s="14">
        <f t="shared" si="101"/>
        <v>63.524590163934427</v>
      </c>
      <c r="X206" s="14">
        <f t="shared" si="101"/>
        <v>69.444444444444443</v>
      </c>
      <c r="Y206" s="52" t="s">
        <v>30</v>
      </c>
      <c r="Z206" s="14">
        <f t="shared" si="101"/>
        <v>73.902027027027032</v>
      </c>
      <c r="AA206" s="14">
        <f t="shared" si="101"/>
        <v>37.81392694063927</v>
      </c>
      <c r="AB206" s="14">
        <f t="shared" si="101"/>
        <v>73.813465783664455</v>
      </c>
      <c r="AC206" s="14">
        <f t="shared" si="101"/>
        <v>87.756849315068493</v>
      </c>
      <c r="AD206" s="14">
        <f t="shared" si="101"/>
        <v>69.444444444444443</v>
      </c>
      <c r="AE206" s="14">
        <f t="shared" si="101"/>
        <v>69.68145620022753</v>
      </c>
      <c r="AF206" s="14">
        <f t="shared" si="101"/>
        <v>83.333333333333329</v>
      </c>
      <c r="AG206" s="14">
        <f t="shared" si="101"/>
        <v>77.160493827160494</v>
      </c>
      <c r="AH206" s="14">
        <f t="shared" si="101"/>
        <v>92.72300469483568</v>
      </c>
      <c r="AI206" s="11">
        <f t="shared" si="101"/>
        <v>86.30952380952381</v>
      </c>
      <c r="AJ206" s="16"/>
      <c r="AK206" s="21" t="s">
        <v>2</v>
      </c>
      <c r="AL206" s="9">
        <f>(AL214*100000)/(AL215*60*8)</f>
        <v>59.17639429312581</v>
      </c>
      <c r="AM206" s="60" t="s">
        <v>39</v>
      </c>
      <c r="AN206" s="10">
        <f t="shared" ref="AN206:AP206" si="102">(AN214*100000)/(AN215*60*8)</f>
        <v>32.738095238095241</v>
      </c>
      <c r="AO206" s="60" t="s">
        <v>25</v>
      </c>
      <c r="AP206" s="10">
        <f t="shared" si="102"/>
        <v>74.804250559284114</v>
      </c>
      <c r="AQ206" s="15"/>
    </row>
    <row r="207" spans="1:45" x14ac:dyDescent="0.3">
      <c r="A207" s="16"/>
      <c r="B207" s="21" t="s">
        <v>3</v>
      </c>
      <c r="C207" s="18">
        <v>2</v>
      </c>
      <c r="D207" s="33"/>
      <c r="E207" s="19">
        <v>20</v>
      </c>
      <c r="F207">
        <v>14</v>
      </c>
      <c r="G207">
        <v>5</v>
      </c>
      <c r="H207">
        <v>6</v>
      </c>
      <c r="I207">
        <v>6</v>
      </c>
      <c r="J207">
        <v>116</v>
      </c>
      <c r="K207" s="20">
        <v>5</v>
      </c>
      <c r="L207" s="16"/>
      <c r="M207" s="21" t="s">
        <v>3</v>
      </c>
      <c r="N207" s="18">
        <v>3</v>
      </c>
      <c r="O207">
        <v>11</v>
      </c>
      <c r="Q207">
        <v>1</v>
      </c>
      <c r="R207">
        <v>5</v>
      </c>
      <c r="S207">
        <v>8</v>
      </c>
      <c r="T207">
        <v>4</v>
      </c>
      <c r="U207">
        <v>19</v>
      </c>
      <c r="V207">
        <v>17</v>
      </c>
      <c r="W207">
        <v>4</v>
      </c>
      <c r="X207" s="19">
        <v>22</v>
      </c>
      <c r="Y207" s="53"/>
      <c r="Z207" s="19">
        <v>21</v>
      </c>
      <c r="AA207">
        <v>8</v>
      </c>
      <c r="AB207">
        <v>4</v>
      </c>
      <c r="AC207">
        <v>3</v>
      </c>
      <c r="AD207">
        <v>17</v>
      </c>
      <c r="AE207">
        <v>3</v>
      </c>
      <c r="AF207">
        <v>0</v>
      </c>
      <c r="AG207">
        <v>4</v>
      </c>
      <c r="AH207">
        <v>2</v>
      </c>
      <c r="AI207" s="20">
        <v>1</v>
      </c>
      <c r="AJ207" s="16"/>
      <c r="AK207" s="21" t="s">
        <v>3</v>
      </c>
      <c r="AL207" s="18">
        <v>10</v>
      </c>
      <c r="AM207" s="62"/>
      <c r="AN207">
        <v>3</v>
      </c>
      <c r="AO207" s="62"/>
      <c r="AP207">
        <v>10</v>
      </c>
      <c r="AQ207" s="20"/>
      <c r="AR207" s="48"/>
    </row>
    <row r="208" spans="1:45" x14ac:dyDescent="0.3">
      <c r="A208" s="16"/>
      <c r="B208" s="21" t="s">
        <v>4</v>
      </c>
      <c r="C208" s="18"/>
      <c r="D208" s="33"/>
      <c r="K208" s="20"/>
      <c r="L208" s="16"/>
      <c r="M208" s="21" t="s">
        <v>4</v>
      </c>
      <c r="N208" s="18"/>
      <c r="Y208" s="53"/>
      <c r="AJ208" s="16"/>
      <c r="AK208" s="21" t="s">
        <v>4</v>
      </c>
      <c r="AL208" s="18"/>
      <c r="AM208" s="62"/>
      <c r="AO208" s="62"/>
      <c r="AQ208" s="20"/>
    </row>
    <row r="209" spans="1:43" x14ac:dyDescent="0.3">
      <c r="A209" s="16"/>
      <c r="B209" s="21" t="s">
        <v>5</v>
      </c>
      <c r="C209" s="18">
        <v>9</v>
      </c>
      <c r="D209" s="33"/>
      <c r="E209">
        <v>3</v>
      </c>
      <c r="F209">
        <v>9</v>
      </c>
      <c r="G209">
        <v>2</v>
      </c>
      <c r="H209">
        <v>7</v>
      </c>
      <c r="I209">
        <v>11</v>
      </c>
      <c r="J209">
        <v>3</v>
      </c>
      <c r="K209" s="20">
        <v>6</v>
      </c>
      <c r="L209" s="16"/>
      <c r="M209" s="21" t="s">
        <v>5</v>
      </c>
      <c r="N209" s="18">
        <v>2</v>
      </c>
      <c r="O209">
        <v>3</v>
      </c>
      <c r="Q209">
        <v>3</v>
      </c>
      <c r="R209">
        <v>7</v>
      </c>
      <c r="S209">
        <v>6</v>
      </c>
      <c r="T209">
        <v>1</v>
      </c>
      <c r="U209">
        <v>9</v>
      </c>
      <c r="V209">
        <v>9</v>
      </c>
      <c r="W209">
        <v>16</v>
      </c>
      <c r="X209">
        <v>9</v>
      </c>
      <c r="Y209" s="53"/>
      <c r="Z209">
        <v>14</v>
      </c>
      <c r="AA209" s="19">
        <v>23</v>
      </c>
      <c r="AB209">
        <v>17</v>
      </c>
      <c r="AC209">
        <v>1</v>
      </c>
      <c r="AD209">
        <v>6</v>
      </c>
      <c r="AE209">
        <v>9</v>
      </c>
      <c r="AF209">
        <v>1</v>
      </c>
      <c r="AG209">
        <v>5</v>
      </c>
      <c r="AH209">
        <v>0</v>
      </c>
      <c r="AI209" s="20">
        <v>5</v>
      </c>
      <c r="AJ209" s="16"/>
      <c r="AK209" s="21" t="s">
        <v>5</v>
      </c>
      <c r="AL209" s="18">
        <v>3</v>
      </c>
      <c r="AM209" s="62"/>
      <c r="AN209">
        <v>3</v>
      </c>
      <c r="AO209" s="62"/>
      <c r="AP209">
        <v>5</v>
      </c>
      <c r="AQ209" s="20"/>
    </row>
    <row r="210" spans="1:43" x14ac:dyDescent="0.3">
      <c r="A210" s="16"/>
      <c r="B210" s="21" t="s">
        <v>6</v>
      </c>
      <c r="C210" s="18"/>
      <c r="D210" s="33"/>
      <c r="K210" s="20"/>
      <c r="L210" s="16"/>
      <c r="M210" s="21" t="s">
        <v>6</v>
      </c>
      <c r="N210" s="18"/>
      <c r="Y210" s="53"/>
      <c r="AI210" s="20"/>
      <c r="AJ210" s="16"/>
      <c r="AK210" s="21" t="s">
        <v>7</v>
      </c>
      <c r="AL210" s="18"/>
      <c r="AM210" s="62"/>
      <c r="AO210" s="62"/>
      <c r="AQ210" s="20"/>
    </row>
    <row r="211" spans="1:43" x14ac:dyDescent="0.3">
      <c r="A211" s="16"/>
      <c r="B211" s="21" t="s">
        <v>7</v>
      </c>
      <c r="C211" s="18">
        <v>8</v>
      </c>
      <c r="D211" s="33"/>
      <c r="E211">
        <v>1</v>
      </c>
      <c r="F211" s="19">
        <v>26</v>
      </c>
      <c r="G211">
        <v>10</v>
      </c>
      <c r="H211">
        <v>5</v>
      </c>
      <c r="I211">
        <v>14</v>
      </c>
      <c r="J211">
        <v>0</v>
      </c>
      <c r="K211" s="20">
        <v>10</v>
      </c>
      <c r="L211" s="16"/>
      <c r="M211" s="21" t="s">
        <v>7</v>
      </c>
      <c r="N211" s="18">
        <v>3</v>
      </c>
      <c r="O211">
        <v>6</v>
      </c>
      <c r="Q211">
        <v>5</v>
      </c>
      <c r="R211">
        <v>4</v>
      </c>
      <c r="S211">
        <v>15</v>
      </c>
      <c r="T211">
        <v>14</v>
      </c>
      <c r="U211" s="19">
        <v>22</v>
      </c>
      <c r="V211">
        <v>13</v>
      </c>
      <c r="W211">
        <v>18</v>
      </c>
      <c r="X211">
        <v>13</v>
      </c>
      <c r="Y211" s="53"/>
      <c r="Z211">
        <v>6</v>
      </c>
      <c r="AA211">
        <v>0</v>
      </c>
      <c r="AB211">
        <v>4</v>
      </c>
      <c r="AC211">
        <v>5</v>
      </c>
      <c r="AD211">
        <v>5</v>
      </c>
      <c r="AE211">
        <v>0</v>
      </c>
      <c r="AF211">
        <v>5</v>
      </c>
      <c r="AG211">
        <v>8</v>
      </c>
      <c r="AH211">
        <v>3</v>
      </c>
      <c r="AI211" s="20">
        <v>3</v>
      </c>
      <c r="AJ211" s="49"/>
      <c r="AK211" s="21" t="s">
        <v>8</v>
      </c>
      <c r="AL211" s="18">
        <v>4</v>
      </c>
      <c r="AM211" s="62"/>
      <c r="AN211">
        <v>5</v>
      </c>
      <c r="AO211" s="62"/>
      <c r="AP211">
        <v>5</v>
      </c>
      <c r="AQ211" s="20"/>
    </row>
    <row r="212" spans="1:43" x14ac:dyDescent="0.3">
      <c r="A212" s="50" t="s">
        <v>40</v>
      </c>
      <c r="B212" s="21" t="s">
        <v>10</v>
      </c>
      <c r="C212" s="18"/>
      <c r="D212" s="33"/>
      <c r="K212" s="20"/>
      <c r="L212" s="25" t="str">
        <f>A212</f>
        <v>LU 1T</v>
      </c>
      <c r="M212" s="21" t="s">
        <v>10</v>
      </c>
      <c r="N212" s="18"/>
      <c r="Y212" s="53"/>
      <c r="AI212" s="20"/>
      <c r="AJ212" s="25" t="str">
        <f>+L212</f>
        <v>LU 1T</v>
      </c>
      <c r="AK212" s="21" t="s">
        <v>11</v>
      </c>
      <c r="AL212" s="18">
        <v>8</v>
      </c>
      <c r="AM212" s="62"/>
      <c r="AN212">
        <v>1</v>
      </c>
      <c r="AO212" s="62"/>
      <c r="AP212">
        <v>10</v>
      </c>
      <c r="AQ212" s="20"/>
    </row>
    <row r="213" spans="1:43" x14ac:dyDescent="0.3">
      <c r="A213" s="50"/>
      <c r="B213" s="21" t="s">
        <v>11</v>
      </c>
      <c r="C213" s="18">
        <v>13</v>
      </c>
      <c r="D213" s="33"/>
      <c r="E213">
        <v>6</v>
      </c>
      <c r="F213">
        <v>16</v>
      </c>
      <c r="G213">
        <v>5</v>
      </c>
      <c r="H213">
        <v>4</v>
      </c>
      <c r="I213">
        <v>3</v>
      </c>
      <c r="J213">
        <v>4</v>
      </c>
      <c r="K213" s="20">
        <v>4</v>
      </c>
      <c r="L213" s="25"/>
      <c r="M213" s="21" t="s">
        <v>11</v>
      </c>
      <c r="N213" s="18">
        <v>2</v>
      </c>
      <c r="O213">
        <v>15</v>
      </c>
      <c r="Q213">
        <v>11</v>
      </c>
      <c r="R213">
        <v>6</v>
      </c>
      <c r="S213">
        <v>5</v>
      </c>
      <c r="T213">
        <v>9</v>
      </c>
      <c r="U213">
        <v>9</v>
      </c>
      <c r="V213">
        <v>7</v>
      </c>
      <c r="W213">
        <v>18</v>
      </c>
      <c r="X213">
        <v>4</v>
      </c>
      <c r="Y213" s="53"/>
      <c r="Z213">
        <v>10</v>
      </c>
      <c r="AA213">
        <v>3</v>
      </c>
      <c r="AB213">
        <v>6</v>
      </c>
      <c r="AC213">
        <v>2</v>
      </c>
      <c r="AD213">
        <v>3</v>
      </c>
      <c r="AE213">
        <v>7</v>
      </c>
      <c r="AF213">
        <v>2</v>
      </c>
      <c r="AG213">
        <v>4</v>
      </c>
      <c r="AH213">
        <v>4</v>
      </c>
      <c r="AI213" s="20">
        <v>4</v>
      </c>
      <c r="AJ213" s="25"/>
      <c r="AK213" s="21" t="s">
        <v>12</v>
      </c>
      <c r="AL213" s="18"/>
      <c r="AM213" s="62"/>
      <c r="AO213" s="62"/>
      <c r="AQ213" s="20"/>
    </row>
    <row r="214" spans="1:43" x14ac:dyDescent="0.3">
      <c r="A214" s="50"/>
      <c r="B214" s="21" t="s">
        <v>12</v>
      </c>
      <c r="C214" s="18"/>
      <c r="D214" s="33"/>
      <c r="K214" s="20"/>
      <c r="L214" s="25"/>
      <c r="M214" s="21" t="s">
        <v>12</v>
      </c>
      <c r="N214" s="18"/>
      <c r="Y214" s="53"/>
      <c r="AI214" s="20"/>
      <c r="AJ214" s="25"/>
      <c r="AK214" s="21" t="s">
        <v>13</v>
      </c>
      <c r="AL214" s="18">
        <v>73</v>
      </c>
      <c r="AM214" s="62"/>
      <c r="AN214">
        <v>44</v>
      </c>
      <c r="AO214" s="62"/>
      <c r="AP214">
        <v>107</v>
      </c>
      <c r="AQ214" s="20"/>
    </row>
    <row r="215" spans="1:43" x14ac:dyDescent="0.3">
      <c r="A215" s="50"/>
      <c r="B215" s="21" t="s">
        <v>13</v>
      </c>
      <c r="C215" s="18">
        <v>133</v>
      </c>
      <c r="D215" s="33"/>
      <c r="E215">
        <v>107</v>
      </c>
      <c r="F215">
        <v>116</v>
      </c>
      <c r="G215">
        <v>138</v>
      </c>
      <c r="H215">
        <v>96</v>
      </c>
      <c r="I215">
        <v>120</v>
      </c>
      <c r="J215">
        <v>126</v>
      </c>
      <c r="K215" s="20">
        <v>114</v>
      </c>
      <c r="L215" s="25"/>
      <c r="M215" s="21" t="s">
        <v>13</v>
      </c>
      <c r="N215" s="18">
        <v>140</v>
      </c>
      <c r="O215">
        <v>104</v>
      </c>
      <c r="P215">
        <v>148</v>
      </c>
      <c r="Q215">
        <v>130</v>
      </c>
      <c r="R215">
        <v>149</v>
      </c>
      <c r="S215">
        <v>96</v>
      </c>
      <c r="T215">
        <v>121</v>
      </c>
      <c r="U215">
        <v>96</v>
      </c>
      <c r="V215">
        <v>66</v>
      </c>
      <c r="W215">
        <v>93</v>
      </c>
      <c r="X215">
        <v>96</v>
      </c>
      <c r="Y215" s="53"/>
      <c r="Z215">
        <v>105</v>
      </c>
      <c r="AA215">
        <v>53</v>
      </c>
      <c r="AB215">
        <v>107</v>
      </c>
      <c r="AC215">
        <v>123</v>
      </c>
      <c r="AD215">
        <v>101</v>
      </c>
      <c r="AE215">
        <v>98</v>
      </c>
      <c r="AF215">
        <v>104</v>
      </c>
      <c r="AG215">
        <v>100</v>
      </c>
      <c r="AH215">
        <v>158</v>
      </c>
      <c r="AI215" s="20">
        <v>116</v>
      </c>
      <c r="AJ215" s="25"/>
      <c r="AK215" s="21" t="s">
        <v>14</v>
      </c>
      <c r="AL215" s="27">
        <v>257</v>
      </c>
      <c r="AM215" s="63"/>
      <c r="AN215" s="28">
        <v>280</v>
      </c>
      <c r="AO215" s="63"/>
      <c r="AP215" s="28">
        <v>298</v>
      </c>
      <c r="AQ215" s="29"/>
    </row>
    <row r="216" spans="1:43" x14ac:dyDescent="0.3">
      <c r="A216" s="50"/>
      <c r="B216" s="24" t="s">
        <v>14</v>
      </c>
      <c r="C216" s="27">
        <v>303</v>
      </c>
      <c r="D216" s="35"/>
      <c r="E216" s="28">
        <v>248</v>
      </c>
      <c r="F216" s="28">
        <v>296</v>
      </c>
      <c r="G216" s="28">
        <v>309</v>
      </c>
      <c r="H216" s="28">
        <v>274</v>
      </c>
      <c r="I216" s="28">
        <v>289</v>
      </c>
      <c r="J216" s="28">
        <v>283</v>
      </c>
      <c r="K216" s="29">
        <v>298</v>
      </c>
      <c r="L216" s="25"/>
      <c r="M216" s="21" t="s">
        <v>14</v>
      </c>
      <c r="N216" s="27">
        <v>335</v>
      </c>
      <c r="O216" s="28">
        <v>340</v>
      </c>
      <c r="P216" s="28">
        <v>320</v>
      </c>
      <c r="Q216" s="28">
        <v>320</v>
      </c>
      <c r="R216" s="28">
        <v>350</v>
      </c>
      <c r="S216" s="28">
        <v>270</v>
      </c>
      <c r="T216" s="28">
        <v>290</v>
      </c>
      <c r="U216" s="28">
        <v>303</v>
      </c>
      <c r="V216" s="28">
        <v>306</v>
      </c>
      <c r="W216" s="28">
        <v>305</v>
      </c>
      <c r="X216" s="28">
        <v>288</v>
      </c>
      <c r="Y216" s="55"/>
      <c r="Z216" s="28">
        <v>296</v>
      </c>
      <c r="AA216" s="28">
        <v>292</v>
      </c>
      <c r="AB216" s="28">
        <v>302</v>
      </c>
      <c r="AC216" s="28">
        <v>292</v>
      </c>
      <c r="AD216" s="28">
        <v>303</v>
      </c>
      <c r="AE216" s="28">
        <v>293</v>
      </c>
      <c r="AF216" s="28">
        <v>260</v>
      </c>
      <c r="AG216" s="28">
        <v>270</v>
      </c>
      <c r="AH216" s="28">
        <v>355</v>
      </c>
      <c r="AI216" s="29">
        <v>280</v>
      </c>
      <c r="AJ216" s="30"/>
      <c r="AK216" s="18"/>
      <c r="AQ216" s="20"/>
    </row>
    <row r="217" spans="1:43" x14ac:dyDescent="0.3">
      <c r="A217" s="16">
        <f>+A205</f>
        <v>46090</v>
      </c>
      <c r="B217" s="24" t="s">
        <v>2</v>
      </c>
      <c r="C217" s="9">
        <f t="shared" ref="C217:K217" si="103">(C226*100000)/(C227*60*8)</f>
        <v>75.632563256325639</v>
      </c>
      <c r="D217" s="10">
        <f t="shared" si="103"/>
        <v>80.128205128205124</v>
      </c>
      <c r="E217" s="10">
        <f t="shared" si="103"/>
        <v>83.333333333333329</v>
      </c>
      <c r="F217" s="10">
        <f t="shared" si="103"/>
        <v>89.386261261261268</v>
      </c>
      <c r="G217" s="10">
        <f t="shared" si="103"/>
        <v>89.670981661272918</v>
      </c>
      <c r="H217" s="10">
        <f t="shared" si="103"/>
        <v>76.794403892944032</v>
      </c>
      <c r="I217" s="10">
        <f t="shared" si="103"/>
        <v>75.692041522491351</v>
      </c>
      <c r="J217" s="10">
        <f t="shared" si="103"/>
        <v>80.977620730270914</v>
      </c>
      <c r="K217" s="11">
        <f t="shared" si="103"/>
        <v>66.834451901565998</v>
      </c>
      <c r="L217" s="16">
        <f>+L205</f>
        <v>46090</v>
      </c>
      <c r="M217" s="21" t="s">
        <v>2</v>
      </c>
      <c r="N217" s="13">
        <f>(N226*100000)/(N227*60*8)</f>
        <v>83.333333333333329</v>
      </c>
      <c r="O217" s="14">
        <f t="shared" ref="O217:AI217" si="104">(O226*100000)/(O227*60*8)</f>
        <v>85.784313725490193</v>
      </c>
      <c r="P217" s="14">
        <f t="shared" si="104"/>
        <v>72.265625</v>
      </c>
      <c r="Q217" s="14">
        <f t="shared" si="104"/>
        <v>92.447916666666671</v>
      </c>
      <c r="R217" s="14">
        <f t="shared" si="104"/>
        <v>88.69047619047619</v>
      </c>
      <c r="S217" s="14">
        <f t="shared" si="104"/>
        <v>79.475308641975303</v>
      </c>
      <c r="T217" s="14">
        <f t="shared" si="104"/>
        <v>86.27873563218391</v>
      </c>
      <c r="U217" s="14">
        <f t="shared" si="104"/>
        <v>71.507150715071504</v>
      </c>
      <c r="V217" s="14">
        <f t="shared" si="104"/>
        <v>81.018518518518519</v>
      </c>
      <c r="W217" s="14">
        <f t="shared" si="104"/>
        <v>68.989071038251367</v>
      </c>
      <c r="X217" s="14">
        <f t="shared" si="104"/>
        <v>70.384837962962962</v>
      </c>
      <c r="Y217" s="14">
        <f t="shared" si="104"/>
        <v>70.575461454940282</v>
      </c>
      <c r="Z217" s="14">
        <f t="shared" si="104"/>
        <v>68.97522522522523</v>
      </c>
      <c r="AA217" s="76" t="s">
        <v>41</v>
      </c>
      <c r="AB217" s="14">
        <f t="shared" si="104"/>
        <v>83.471302428256067</v>
      </c>
      <c r="AC217" s="14">
        <f t="shared" si="104"/>
        <v>96.31849315068493</v>
      </c>
      <c r="AD217" s="14">
        <f t="shared" si="104"/>
        <v>82.920792079207928</v>
      </c>
      <c r="AE217" s="14">
        <f t="shared" si="104"/>
        <v>90.301478953356082</v>
      </c>
      <c r="AF217" s="14">
        <f t="shared" si="104"/>
        <v>96.15384615384616</v>
      </c>
      <c r="AG217" s="14">
        <f t="shared" si="104"/>
        <v>87.191358024691354</v>
      </c>
      <c r="AH217" s="14">
        <f t="shared" si="104"/>
        <v>89.788732394366193</v>
      </c>
      <c r="AI217" s="11">
        <f t="shared" si="104"/>
        <v>96.726190476190482</v>
      </c>
      <c r="AJ217" s="16">
        <f>L217</f>
        <v>46090</v>
      </c>
      <c r="AK217" s="21" t="s">
        <v>2</v>
      </c>
      <c r="AL217" s="9">
        <f>(AL225*100000)/(AL226*60*8)</f>
        <v>87.548638132295721</v>
      </c>
      <c r="AM217" s="10">
        <f t="shared" ref="AM217:AP217" si="105">(AM225*100000)/(AM226*60*8)</f>
        <v>75.148809523809518</v>
      </c>
      <c r="AN217" s="10">
        <f t="shared" si="105"/>
        <v>80.357142857142861</v>
      </c>
      <c r="AO217" s="10">
        <f t="shared" si="105"/>
        <v>80.017301038062286</v>
      </c>
      <c r="AP217" s="10">
        <f t="shared" si="105"/>
        <v>62.22035794183445</v>
      </c>
      <c r="AQ217" s="15"/>
    </row>
    <row r="218" spans="1:43" x14ac:dyDescent="0.3">
      <c r="A218" s="16"/>
      <c r="B218" s="21" t="s">
        <v>3</v>
      </c>
      <c r="C218" s="18">
        <v>9</v>
      </c>
      <c r="D218">
        <v>7</v>
      </c>
      <c r="E218" s="19">
        <v>20</v>
      </c>
      <c r="F218">
        <v>6</v>
      </c>
      <c r="G218">
        <v>4</v>
      </c>
      <c r="H218">
        <v>5</v>
      </c>
      <c r="I218">
        <v>5</v>
      </c>
      <c r="J218">
        <v>4</v>
      </c>
      <c r="K218" s="20">
        <v>4</v>
      </c>
      <c r="L218" s="16"/>
      <c r="M218" s="21" t="s">
        <v>3</v>
      </c>
      <c r="N218" s="18">
        <v>2</v>
      </c>
      <c r="O218">
        <v>9</v>
      </c>
      <c r="P218">
        <v>12</v>
      </c>
      <c r="Q218">
        <v>2</v>
      </c>
      <c r="R218">
        <v>2</v>
      </c>
      <c r="S218">
        <v>1</v>
      </c>
      <c r="T218">
        <v>4</v>
      </c>
      <c r="U218">
        <v>26</v>
      </c>
      <c r="V218">
        <v>18</v>
      </c>
      <c r="W218">
        <v>7</v>
      </c>
      <c r="X218">
        <v>17</v>
      </c>
      <c r="Y218">
        <v>13</v>
      </c>
      <c r="Z218">
        <v>36</v>
      </c>
      <c r="AA218" s="77"/>
      <c r="AB218">
        <v>0</v>
      </c>
      <c r="AC218">
        <v>4</v>
      </c>
      <c r="AD218">
        <v>6</v>
      </c>
      <c r="AE218">
        <v>9</v>
      </c>
      <c r="AG218">
        <v>2</v>
      </c>
      <c r="AH218">
        <v>5</v>
      </c>
      <c r="AI218" s="20">
        <v>1</v>
      </c>
      <c r="AJ218" s="16"/>
      <c r="AK218" s="21" t="s">
        <v>3</v>
      </c>
      <c r="AL218" s="18">
        <v>3</v>
      </c>
      <c r="AM218">
        <v>2</v>
      </c>
      <c r="AN218">
        <v>20</v>
      </c>
      <c r="AO218">
        <v>4</v>
      </c>
      <c r="AP218">
        <v>8</v>
      </c>
      <c r="AQ218" s="20"/>
    </row>
    <row r="219" spans="1:43" x14ac:dyDescent="0.3">
      <c r="A219" s="16"/>
      <c r="B219" s="21" t="s">
        <v>4</v>
      </c>
      <c r="K219" s="20"/>
      <c r="L219" s="16"/>
      <c r="M219" s="21" t="s">
        <v>4</v>
      </c>
      <c r="N219" s="18"/>
      <c r="AA219" s="77"/>
      <c r="AJ219" s="16"/>
      <c r="AK219" s="21" t="s">
        <v>4</v>
      </c>
      <c r="AL219" s="18"/>
      <c r="AQ219" s="20"/>
    </row>
    <row r="220" spans="1:43" x14ac:dyDescent="0.3">
      <c r="A220" s="16"/>
      <c r="B220" s="21" t="s">
        <v>5</v>
      </c>
      <c r="C220" s="18">
        <v>9</v>
      </c>
      <c r="D220">
        <v>11</v>
      </c>
      <c r="E220">
        <v>5</v>
      </c>
      <c r="F220">
        <v>7</v>
      </c>
      <c r="G220">
        <v>7</v>
      </c>
      <c r="H220">
        <v>15</v>
      </c>
      <c r="I220" s="19">
        <v>33</v>
      </c>
      <c r="J220">
        <v>12</v>
      </c>
      <c r="K220" s="20">
        <v>10</v>
      </c>
      <c r="L220" s="16"/>
      <c r="M220" s="21" t="s">
        <v>5</v>
      </c>
      <c r="N220" s="18">
        <v>4</v>
      </c>
      <c r="O220">
        <v>2</v>
      </c>
      <c r="P220">
        <v>12</v>
      </c>
      <c r="Q220">
        <v>3</v>
      </c>
      <c r="R220">
        <v>3</v>
      </c>
      <c r="S220">
        <v>13</v>
      </c>
      <c r="T220">
        <v>2</v>
      </c>
      <c r="U220">
        <v>7</v>
      </c>
      <c r="V220">
        <v>5</v>
      </c>
      <c r="W220">
        <v>14</v>
      </c>
      <c r="X220">
        <v>13</v>
      </c>
      <c r="Y220">
        <v>3</v>
      </c>
      <c r="Z220">
        <v>16</v>
      </c>
      <c r="AA220" s="77"/>
      <c r="AB220">
        <v>15</v>
      </c>
      <c r="AC220">
        <v>1</v>
      </c>
      <c r="AD220">
        <v>16</v>
      </c>
      <c r="AE220">
        <v>4</v>
      </c>
      <c r="AG220">
        <v>2</v>
      </c>
      <c r="AH220">
        <v>5</v>
      </c>
      <c r="AI220" s="20">
        <v>1</v>
      </c>
      <c r="AJ220" s="16"/>
      <c r="AK220" s="21" t="s">
        <v>5</v>
      </c>
      <c r="AL220" s="18">
        <v>14</v>
      </c>
      <c r="AM220">
        <v>2</v>
      </c>
      <c r="AN220">
        <v>7</v>
      </c>
      <c r="AO220">
        <v>11</v>
      </c>
      <c r="AP220">
        <v>8</v>
      </c>
      <c r="AQ220" s="20"/>
    </row>
    <row r="221" spans="1:43" x14ac:dyDescent="0.3">
      <c r="A221" s="16"/>
      <c r="B221" s="21" t="s">
        <v>6</v>
      </c>
      <c r="C221" s="18"/>
      <c r="K221" s="20"/>
      <c r="L221" s="16"/>
      <c r="M221" s="21" t="s">
        <v>6</v>
      </c>
      <c r="N221" s="18"/>
      <c r="AA221" s="77"/>
      <c r="AI221" s="20"/>
      <c r="AJ221" s="16"/>
      <c r="AK221" s="21" t="s">
        <v>7</v>
      </c>
      <c r="AL221" s="18">
        <v>2</v>
      </c>
      <c r="AM221">
        <v>4</v>
      </c>
      <c r="AN221">
        <v>1</v>
      </c>
      <c r="AO221">
        <v>2</v>
      </c>
      <c r="AP221">
        <v>2</v>
      </c>
      <c r="AQ221" s="20"/>
    </row>
    <row r="222" spans="1:43" x14ac:dyDescent="0.3">
      <c r="A222" s="16"/>
      <c r="B222" s="21" t="s">
        <v>7</v>
      </c>
      <c r="C222" s="18">
        <v>10</v>
      </c>
      <c r="D222">
        <v>14</v>
      </c>
      <c r="E222">
        <v>6</v>
      </c>
      <c r="F222">
        <v>5</v>
      </c>
      <c r="G222">
        <v>7</v>
      </c>
      <c r="H222">
        <v>14</v>
      </c>
      <c r="I222">
        <v>13</v>
      </c>
      <c r="J222">
        <v>12</v>
      </c>
      <c r="K222" s="20">
        <v>12</v>
      </c>
      <c r="L222" s="16"/>
      <c r="M222" s="21" t="s">
        <v>7</v>
      </c>
      <c r="N222" s="18">
        <v>6</v>
      </c>
      <c r="O222">
        <v>1</v>
      </c>
      <c r="P222">
        <v>0</v>
      </c>
      <c r="Q222">
        <v>0</v>
      </c>
      <c r="R222">
        <v>7</v>
      </c>
      <c r="S222">
        <v>5</v>
      </c>
      <c r="T222">
        <v>10</v>
      </c>
      <c r="U222">
        <v>11</v>
      </c>
      <c r="V222">
        <v>17</v>
      </c>
      <c r="W222">
        <v>14</v>
      </c>
      <c r="X222">
        <v>13</v>
      </c>
      <c r="Y222">
        <v>13</v>
      </c>
      <c r="Z222">
        <v>4</v>
      </c>
      <c r="AA222" s="77"/>
      <c r="AB222">
        <v>6</v>
      </c>
      <c r="AC222">
        <v>0</v>
      </c>
      <c r="AD222">
        <v>3</v>
      </c>
      <c r="AE222">
        <v>0</v>
      </c>
      <c r="AG222">
        <v>5</v>
      </c>
      <c r="AH222">
        <v>6</v>
      </c>
      <c r="AI222" s="20">
        <v>3</v>
      </c>
      <c r="AJ222" s="16"/>
      <c r="AK222" s="21" t="s">
        <v>8</v>
      </c>
      <c r="AL222" s="18"/>
      <c r="AQ222" s="20"/>
    </row>
    <row r="223" spans="1:43" x14ac:dyDescent="0.3">
      <c r="A223" s="25" t="s">
        <v>42</v>
      </c>
      <c r="B223" s="21" t="s">
        <v>10</v>
      </c>
      <c r="C223" s="18"/>
      <c r="K223" s="20"/>
      <c r="L223" s="25" t="str">
        <f>A223</f>
        <v>LU 2T</v>
      </c>
      <c r="M223" s="21" t="s">
        <v>10</v>
      </c>
      <c r="N223" s="18"/>
      <c r="AA223" s="77"/>
      <c r="AI223" s="20"/>
      <c r="AJ223" s="25" t="str">
        <f>+L223</f>
        <v>LU 2T</v>
      </c>
      <c r="AK223" s="21" t="s">
        <v>11</v>
      </c>
      <c r="AL223" s="18">
        <v>3</v>
      </c>
      <c r="AM223">
        <v>1</v>
      </c>
      <c r="AN223">
        <v>4</v>
      </c>
      <c r="AO223">
        <v>7</v>
      </c>
      <c r="AP223">
        <v>5</v>
      </c>
      <c r="AQ223" s="20"/>
    </row>
    <row r="224" spans="1:43" x14ac:dyDescent="0.3">
      <c r="A224" s="25"/>
      <c r="B224" s="21" t="s">
        <v>11</v>
      </c>
      <c r="C224" s="18">
        <v>6</v>
      </c>
      <c r="D224" s="19">
        <v>41</v>
      </c>
      <c r="E224">
        <v>9</v>
      </c>
      <c r="F224">
        <v>4</v>
      </c>
      <c r="G224">
        <v>4</v>
      </c>
      <c r="H224">
        <v>5</v>
      </c>
      <c r="I224">
        <v>7</v>
      </c>
      <c r="J224" s="19">
        <v>31</v>
      </c>
      <c r="K224" s="20">
        <v>13</v>
      </c>
      <c r="L224" s="25"/>
      <c r="M224" s="21" t="s">
        <v>11</v>
      </c>
      <c r="N224" s="18">
        <v>1</v>
      </c>
      <c r="O224">
        <v>8</v>
      </c>
      <c r="P224">
        <v>8</v>
      </c>
      <c r="Q224">
        <v>4</v>
      </c>
      <c r="R224">
        <v>4</v>
      </c>
      <c r="S224">
        <v>11</v>
      </c>
      <c r="T224">
        <v>3</v>
      </c>
      <c r="U224">
        <v>7</v>
      </c>
      <c r="V224">
        <v>3</v>
      </c>
      <c r="W224">
        <v>17</v>
      </c>
      <c r="X224">
        <v>2</v>
      </c>
      <c r="Y224">
        <v>8</v>
      </c>
      <c r="Z224">
        <v>17</v>
      </c>
      <c r="AA224" s="77"/>
      <c r="AB224">
        <v>3</v>
      </c>
      <c r="AC224">
        <v>3</v>
      </c>
      <c r="AD224">
        <v>3</v>
      </c>
      <c r="AE224">
        <v>6</v>
      </c>
      <c r="AG224">
        <v>3</v>
      </c>
      <c r="AH224">
        <v>2</v>
      </c>
      <c r="AI224" s="20">
        <v>2</v>
      </c>
      <c r="AJ224" s="25"/>
      <c r="AK224" s="21" t="s">
        <v>12</v>
      </c>
      <c r="AL224" s="18"/>
      <c r="AQ224" s="20"/>
    </row>
    <row r="225" spans="1:45" x14ac:dyDescent="0.3">
      <c r="A225" s="25"/>
      <c r="B225" s="21" t="s">
        <v>12</v>
      </c>
      <c r="C225" s="18"/>
      <c r="K225" s="20"/>
      <c r="L225" s="25"/>
      <c r="M225" s="21" t="s">
        <v>12</v>
      </c>
      <c r="N225" s="18"/>
      <c r="AA225" s="77"/>
      <c r="AI225" s="20"/>
      <c r="AJ225" s="25"/>
      <c r="AK225" s="21" t="s">
        <v>13</v>
      </c>
      <c r="AL225" s="18">
        <v>108</v>
      </c>
      <c r="AM225">
        <v>101</v>
      </c>
      <c r="AN225">
        <v>108</v>
      </c>
      <c r="AO225">
        <v>111</v>
      </c>
      <c r="AP225">
        <v>89</v>
      </c>
      <c r="AQ225" s="20"/>
    </row>
    <row r="226" spans="1:45" x14ac:dyDescent="0.3">
      <c r="A226" s="25"/>
      <c r="B226" s="21" t="s">
        <v>13</v>
      </c>
      <c r="C226" s="18">
        <v>110</v>
      </c>
      <c r="D226">
        <v>115</v>
      </c>
      <c r="E226">
        <v>99.2</v>
      </c>
      <c r="F226">
        <v>127</v>
      </c>
      <c r="G226">
        <v>133</v>
      </c>
      <c r="H226">
        <v>101</v>
      </c>
      <c r="I226">
        <v>105</v>
      </c>
      <c r="J226">
        <v>110</v>
      </c>
      <c r="K226" s="20">
        <v>95.6</v>
      </c>
      <c r="L226" s="25"/>
      <c r="M226" s="21" t="s">
        <v>13</v>
      </c>
      <c r="N226" s="18">
        <v>134</v>
      </c>
      <c r="O226">
        <v>140</v>
      </c>
      <c r="P226">
        <v>111</v>
      </c>
      <c r="Q226">
        <v>142</v>
      </c>
      <c r="R226">
        <v>149</v>
      </c>
      <c r="S226">
        <v>103</v>
      </c>
      <c r="T226">
        <v>120.1</v>
      </c>
      <c r="U226">
        <v>104</v>
      </c>
      <c r="V226">
        <v>119</v>
      </c>
      <c r="W226">
        <v>101</v>
      </c>
      <c r="X226">
        <v>97.3</v>
      </c>
      <c r="Y226">
        <v>104</v>
      </c>
      <c r="Z226">
        <v>98</v>
      </c>
      <c r="AA226" s="77"/>
      <c r="AB226">
        <v>121</v>
      </c>
      <c r="AC226">
        <v>135</v>
      </c>
      <c r="AD226">
        <v>120.6</v>
      </c>
      <c r="AE226">
        <v>127</v>
      </c>
      <c r="AF226">
        <v>120</v>
      </c>
      <c r="AG226">
        <v>113</v>
      </c>
      <c r="AH226">
        <v>153</v>
      </c>
      <c r="AI226" s="20">
        <v>130</v>
      </c>
      <c r="AJ226" s="25"/>
      <c r="AK226" s="21" t="s">
        <v>14</v>
      </c>
      <c r="AL226" s="27">
        <v>257</v>
      </c>
      <c r="AM226" s="28">
        <v>280</v>
      </c>
      <c r="AN226" s="28">
        <v>280</v>
      </c>
      <c r="AO226" s="28">
        <v>289</v>
      </c>
      <c r="AP226" s="28">
        <v>298</v>
      </c>
      <c r="AQ226" s="29"/>
    </row>
    <row r="227" spans="1:45" x14ac:dyDescent="0.3">
      <c r="A227" s="25"/>
      <c r="B227" s="24" t="s">
        <v>14</v>
      </c>
      <c r="C227" s="27">
        <v>303</v>
      </c>
      <c r="D227" s="28">
        <v>299</v>
      </c>
      <c r="E227" s="28">
        <v>248</v>
      </c>
      <c r="F227" s="28">
        <v>296</v>
      </c>
      <c r="G227" s="28">
        <v>309</v>
      </c>
      <c r="H227" s="28">
        <v>274</v>
      </c>
      <c r="I227" s="28">
        <v>289</v>
      </c>
      <c r="J227" s="28">
        <v>283</v>
      </c>
      <c r="K227" s="29">
        <v>298</v>
      </c>
      <c r="L227" s="25"/>
      <c r="M227" s="21" t="s">
        <v>14</v>
      </c>
      <c r="N227" s="27">
        <v>335</v>
      </c>
      <c r="O227" s="28">
        <v>340</v>
      </c>
      <c r="P227" s="28">
        <v>320</v>
      </c>
      <c r="Q227" s="28">
        <v>320</v>
      </c>
      <c r="R227" s="28">
        <v>350</v>
      </c>
      <c r="S227" s="28">
        <v>270</v>
      </c>
      <c r="T227" s="28">
        <v>290</v>
      </c>
      <c r="U227" s="28">
        <v>303</v>
      </c>
      <c r="V227" s="28">
        <v>306</v>
      </c>
      <c r="W227" s="28">
        <v>305</v>
      </c>
      <c r="X227" s="28">
        <v>288</v>
      </c>
      <c r="Y227" s="28">
        <v>307</v>
      </c>
      <c r="Z227" s="28">
        <v>296</v>
      </c>
      <c r="AA227" s="78"/>
      <c r="AB227" s="28">
        <v>302</v>
      </c>
      <c r="AC227" s="28">
        <v>292</v>
      </c>
      <c r="AD227" s="28">
        <v>303</v>
      </c>
      <c r="AE227" s="28">
        <v>293</v>
      </c>
      <c r="AF227" s="28">
        <v>260</v>
      </c>
      <c r="AG227" s="28">
        <v>270</v>
      </c>
      <c r="AH227" s="28">
        <v>355</v>
      </c>
      <c r="AI227" s="29">
        <v>280</v>
      </c>
      <c r="AJ227" s="30"/>
      <c r="AK227" s="18"/>
      <c r="AQ227" s="20"/>
    </row>
    <row r="228" spans="1:45" x14ac:dyDescent="0.3">
      <c r="A228" s="16">
        <f>+A217</f>
        <v>46090</v>
      </c>
      <c r="B228" s="24" t="s">
        <v>2</v>
      </c>
      <c r="C228" s="9">
        <f t="shared" ref="C228:K228" si="106">(C237*100000)/(C238*60*8)</f>
        <v>75.883002207505513</v>
      </c>
      <c r="D228" s="10">
        <f t="shared" si="106"/>
        <v>83.892617449664428</v>
      </c>
      <c r="E228" s="10">
        <f t="shared" si="106"/>
        <v>90.725806451612897</v>
      </c>
      <c r="F228" s="10">
        <f t="shared" si="106"/>
        <v>81.64414414414415</v>
      </c>
      <c r="G228" s="10">
        <f t="shared" si="106"/>
        <v>84.422657952069713</v>
      </c>
      <c r="H228" s="10">
        <f t="shared" si="106"/>
        <v>80.59610705596107</v>
      </c>
      <c r="I228" s="10">
        <f t="shared" si="106"/>
        <v>86.505190311418687</v>
      </c>
      <c r="J228" s="10">
        <f t="shared" si="106"/>
        <v>73.087431693989075</v>
      </c>
      <c r="K228" s="11">
        <f t="shared" si="106"/>
        <v>83.193512304250561</v>
      </c>
      <c r="L228" s="16">
        <f>+L217</f>
        <v>46090</v>
      </c>
      <c r="M228" s="21" t="s">
        <v>2</v>
      </c>
      <c r="N228" s="13">
        <f>(N237*100000)/(N238*60*8)</f>
        <v>75.24875621890547</v>
      </c>
      <c r="O228" s="14">
        <f t="shared" ref="O228:AI228" si="107">(O237*100000)/(O238*60*8)</f>
        <v>79.656862745098039</v>
      </c>
      <c r="P228" s="14">
        <f t="shared" si="107"/>
        <v>82.682291666666671</v>
      </c>
      <c r="Q228" s="14">
        <f t="shared" si="107"/>
        <v>93.098958333333329</v>
      </c>
      <c r="R228" s="14">
        <f t="shared" si="107"/>
        <v>87.5</v>
      </c>
      <c r="S228" s="14">
        <f t="shared" si="107"/>
        <v>86.419753086419746</v>
      </c>
      <c r="T228" s="14">
        <f t="shared" si="107"/>
        <v>68.728522336769757</v>
      </c>
      <c r="U228" s="14">
        <f t="shared" si="107"/>
        <v>75.819672131147541</v>
      </c>
      <c r="V228" s="14">
        <f t="shared" si="107"/>
        <v>68.76361655773421</v>
      </c>
      <c r="W228" s="14">
        <f t="shared" si="107"/>
        <v>54.644808743169399</v>
      </c>
      <c r="X228" s="14">
        <f t="shared" si="107"/>
        <v>60.249709639953544</v>
      </c>
      <c r="Y228" s="14">
        <f t="shared" si="107"/>
        <v>61.274509803921568</v>
      </c>
      <c r="Z228" s="14">
        <f t="shared" si="107"/>
        <v>75.887743413516603</v>
      </c>
      <c r="AA228" s="76" t="s">
        <v>41</v>
      </c>
      <c r="AB228" s="14">
        <f t="shared" si="107"/>
        <v>92.054263565891475</v>
      </c>
      <c r="AC228" s="14">
        <f t="shared" si="107"/>
        <v>89.590443686006822</v>
      </c>
      <c r="AD228" s="14">
        <f t="shared" si="107"/>
        <v>79.757975797579761</v>
      </c>
      <c r="AE228" s="14">
        <f t="shared" si="107"/>
        <v>77.054794520547944</v>
      </c>
      <c r="AF228" s="14">
        <f t="shared" si="107"/>
        <v>89.743589743589737</v>
      </c>
      <c r="AG228" s="14">
        <f t="shared" si="107"/>
        <v>93.333333333333329</v>
      </c>
      <c r="AH228" s="14">
        <f t="shared" si="107"/>
        <v>82.74647887323944</v>
      </c>
      <c r="AI228" s="11">
        <f t="shared" si="107"/>
        <v>82.638888888888886</v>
      </c>
      <c r="AJ228" s="16">
        <f>L228</f>
        <v>46090</v>
      </c>
      <c r="AK228" s="21" t="s">
        <v>2</v>
      </c>
      <c r="AL228" s="9">
        <f>(AL236*100000)/(AL237*60*8)</f>
        <v>93.223086900129701</v>
      </c>
      <c r="AM228" s="10">
        <f t="shared" ref="AM228:AP228" si="108">(AM236*100000)/(AM237*60*8)</f>
        <v>75.418160095579452</v>
      </c>
      <c r="AN228" s="10">
        <f t="shared" si="108"/>
        <v>78.40501792114695</v>
      </c>
      <c r="AO228" s="60" t="s">
        <v>25</v>
      </c>
      <c r="AP228" s="10">
        <f t="shared" si="108"/>
        <v>86.980920314253652</v>
      </c>
      <c r="AQ228" s="15"/>
    </row>
    <row r="229" spans="1:45" x14ac:dyDescent="0.3">
      <c r="A229" s="16"/>
      <c r="B229" s="21" t="s">
        <v>3</v>
      </c>
      <c r="C229" s="18">
        <v>6</v>
      </c>
      <c r="D229" s="19">
        <v>23</v>
      </c>
      <c r="E229">
        <v>18</v>
      </c>
      <c r="F229">
        <v>1</v>
      </c>
      <c r="G229">
        <v>1</v>
      </c>
      <c r="H229">
        <v>10</v>
      </c>
      <c r="I229">
        <v>2</v>
      </c>
      <c r="J229">
        <v>3</v>
      </c>
      <c r="K229" s="20">
        <v>10</v>
      </c>
      <c r="L229" s="16"/>
      <c r="M229" s="21" t="s">
        <v>3</v>
      </c>
      <c r="N229" s="18">
        <v>4</v>
      </c>
      <c r="O229">
        <v>7</v>
      </c>
      <c r="P229">
        <v>3</v>
      </c>
      <c r="Q229">
        <v>1</v>
      </c>
      <c r="R229">
        <v>1</v>
      </c>
      <c r="S229">
        <v>1</v>
      </c>
      <c r="T229">
        <v>2</v>
      </c>
      <c r="U229" s="19">
        <v>23</v>
      </c>
      <c r="V229">
        <v>10</v>
      </c>
      <c r="W229">
        <v>2</v>
      </c>
      <c r="X229" s="19">
        <v>21</v>
      </c>
      <c r="Y229">
        <v>1</v>
      </c>
      <c r="Z229">
        <v>10</v>
      </c>
      <c r="AA229" s="77"/>
      <c r="AB229">
        <v>3</v>
      </c>
      <c r="AC229">
        <v>1</v>
      </c>
      <c r="AD229">
        <v>7</v>
      </c>
      <c r="AE229">
        <v>6</v>
      </c>
      <c r="AF229">
        <v>1</v>
      </c>
      <c r="AG229">
        <v>0</v>
      </c>
      <c r="AH229">
        <v>2</v>
      </c>
      <c r="AI229" s="20">
        <v>1</v>
      </c>
      <c r="AJ229" s="16"/>
      <c r="AK229" s="21" t="s">
        <v>3</v>
      </c>
      <c r="AL229" s="18">
        <v>0</v>
      </c>
      <c r="AM229">
        <v>1</v>
      </c>
      <c r="AN229">
        <v>8</v>
      </c>
      <c r="AO229" s="62"/>
      <c r="AP229">
        <v>9</v>
      </c>
      <c r="AQ229" s="20"/>
    </row>
    <row r="230" spans="1:45" x14ac:dyDescent="0.3">
      <c r="A230" s="16"/>
      <c r="B230" s="21" t="s">
        <v>4</v>
      </c>
      <c r="C230" s="18"/>
      <c r="K230" s="20"/>
      <c r="L230" s="16"/>
      <c r="M230" s="21" t="s">
        <v>4</v>
      </c>
      <c r="N230" s="18"/>
      <c r="AA230" s="77"/>
      <c r="AJ230" s="16"/>
      <c r="AK230" s="21" t="s">
        <v>4</v>
      </c>
      <c r="AL230" s="18"/>
      <c r="AO230" s="62"/>
      <c r="AQ230" s="20"/>
    </row>
    <row r="231" spans="1:45" x14ac:dyDescent="0.3">
      <c r="A231" s="16"/>
      <c r="B231" s="21" t="s">
        <v>5</v>
      </c>
      <c r="C231" s="22">
        <v>25</v>
      </c>
      <c r="D231" s="19">
        <v>25</v>
      </c>
      <c r="E231">
        <v>2</v>
      </c>
      <c r="F231">
        <v>1</v>
      </c>
      <c r="G231">
        <v>1</v>
      </c>
      <c r="H231">
        <v>6</v>
      </c>
      <c r="I231" s="19">
        <v>30</v>
      </c>
      <c r="J231">
        <v>10</v>
      </c>
      <c r="K231" s="20">
        <v>8</v>
      </c>
      <c r="L231" s="16"/>
      <c r="M231" s="21" t="s">
        <v>5</v>
      </c>
      <c r="N231" s="18">
        <v>5</v>
      </c>
      <c r="O231">
        <v>3</v>
      </c>
      <c r="P231">
        <v>10</v>
      </c>
      <c r="Q231">
        <v>3</v>
      </c>
      <c r="R231">
        <v>3</v>
      </c>
      <c r="S231">
        <v>9</v>
      </c>
      <c r="T231">
        <v>12</v>
      </c>
      <c r="U231">
        <v>6</v>
      </c>
      <c r="V231">
        <v>7</v>
      </c>
      <c r="W231">
        <v>19</v>
      </c>
      <c r="X231">
        <v>8</v>
      </c>
      <c r="Y231">
        <v>3</v>
      </c>
      <c r="Z231" s="19">
        <v>20</v>
      </c>
      <c r="AA231" s="77"/>
      <c r="AB231">
        <v>4</v>
      </c>
      <c r="AC231">
        <v>6</v>
      </c>
      <c r="AD231">
        <v>8</v>
      </c>
      <c r="AE231">
        <v>19</v>
      </c>
      <c r="AF231">
        <v>1</v>
      </c>
      <c r="AG231">
        <v>5</v>
      </c>
      <c r="AH231">
        <v>3</v>
      </c>
      <c r="AI231" s="20">
        <v>6</v>
      </c>
      <c r="AJ231" s="16"/>
      <c r="AK231" s="21" t="s">
        <v>5</v>
      </c>
      <c r="AL231" s="18">
        <v>12</v>
      </c>
      <c r="AM231" s="19">
        <v>30</v>
      </c>
      <c r="AN231">
        <v>13</v>
      </c>
      <c r="AO231" s="62"/>
      <c r="AP231">
        <v>7</v>
      </c>
      <c r="AQ231" s="20"/>
    </row>
    <row r="232" spans="1:45" x14ac:dyDescent="0.3">
      <c r="A232" s="16"/>
      <c r="B232" s="21" t="s">
        <v>6</v>
      </c>
      <c r="C232" s="18"/>
      <c r="K232" s="20"/>
      <c r="L232" s="16"/>
      <c r="M232" s="21" t="s">
        <v>6</v>
      </c>
      <c r="N232" s="18"/>
      <c r="AA232" s="77"/>
      <c r="AI232" s="20"/>
      <c r="AJ232" s="16"/>
      <c r="AK232" s="21" t="s">
        <v>7</v>
      </c>
      <c r="AL232" s="18">
        <v>4</v>
      </c>
      <c r="AM232">
        <v>1</v>
      </c>
      <c r="AN232">
        <v>0</v>
      </c>
      <c r="AO232" s="62"/>
      <c r="AP232">
        <v>2</v>
      </c>
      <c r="AQ232" s="20"/>
    </row>
    <row r="233" spans="1:45" x14ac:dyDescent="0.3">
      <c r="A233" s="16"/>
      <c r="B233" s="21" t="s">
        <v>7</v>
      </c>
      <c r="C233" s="22">
        <v>30</v>
      </c>
      <c r="D233">
        <v>16</v>
      </c>
      <c r="E233">
        <v>4</v>
      </c>
      <c r="F233">
        <v>1</v>
      </c>
      <c r="G233">
        <v>1</v>
      </c>
      <c r="H233">
        <v>14</v>
      </c>
      <c r="I233">
        <v>14</v>
      </c>
      <c r="J233">
        <v>7</v>
      </c>
      <c r="K233" s="20">
        <v>17</v>
      </c>
      <c r="L233" s="16"/>
      <c r="M233" s="21" t="s">
        <v>7</v>
      </c>
      <c r="N233" s="18">
        <v>5</v>
      </c>
      <c r="O233">
        <v>7</v>
      </c>
      <c r="P233">
        <v>6</v>
      </c>
      <c r="Q233">
        <v>0</v>
      </c>
      <c r="R233">
        <v>7</v>
      </c>
      <c r="S233">
        <v>5</v>
      </c>
      <c r="T233">
        <v>11</v>
      </c>
      <c r="U233">
        <v>12</v>
      </c>
      <c r="V233">
        <v>18</v>
      </c>
      <c r="W233">
        <v>8</v>
      </c>
      <c r="X233">
        <v>8</v>
      </c>
      <c r="Y233">
        <v>15</v>
      </c>
      <c r="Z233">
        <v>4</v>
      </c>
      <c r="AA233" s="77"/>
      <c r="AB233">
        <v>6</v>
      </c>
      <c r="AC233">
        <v>1</v>
      </c>
      <c r="AD233">
        <v>10</v>
      </c>
      <c r="AE233">
        <v>1</v>
      </c>
      <c r="AF233">
        <v>1</v>
      </c>
      <c r="AG233">
        <v>3</v>
      </c>
      <c r="AH233">
        <v>10</v>
      </c>
      <c r="AI233" s="20">
        <v>6</v>
      </c>
      <c r="AJ233" s="16"/>
      <c r="AK233" s="21" t="s">
        <v>8</v>
      </c>
      <c r="AL233" s="18"/>
      <c r="AO233" s="62"/>
      <c r="AQ233" s="20"/>
    </row>
    <row r="234" spans="1:45" x14ac:dyDescent="0.3">
      <c r="A234" s="25" t="s">
        <v>43</v>
      </c>
      <c r="B234" s="21" t="s">
        <v>10</v>
      </c>
      <c r="C234" s="18"/>
      <c r="K234" s="20"/>
      <c r="L234" s="25" t="str">
        <f>A234</f>
        <v>LU 3T</v>
      </c>
      <c r="M234" s="21" t="s">
        <v>10</v>
      </c>
      <c r="N234" s="79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77"/>
      <c r="AB234" s="48"/>
      <c r="AC234" s="48"/>
      <c r="AD234" s="48"/>
      <c r="AE234" s="48"/>
      <c r="AF234" s="48"/>
      <c r="AG234" s="48"/>
      <c r="AH234" s="48"/>
      <c r="AI234" s="80"/>
      <c r="AJ234" s="25" t="str">
        <f>+L234</f>
        <v>LU 3T</v>
      </c>
      <c r="AK234" s="21" t="s">
        <v>11</v>
      </c>
      <c r="AL234" s="18">
        <v>2</v>
      </c>
      <c r="AM234" s="48">
        <v>1</v>
      </c>
      <c r="AN234" s="48">
        <v>5</v>
      </c>
      <c r="AO234" s="62"/>
      <c r="AP234" s="48">
        <v>0</v>
      </c>
      <c r="AQ234" s="20"/>
    </row>
    <row r="235" spans="1:45" x14ac:dyDescent="0.3">
      <c r="A235" s="25"/>
      <c r="B235" s="21" t="s">
        <v>11</v>
      </c>
      <c r="C235" s="18">
        <v>8</v>
      </c>
      <c r="D235">
        <v>1</v>
      </c>
      <c r="E235">
        <v>6</v>
      </c>
      <c r="F235">
        <v>1</v>
      </c>
      <c r="G235">
        <v>1</v>
      </c>
      <c r="H235">
        <v>4</v>
      </c>
      <c r="I235">
        <v>4</v>
      </c>
      <c r="J235">
        <v>7</v>
      </c>
      <c r="K235" s="20">
        <v>3</v>
      </c>
      <c r="L235" s="25"/>
      <c r="M235" s="21" t="s">
        <v>11</v>
      </c>
      <c r="N235" s="79">
        <v>10</v>
      </c>
      <c r="O235" s="48">
        <v>3</v>
      </c>
      <c r="P235" s="48">
        <v>0</v>
      </c>
      <c r="Q235" s="48">
        <v>4</v>
      </c>
      <c r="R235" s="48">
        <v>3</v>
      </c>
      <c r="S235" s="48">
        <v>11</v>
      </c>
      <c r="T235" s="48">
        <v>7</v>
      </c>
      <c r="U235" s="48">
        <v>6</v>
      </c>
      <c r="V235" s="48">
        <v>8</v>
      </c>
      <c r="W235" s="48">
        <v>13</v>
      </c>
      <c r="X235" s="48">
        <v>9</v>
      </c>
      <c r="Y235" s="48">
        <v>0</v>
      </c>
      <c r="Z235" s="48">
        <v>3</v>
      </c>
      <c r="AA235" s="77"/>
      <c r="AB235" s="48">
        <v>5</v>
      </c>
      <c r="AC235" s="48">
        <v>3</v>
      </c>
      <c r="AD235" s="48">
        <v>5</v>
      </c>
      <c r="AE235" s="48">
        <v>5</v>
      </c>
      <c r="AF235" s="48">
        <v>1</v>
      </c>
      <c r="AG235" s="48">
        <v>3</v>
      </c>
      <c r="AH235" s="48">
        <v>3</v>
      </c>
      <c r="AI235" s="80">
        <v>4</v>
      </c>
      <c r="AJ235" s="25"/>
      <c r="AK235" s="21" t="s">
        <v>12</v>
      </c>
      <c r="AL235" s="18"/>
      <c r="AO235" s="62"/>
      <c r="AQ235" s="20"/>
    </row>
    <row r="236" spans="1:45" x14ac:dyDescent="0.3">
      <c r="A236" s="25"/>
      <c r="B236" s="21" t="s">
        <v>12</v>
      </c>
      <c r="C236" s="18"/>
      <c r="K236" s="20"/>
      <c r="L236" s="25"/>
      <c r="M236" s="21" t="s">
        <v>12</v>
      </c>
      <c r="N236" s="79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77"/>
      <c r="AB236" s="48"/>
      <c r="AC236" s="48"/>
      <c r="AD236" s="48"/>
      <c r="AE236" s="48"/>
      <c r="AF236" s="48"/>
      <c r="AG236" s="48"/>
      <c r="AH236" s="48"/>
      <c r="AI236" s="80"/>
      <c r="AJ236" s="25"/>
      <c r="AK236" s="21" t="s">
        <v>13</v>
      </c>
      <c r="AL236" s="18">
        <v>115</v>
      </c>
      <c r="AM236" s="48">
        <v>101</v>
      </c>
      <c r="AN236" s="48">
        <v>105</v>
      </c>
      <c r="AO236" s="62"/>
      <c r="AP236" s="48">
        <v>124</v>
      </c>
      <c r="AQ236" s="20"/>
    </row>
    <row r="237" spans="1:45" x14ac:dyDescent="0.3">
      <c r="A237" s="25"/>
      <c r="B237" s="21" t="s">
        <v>13</v>
      </c>
      <c r="C237" s="18">
        <v>110</v>
      </c>
      <c r="D237">
        <v>120</v>
      </c>
      <c r="E237">
        <v>108</v>
      </c>
      <c r="F237">
        <v>116</v>
      </c>
      <c r="G237">
        <v>124</v>
      </c>
      <c r="H237">
        <v>106</v>
      </c>
      <c r="I237">
        <v>120</v>
      </c>
      <c r="J237">
        <v>107</v>
      </c>
      <c r="K237" s="20">
        <v>119</v>
      </c>
      <c r="L237" s="25"/>
      <c r="M237" s="21" t="s">
        <v>13</v>
      </c>
      <c r="N237" s="79">
        <v>121</v>
      </c>
      <c r="O237" s="48">
        <v>130</v>
      </c>
      <c r="P237" s="48">
        <v>127</v>
      </c>
      <c r="Q237" s="48">
        <v>143</v>
      </c>
      <c r="R237" s="48">
        <v>147</v>
      </c>
      <c r="S237" s="48">
        <v>112</v>
      </c>
      <c r="T237" s="48">
        <v>96</v>
      </c>
      <c r="U237" s="48">
        <v>111</v>
      </c>
      <c r="V237" s="48">
        <v>101</v>
      </c>
      <c r="W237" s="48">
        <v>80</v>
      </c>
      <c r="X237" s="48">
        <v>83</v>
      </c>
      <c r="Y237" s="48">
        <v>90</v>
      </c>
      <c r="Z237" s="48">
        <v>106</v>
      </c>
      <c r="AA237" s="77"/>
      <c r="AB237" s="48">
        <v>133</v>
      </c>
      <c r="AC237" s="48">
        <v>126</v>
      </c>
      <c r="AD237" s="48">
        <v>116</v>
      </c>
      <c r="AE237" s="48">
        <v>108</v>
      </c>
      <c r="AF237" s="48">
        <v>112</v>
      </c>
      <c r="AG237" s="48">
        <v>112</v>
      </c>
      <c r="AH237" s="48">
        <v>141</v>
      </c>
      <c r="AI237" s="80">
        <v>119</v>
      </c>
      <c r="AJ237" s="25"/>
      <c r="AK237" s="21" t="s">
        <v>14</v>
      </c>
      <c r="AL237" s="27">
        <v>257</v>
      </c>
      <c r="AM237" s="28">
        <v>279</v>
      </c>
      <c r="AN237" s="28">
        <v>279</v>
      </c>
      <c r="AO237" s="63"/>
      <c r="AP237" s="28">
        <v>297</v>
      </c>
      <c r="AQ237" s="29"/>
    </row>
    <row r="238" spans="1:45" ht="15" thickBot="1" x14ac:dyDescent="0.35">
      <c r="A238" s="36"/>
      <c r="B238" s="37" t="s">
        <v>14</v>
      </c>
      <c r="C238" s="27">
        <v>302</v>
      </c>
      <c r="D238" s="28">
        <v>298</v>
      </c>
      <c r="E238" s="28">
        <v>248</v>
      </c>
      <c r="F238" s="28">
        <v>296</v>
      </c>
      <c r="G238" s="28">
        <v>306</v>
      </c>
      <c r="H238" s="28">
        <v>274</v>
      </c>
      <c r="I238" s="28">
        <v>289</v>
      </c>
      <c r="J238" s="28">
        <v>305</v>
      </c>
      <c r="K238" s="29">
        <v>298</v>
      </c>
      <c r="L238" s="36"/>
      <c r="M238" s="66" t="s">
        <v>14</v>
      </c>
      <c r="N238" s="27">
        <v>335</v>
      </c>
      <c r="O238" s="28">
        <v>340</v>
      </c>
      <c r="P238" s="28">
        <v>320</v>
      </c>
      <c r="Q238" s="28">
        <v>320</v>
      </c>
      <c r="R238" s="28">
        <v>350</v>
      </c>
      <c r="S238" s="28">
        <v>270</v>
      </c>
      <c r="T238" s="28">
        <v>291</v>
      </c>
      <c r="U238" s="28">
        <v>305</v>
      </c>
      <c r="V238" s="28">
        <v>306</v>
      </c>
      <c r="W238" s="28">
        <v>305</v>
      </c>
      <c r="X238" s="28">
        <v>287</v>
      </c>
      <c r="Y238" s="28">
        <v>306</v>
      </c>
      <c r="Z238" s="28">
        <v>291</v>
      </c>
      <c r="AA238" s="78"/>
      <c r="AB238" s="28">
        <v>301</v>
      </c>
      <c r="AC238" s="28">
        <v>293</v>
      </c>
      <c r="AD238" s="28">
        <v>303</v>
      </c>
      <c r="AE238" s="28">
        <v>292</v>
      </c>
      <c r="AF238" s="28">
        <v>260</v>
      </c>
      <c r="AG238" s="28">
        <v>250</v>
      </c>
      <c r="AH238" s="28">
        <v>355</v>
      </c>
      <c r="AI238" s="29">
        <v>300</v>
      </c>
      <c r="AJ238" s="46"/>
      <c r="AK238" s="47"/>
      <c r="AQ238" s="20"/>
    </row>
    <row r="239" spans="1:45" x14ac:dyDescent="0.3">
      <c r="A239" s="56">
        <f>A228+1</f>
        <v>46091</v>
      </c>
      <c r="B239" s="8" t="s">
        <v>1</v>
      </c>
      <c r="C239" s="39"/>
      <c r="D239" s="39"/>
      <c r="E239" s="39"/>
      <c r="F239" s="39"/>
      <c r="G239" s="39"/>
      <c r="H239" s="39"/>
      <c r="I239" s="39"/>
      <c r="J239" s="39"/>
      <c r="K239" s="40"/>
      <c r="L239" s="56">
        <f>A239</f>
        <v>46091</v>
      </c>
      <c r="M239" s="8" t="s">
        <v>1</v>
      </c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40"/>
      <c r="AJ239" s="56">
        <f>L239</f>
        <v>46091</v>
      </c>
      <c r="AK239" s="12" t="s">
        <v>1</v>
      </c>
      <c r="AL239" s="42"/>
      <c r="AM239" s="42"/>
      <c r="AN239" s="42"/>
      <c r="AO239" s="42"/>
      <c r="AP239" s="42"/>
      <c r="AQ239" s="40"/>
    </row>
    <row r="240" spans="1:45" x14ac:dyDescent="0.3">
      <c r="A240" s="57"/>
      <c r="B240" s="24" t="s">
        <v>2</v>
      </c>
      <c r="C240" s="9"/>
      <c r="D240" s="10"/>
      <c r="E240" s="10"/>
      <c r="F240" s="10"/>
      <c r="G240" s="10"/>
      <c r="H240" s="10"/>
      <c r="I240" s="10"/>
      <c r="J240" s="10"/>
      <c r="K240" s="11"/>
      <c r="L240" s="57"/>
      <c r="M240" s="21" t="s">
        <v>2</v>
      </c>
      <c r="N240" s="13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1"/>
      <c r="AJ240" s="57"/>
      <c r="AK240" s="21" t="s">
        <v>2</v>
      </c>
      <c r="AL240" s="9"/>
      <c r="AM240" s="10"/>
      <c r="AN240" s="10"/>
      <c r="AO240" s="10"/>
      <c r="AP240" s="10"/>
      <c r="AQ240" s="15"/>
      <c r="AS240">
        <f t="shared" ref="AS240:AS247" si="109">SUM(N241:AI241)</f>
        <v>0</v>
      </c>
    </row>
    <row r="241" spans="1:45" x14ac:dyDescent="0.3">
      <c r="A241" s="57"/>
      <c r="B241" s="21" t="s">
        <v>3</v>
      </c>
      <c r="C241" s="18"/>
      <c r="K241" s="20"/>
      <c r="L241" s="57"/>
      <c r="M241" s="21" t="s">
        <v>3</v>
      </c>
      <c r="N241" s="18"/>
      <c r="AI241" s="20"/>
      <c r="AJ241" s="57"/>
      <c r="AK241" s="21" t="s">
        <v>3</v>
      </c>
      <c r="AL241" s="18"/>
      <c r="AQ241" s="20"/>
      <c r="AS241">
        <f t="shared" si="109"/>
        <v>0</v>
      </c>
    </row>
    <row r="242" spans="1:45" x14ac:dyDescent="0.3">
      <c r="A242" s="57"/>
      <c r="B242" s="21" t="s">
        <v>4</v>
      </c>
      <c r="C242" s="18"/>
      <c r="K242" s="20"/>
      <c r="L242" s="57"/>
      <c r="M242" s="21" t="s">
        <v>4</v>
      </c>
      <c r="N242" s="18"/>
      <c r="AI242" s="20"/>
      <c r="AJ242" s="57"/>
      <c r="AK242" s="21" t="s">
        <v>4</v>
      </c>
      <c r="AL242" s="18"/>
      <c r="AQ242" s="20"/>
      <c r="AS242">
        <f t="shared" si="109"/>
        <v>0</v>
      </c>
    </row>
    <row r="243" spans="1:45" x14ac:dyDescent="0.3">
      <c r="A243" s="57"/>
      <c r="B243" s="21" t="s">
        <v>5</v>
      </c>
      <c r="C243" s="18"/>
      <c r="K243" s="20"/>
      <c r="L243" s="57"/>
      <c r="M243" s="21" t="s">
        <v>5</v>
      </c>
      <c r="N243" s="18"/>
      <c r="AI243" s="20"/>
      <c r="AJ243" s="57"/>
      <c r="AK243" s="21" t="s">
        <v>5</v>
      </c>
      <c r="AL243" s="18"/>
      <c r="AQ243" s="20"/>
      <c r="AS243">
        <f t="shared" si="109"/>
        <v>0</v>
      </c>
    </row>
    <row r="244" spans="1:45" x14ac:dyDescent="0.3">
      <c r="A244" s="57"/>
      <c r="B244" s="21" t="s">
        <v>6</v>
      </c>
      <c r="C244" s="18"/>
      <c r="K244" s="20"/>
      <c r="L244" s="57"/>
      <c r="M244" s="21" t="s">
        <v>6</v>
      </c>
      <c r="N244" s="18"/>
      <c r="AI244" s="20"/>
      <c r="AJ244" s="57"/>
      <c r="AK244" s="21" t="s">
        <v>7</v>
      </c>
      <c r="AL244" s="18"/>
      <c r="AQ244" s="20"/>
      <c r="AS244">
        <f t="shared" si="109"/>
        <v>0</v>
      </c>
    </row>
    <row r="245" spans="1:45" x14ac:dyDescent="0.3">
      <c r="A245" s="57"/>
      <c r="B245" s="21" t="s">
        <v>7</v>
      </c>
      <c r="C245" s="18"/>
      <c r="K245" s="20"/>
      <c r="L245" s="57"/>
      <c r="M245" s="21" t="s">
        <v>7</v>
      </c>
      <c r="N245" s="18"/>
      <c r="AI245" s="20"/>
      <c r="AJ245" s="58" t="str">
        <f>+L246</f>
        <v>MA 1T</v>
      </c>
      <c r="AK245" s="21" t="s">
        <v>8</v>
      </c>
      <c r="AL245" s="18"/>
      <c r="AQ245" s="20"/>
      <c r="AS245">
        <f t="shared" si="109"/>
        <v>0</v>
      </c>
    </row>
    <row r="246" spans="1:45" x14ac:dyDescent="0.3">
      <c r="A246" s="58" t="s">
        <v>9</v>
      </c>
      <c r="B246" s="21" t="s">
        <v>10</v>
      </c>
      <c r="C246" s="18"/>
      <c r="K246" s="20"/>
      <c r="L246" s="58" t="str">
        <f>A246</f>
        <v>MA 1T</v>
      </c>
      <c r="M246" s="21" t="s">
        <v>10</v>
      </c>
      <c r="N246" s="18"/>
      <c r="AI246" s="20"/>
      <c r="AJ246" s="58"/>
      <c r="AK246" s="21" t="s">
        <v>11</v>
      </c>
      <c r="AL246" s="18"/>
      <c r="AQ246" s="20"/>
      <c r="AS246">
        <f t="shared" si="109"/>
        <v>0</v>
      </c>
    </row>
    <row r="247" spans="1:45" x14ac:dyDescent="0.3">
      <c r="A247" s="58"/>
      <c r="B247" s="21" t="s">
        <v>11</v>
      </c>
      <c r="C247" s="18"/>
      <c r="K247" s="20"/>
      <c r="L247" s="58"/>
      <c r="M247" s="21" t="s">
        <v>11</v>
      </c>
      <c r="N247" s="18"/>
      <c r="AI247" s="20"/>
      <c r="AJ247" s="58"/>
      <c r="AK247" s="21" t="s">
        <v>12</v>
      </c>
      <c r="AL247" s="18"/>
      <c r="AQ247" s="20"/>
      <c r="AS247">
        <f t="shared" si="109"/>
        <v>0</v>
      </c>
    </row>
    <row r="248" spans="1:45" x14ac:dyDescent="0.3">
      <c r="A248" s="58"/>
      <c r="B248" s="21" t="s">
        <v>12</v>
      </c>
      <c r="C248" s="18"/>
      <c r="K248" s="20"/>
      <c r="L248" s="58"/>
      <c r="M248" s="21" t="s">
        <v>12</v>
      </c>
      <c r="N248" s="18"/>
      <c r="AI248" s="20"/>
      <c r="AJ248" s="58"/>
      <c r="AK248" s="21" t="s">
        <v>13</v>
      </c>
      <c r="AL248" s="18"/>
      <c r="AQ248" s="20"/>
    </row>
    <row r="249" spans="1:45" x14ac:dyDescent="0.3">
      <c r="A249" s="58"/>
      <c r="B249" s="21" t="s">
        <v>13</v>
      </c>
      <c r="C249" s="18"/>
      <c r="K249" s="20"/>
      <c r="L249" s="58"/>
      <c r="M249" s="21" t="s">
        <v>13</v>
      </c>
      <c r="N249" s="18"/>
      <c r="AI249" s="20"/>
      <c r="AJ249" s="58"/>
      <c r="AK249" s="21" t="s">
        <v>14</v>
      </c>
      <c r="AL249" s="27"/>
      <c r="AM249" s="28"/>
      <c r="AN249" s="28"/>
      <c r="AO249" s="28"/>
      <c r="AP249" s="28"/>
      <c r="AQ249" s="29"/>
    </row>
    <row r="250" spans="1:45" x14ac:dyDescent="0.3">
      <c r="A250" s="58"/>
      <c r="B250" s="24" t="s">
        <v>14</v>
      </c>
      <c r="C250" s="27"/>
      <c r="D250" s="28"/>
      <c r="E250" s="28"/>
      <c r="F250" s="28"/>
      <c r="G250" s="28"/>
      <c r="H250" s="28"/>
      <c r="I250" s="28"/>
      <c r="J250" s="28"/>
      <c r="K250" s="29"/>
      <c r="L250" s="58"/>
      <c r="M250" s="21" t="s">
        <v>14</v>
      </c>
      <c r="N250" s="27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9"/>
      <c r="AJ250" s="30"/>
      <c r="AK250" s="18"/>
      <c r="AQ250" s="20"/>
    </row>
    <row r="251" spans="1:45" x14ac:dyDescent="0.3">
      <c r="A251" s="57">
        <f>+A239</f>
        <v>46091</v>
      </c>
      <c r="B251" s="24" t="s">
        <v>2</v>
      </c>
      <c r="C251" s="9"/>
      <c r="D251" s="10"/>
      <c r="E251" s="10"/>
      <c r="F251" s="10"/>
      <c r="G251" s="10"/>
      <c r="H251" s="10"/>
      <c r="I251" s="10"/>
      <c r="J251" s="10"/>
      <c r="K251" s="11"/>
      <c r="L251" s="57">
        <f>+L239</f>
        <v>46091</v>
      </c>
      <c r="M251" s="21" t="s">
        <v>2</v>
      </c>
      <c r="N251" s="13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1"/>
      <c r="AJ251" s="57">
        <f>AJ239</f>
        <v>46091</v>
      </c>
      <c r="AK251" s="21" t="s">
        <v>2</v>
      </c>
      <c r="AL251" s="9"/>
      <c r="AM251" s="10"/>
      <c r="AN251" s="10"/>
      <c r="AO251" s="10"/>
      <c r="AP251" s="10"/>
      <c r="AQ251" s="15"/>
      <c r="AS251">
        <f t="shared" ref="AS251:AS257" si="110">SUM(N252:AI252)</f>
        <v>0</v>
      </c>
    </row>
    <row r="252" spans="1:45" x14ac:dyDescent="0.3">
      <c r="A252" s="57"/>
      <c r="B252" s="21" t="s">
        <v>3</v>
      </c>
      <c r="C252" s="18"/>
      <c r="K252" s="20"/>
      <c r="L252" s="57"/>
      <c r="M252" s="21" t="s">
        <v>3</v>
      </c>
      <c r="N252" s="18"/>
      <c r="AI252" s="20"/>
      <c r="AJ252" s="57"/>
      <c r="AK252" s="21" t="s">
        <v>3</v>
      </c>
      <c r="AL252" s="79"/>
      <c r="AM252" s="48"/>
      <c r="AN252" s="48"/>
      <c r="AO252" s="48"/>
      <c r="AP252" s="48"/>
      <c r="AQ252" s="20"/>
      <c r="AS252">
        <f t="shared" si="110"/>
        <v>0</v>
      </c>
    </row>
    <row r="253" spans="1:45" x14ac:dyDescent="0.3">
      <c r="A253" s="57"/>
      <c r="B253" s="21" t="s">
        <v>4</v>
      </c>
      <c r="C253" s="18"/>
      <c r="K253" s="20"/>
      <c r="L253" s="57"/>
      <c r="M253" s="21" t="s">
        <v>4</v>
      </c>
      <c r="N253" s="18"/>
      <c r="AI253" s="20"/>
      <c r="AJ253" s="57"/>
      <c r="AK253" s="21" t="s">
        <v>4</v>
      </c>
      <c r="AL253" s="18"/>
      <c r="AQ253" s="20"/>
      <c r="AS253">
        <f t="shared" si="110"/>
        <v>0</v>
      </c>
    </row>
    <row r="254" spans="1:45" x14ac:dyDescent="0.3">
      <c r="A254" s="57"/>
      <c r="B254" s="21" t="s">
        <v>5</v>
      </c>
      <c r="C254" s="18"/>
      <c r="K254" s="20"/>
      <c r="L254" s="57"/>
      <c r="M254" s="21" t="s">
        <v>5</v>
      </c>
      <c r="N254" s="18"/>
      <c r="AI254" s="20"/>
      <c r="AJ254" s="57"/>
      <c r="AK254" s="21" t="s">
        <v>5</v>
      </c>
      <c r="AL254" s="79"/>
      <c r="AM254" s="48"/>
      <c r="AN254" s="48"/>
      <c r="AO254" s="48"/>
      <c r="AP254" s="48"/>
      <c r="AQ254" s="20"/>
      <c r="AS254">
        <f t="shared" si="110"/>
        <v>0</v>
      </c>
    </row>
    <row r="255" spans="1:45" x14ac:dyDescent="0.3">
      <c r="A255" s="57"/>
      <c r="B255" s="21" t="s">
        <v>6</v>
      </c>
      <c r="C255" s="18"/>
      <c r="K255" s="20"/>
      <c r="L255" s="57"/>
      <c r="M255" s="21" t="s">
        <v>6</v>
      </c>
      <c r="N255" s="18"/>
      <c r="AI255" s="20"/>
      <c r="AJ255" s="57"/>
      <c r="AK255" s="21" t="s">
        <v>7</v>
      </c>
      <c r="AL255" s="18"/>
      <c r="AQ255" s="20"/>
      <c r="AS255">
        <f t="shared" si="110"/>
        <v>0</v>
      </c>
    </row>
    <row r="256" spans="1:45" x14ac:dyDescent="0.3">
      <c r="A256" s="57"/>
      <c r="B256" s="21" t="s">
        <v>7</v>
      </c>
      <c r="C256" s="18"/>
      <c r="K256" s="20"/>
      <c r="L256" s="57"/>
      <c r="M256" s="21" t="s">
        <v>7</v>
      </c>
      <c r="N256" s="18"/>
      <c r="AI256" s="20"/>
      <c r="AJ256" s="57"/>
      <c r="AK256" s="21" t="s">
        <v>8</v>
      </c>
      <c r="AL256" s="18"/>
      <c r="AQ256" s="20"/>
      <c r="AS256">
        <f t="shared" si="110"/>
        <v>0</v>
      </c>
    </row>
    <row r="257" spans="1:45" x14ac:dyDescent="0.3">
      <c r="A257" s="58" t="s">
        <v>16</v>
      </c>
      <c r="B257" s="21" t="s">
        <v>10</v>
      </c>
      <c r="C257" s="18"/>
      <c r="K257" s="20"/>
      <c r="L257" s="58" t="str">
        <f>A257</f>
        <v>MA 2T</v>
      </c>
      <c r="M257" s="21" t="s">
        <v>10</v>
      </c>
      <c r="N257" s="18"/>
      <c r="AJ257" s="58" t="str">
        <f>+L257</f>
        <v>MA 2T</v>
      </c>
      <c r="AK257" s="21" t="s">
        <v>11</v>
      </c>
      <c r="AL257" s="18"/>
      <c r="AQ257" s="20"/>
      <c r="AS257">
        <f t="shared" si="110"/>
        <v>0</v>
      </c>
    </row>
    <row r="258" spans="1:45" x14ac:dyDescent="0.3">
      <c r="A258" s="58"/>
      <c r="B258" s="21" t="s">
        <v>11</v>
      </c>
      <c r="C258" s="18"/>
      <c r="K258" s="20"/>
      <c r="L258" s="58"/>
      <c r="M258" s="21" t="s">
        <v>11</v>
      </c>
      <c r="N258" s="18"/>
      <c r="AI258" s="20"/>
      <c r="AJ258" s="58"/>
      <c r="AK258" s="21" t="s">
        <v>12</v>
      </c>
      <c r="AL258" s="18"/>
      <c r="AQ258" s="20"/>
    </row>
    <row r="259" spans="1:45" x14ac:dyDescent="0.3">
      <c r="A259" s="58"/>
      <c r="B259" s="21" t="s">
        <v>12</v>
      </c>
      <c r="C259" s="18"/>
      <c r="K259" s="20"/>
      <c r="L259" s="58"/>
      <c r="M259" s="21" t="s">
        <v>12</v>
      </c>
      <c r="N259" s="18"/>
      <c r="AI259" s="20"/>
      <c r="AJ259" s="58"/>
      <c r="AK259" s="21" t="s">
        <v>13</v>
      </c>
      <c r="AL259" s="18"/>
      <c r="AQ259" s="20"/>
    </row>
    <row r="260" spans="1:45" x14ac:dyDescent="0.3">
      <c r="A260" s="58"/>
      <c r="B260" s="21" t="s">
        <v>13</v>
      </c>
      <c r="C260" s="18"/>
      <c r="K260" s="20"/>
      <c r="L260" s="58"/>
      <c r="M260" s="21" t="s">
        <v>13</v>
      </c>
      <c r="N260" s="18"/>
      <c r="AI260" s="20"/>
      <c r="AJ260" s="58"/>
      <c r="AK260" s="21" t="s">
        <v>14</v>
      </c>
      <c r="AL260" s="27"/>
      <c r="AM260" s="28"/>
      <c r="AN260" s="28"/>
      <c r="AO260" s="28"/>
      <c r="AP260" s="28"/>
      <c r="AQ260" s="29"/>
    </row>
    <row r="261" spans="1:45" x14ac:dyDescent="0.3">
      <c r="A261" s="58"/>
      <c r="B261" s="24" t="s">
        <v>14</v>
      </c>
      <c r="C261" s="27"/>
      <c r="D261" s="28"/>
      <c r="E261" s="28"/>
      <c r="F261" s="28"/>
      <c r="G261" s="28"/>
      <c r="H261" s="28"/>
      <c r="I261" s="28"/>
      <c r="J261" s="28"/>
      <c r="K261" s="29"/>
      <c r="L261" s="58"/>
      <c r="M261" s="21" t="s">
        <v>14</v>
      </c>
      <c r="N261" s="27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9"/>
      <c r="AJ261" s="30"/>
      <c r="AK261" s="18"/>
      <c r="AQ261" s="20"/>
    </row>
    <row r="262" spans="1:45" x14ac:dyDescent="0.3">
      <c r="A262" s="57">
        <f>+A251</f>
        <v>46091</v>
      </c>
      <c r="B262" s="24" t="s">
        <v>2</v>
      </c>
      <c r="C262" s="9"/>
      <c r="D262" s="10"/>
      <c r="E262" s="10"/>
      <c r="F262" s="10"/>
      <c r="G262" s="10"/>
      <c r="H262" s="10"/>
      <c r="I262" s="10"/>
      <c r="J262" s="10"/>
      <c r="K262" s="11"/>
      <c r="L262" s="57">
        <f>+L251</f>
        <v>46091</v>
      </c>
      <c r="M262" s="21" t="s">
        <v>2</v>
      </c>
      <c r="N262" s="13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1"/>
      <c r="AJ262" s="57">
        <f>+AJ251</f>
        <v>46091</v>
      </c>
      <c r="AK262" s="21" t="s">
        <v>2</v>
      </c>
      <c r="AL262" s="9"/>
      <c r="AM262" s="10"/>
      <c r="AN262" s="10"/>
      <c r="AO262" s="10"/>
      <c r="AP262" s="10"/>
      <c r="AQ262" s="15"/>
      <c r="AS262">
        <f>SUM(N263:AI263)</f>
        <v>0</v>
      </c>
    </row>
    <row r="263" spans="1:45" x14ac:dyDescent="0.3">
      <c r="A263" s="57"/>
      <c r="B263" s="21" t="s">
        <v>3</v>
      </c>
      <c r="C263" s="18"/>
      <c r="K263" s="20"/>
      <c r="L263" s="57"/>
      <c r="M263" s="21" t="s">
        <v>3</v>
      </c>
      <c r="N263" s="79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80"/>
      <c r="AJ263" s="57"/>
      <c r="AK263" s="21" t="s">
        <v>3</v>
      </c>
      <c r="AL263" s="79"/>
      <c r="AM263" s="48"/>
      <c r="AN263" s="48"/>
      <c r="AO263" s="48"/>
      <c r="AP263" s="48"/>
      <c r="AQ263" s="20"/>
      <c r="AS263">
        <f t="shared" ref="AS263:AS268" si="111">SUM(N264:AI264)</f>
        <v>0</v>
      </c>
    </row>
    <row r="264" spans="1:45" x14ac:dyDescent="0.3">
      <c r="A264" s="57"/>
      <c r="B264" s="21" t="s">
        <v>4</v>
      </c>
      <c r="C264" s="18"/>
      <c r="K264" s="20"/>
      <c r="L264" s="57"/>
      <c r="M264" s="21" t="s">
        <v>4</v>
      </c>
      <c r="N264" s="79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80"/>
      <c r="AJ264" s="57"/>
      <c r="AK264" s="21" t="s">
        <v>4</v>
      </c>
      <c r="AL264" s="18"/>
      <c r="AQ264" s="20"/>
      <c r="AS264">
        <f t="shared" si="111"/>
        <v>0</v>
      </c>
    </row>
    <row r="265" spans="1:45" x14ac:dyDescent="0.3">
      <c r="A265" s="57"/>
      <c r="B265" s="21" t="s">
        <v>5</v>
      </c>
      <c r="C265" s="18"/>
      <c r="K265" s="20"/>
      <c r="L265" s="57"/>
      <c r="M265" s="21" t="s">
        <v>5</v>
      </c>
      <c r="N265" s="79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80"/>
      <c r="AJ265" s="57"/>
      <c r="AK265" s="21" t="s">
        <v>5</v>
      </c>
      <c r="AL265" s="79"/>
      <c r="AM265" s="48"/>
      <c r="AN265" s="48"/>
      <c r="AO265" s="48"/>
      <c r="AP265" s="48"/>
      <c r="AQ265" s="20"/>
      <c r="AS265">
        <f t="shared" si="111"/>
        <v>0</v>
      </c>
    </row>
    <row r="266" spans="1:45" x14ac:dyDescent="0.3">
      <c r="A266" s="57"/>
      <c r="B266" s="21" t="s">
        <v>6</v>
      </c>
      <c r="C266" s="18"/>
      <c r="K266" s="20"/>
      <c r="L266" s="57"/>
      <c r="M266" s="21" t="s">
        <v>6</v>
      </c>
      <c r="N266" s="79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80"/>
      <c r="AJ266" s="57"/>
      <c r="AK266" s="21" t="s">
        <v>7</v>
      </c>
      <c r="AL266" s="79"/>
      <c r="AM266" s="48"/>
      <c r="AN266" s="48"/>
      <c r="AO266" s="48"/>
      <c r="AP266" s="48"/>
      <c r="AQ266" s="20"/>
      <c r="AS266">
        <f t="shared" si="111"/>
        <v>0</v>
      </c>
    </row>
    <row r="267" spans="1:45" x14ac:dyDescent="0.3">
      <c r="A267" s="57"/>
      <c r="B267" s="21" t="s">
        <v>7</v>
      </c>
      <c r="C267" s="18"/>
      <c r="K267" s="20"/>
      <c r="L267" s="57"/>
      <c r="M267" s="21" t="s">
        <v>7</v>
      </c>
      <c r="N267" s="79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80"/>
      <c r="AJ267" s="57"/>
      <c r="AK267" s="21" t="s">
        <v>8</v>
      </c>
      <c r="AL267" s="18"/>
      <c r="AQ267" s="20"/>
      <c r="AS267">
        <f t="shared" si="111"/>
        <v>0</v>
      </c>
    </row>
    <row r="268" spans="1:45" x14ac:dyDescent="0.3">
      <c r="A268" s="58" t="s">
        <v>18</v>
      </c>
      <c r="B268" s="21" t="s">
        <v>10</v>
      </c>
      <c r="C268" s="18"/>
      <c r="K268" s="20"/>
      <c r="L268" s="58" t="str">
        <f>A268</f>
        <v>MA 3T</v>
      </c>
      <c r="M268" s="21" t="s">
        <v>10</v>
      </c>
      <c r="N268" s="79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80"/>
      <c r="AJ268" s="58" t="str">
        <f>L268</f>
        <v>MA 3T</v>
      </c>
      <c r="AK268" s="21" t="s">
        <v>11</v>
      </c>
      <c r="AL268" s="18"/>
      <c r="AM268" s="48"/>
      <c r="AN268" s="48"/>
      <c r="AO268" s="48"/>
      <c r="AP268" s="48"/>
      <c r="AQ268" s="20"/>
      <c r="AS268">
        <f t="shared" si="111"/>
        <v>0</v>
      </c>
    </row>
    <row r="269" spans="1:45" x14ac:dyDescent="0.3">
      <c r="A269" s="58"/>
      <c r="B269" s="21" t="s">
        <v>11</v>
      </c>
      <c r="C269" s="18"/>
      <c r="K269" s="20"/>
      <c r="L269" s="58"/>
      <c r="M269" s="21" t="s">
        <v>11</v>
      </c>
      <c r="N269" s="79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80"/>
      <c r="AJ269" s="58"/>
      <c r="AK269" s="21" t="s">
        <v>12</v>
      </c>
      <c r="AL269" s="18"/>
      <c r="AQ269" s="20"/>
    </row>
    <row r="270" spans="1:45" x14ac:dyDescent="0.3">
      <c r="A270" s="58"/>
      <c r="B270" s="21" t="s">
        <v>12</v>
      </c>
      <c r="C270" s="18"/>
      <c r="K270" s="20"/>
      <c r="L270" s="58"/>
      <c r="M270" s="21" t="s">
        <v>12</v>
      </c>
      <c r="N270" s="79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80"/>
      <c r="AJ270" s="58"/>
      <c r="AK270" s="21" t="s">
        <v>13</v>
      </c>
      <c r="AL270" s="18"/>
      <c r="AM270" s="48"/>
      <c r="AN270" s="48"/>
      <c r="AO270" s="48"/>
      <c r="AP270" s="48"/>
      <c r="AQ270" s="20"/>
    </row>
    <row r="271" spans="1:45" x14ac:dyDescent="0.3">
      <c r="A271" s="58"/>
      <c r="B271" s="21" t="s">
        <v>13</v>
      </c>
      <c r="C271" s="18"/>
      <c r="K271" s="20"/>
      <c r="L271" s="58"/>
      <c r="M271" s="21" t="s">
        <v>13</v>
      </c>
      <c r="N271" s="79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80"/>
      <c r="AJ271" s="58"/>
      <c r="AK271" s="21" t="s">
        <v>14</v>
      </c>
      <c r="AL271" s="27"/>
      <c r="AM271" s="28"/>
      <c r="AN271" s="28"/>
      <c r="AO271" s="28"/>
      <c r="AP271" s="28"/>
      <c r="AQ271" s="29"/>
    </row>
    <row r="272" spans="1:45" ht="15" thickBot="1" x14ac:dyDescent="0.35">
      <c r="A272" s="65"/>
      <c r="B272" s="37" t="s">
        <v>14</v>
      </c>
      <c r="C272" s="27"/>
      <c r="D272" s="28"/>
      <c r="E272" s="28"/>
      <c r="F272" s="28"/>
      <c r="G272" s="28"/>
      <c r="H272" s="28"/>
      <c r="I272" s="28"/>
      <c r="J272" s="28"/>
      <c r="K272" s="29"/>
      <c r="L272" s="65"/>
      <c r="M272" s="66" t="s">
        <v>14</v>
      </c>
      <c r="N272" s="27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9"/>
      <c r="AJ272" s="46"/>
      <c r="AK272" s="47"/>
      <c r="AQ272" s="20"/>
    </row>
  </sheetData>
  <mergeCells count="160">
    <mergeCell ref="A262:A267"/>
    <mergeCell ref="L262:L267"/>
    <mergeCell ref="AJ262:AJ267"/>
    <mergeCell ref="A268:A272"/>
    <mergeCell ref="L268:L272"/>
    <mergeCell ref="AJ268:AJ271"/>
    <mergeCell ref="A251:A256"/>
    <mergeCell ref="L251:L256"/>
    <mergeCell ref="AJ251:AJ256"/>
    <mergeCell ref="A257:A261"/>
    <mergeCell ref="L257:L261"/>
    <mergeCell ref="AJ257:AJ260"/>
    <mergeCell ref="A239:A245"/>
    <mergeCell ref="L239:L245"/>
    <mergeCell ref="AJ239:AJ244"/>
    <mergeCell ref="AJ245:AJ249"/>
    <mergeCell ref="A246:A250"/>
    <mergeCell ref="L246:L250"/>
    <mergeCell ref="AJ223:AJ226"/>
    <mergeCell ref="A228:A233"/>
    <mergeCell ref="L228:L233"/>
    <mergeCell ref="AA228:AA238"/>
    <mergeCell ref="AJ228:AJ233"/>
    <mergeCell ref="AO228:AO237"/>
    <mergeCell ref="A234:A238"/>
    <mergeCell ref="L234:L238"/>
    <mergeCell ref="AJ234:AJ237"/>
    <mergeCell ref="AO206:AO215"/>
    <mergeCell ref="A212:A216"/>
    <mergeCell ref="L212:L216"/>
    <mergeCell ref="AJ212:AJ215"/>
    <mergeCell ref="A217:A222"/>
    <mergeCell ref="L217:L222"/>
    <mergeCell ref="AA217:AA227"/>
    <mergeCell ref="AJ217:AJ222"/>
    <mergeCell ref="A223:A227"/>
    <mergeCell ref="L223:L227"/>
    <mergeCell ref="A205:A211"/>
    <mergeCell ref="L205:L211"/>
    <mergeCell ref="AJ205:AJ210"/>
    <mergeCell ref="D206:D216"/>
    <mergeCell ref="Y206:Y216"/>
    <mergeCell ref="AM206:AM215"/>
    <mergeCell ref="A194:A199"/>
    <mergeCell ref="L194:L199"/>
    <mergeCell ref="W194:W204"/>
    <mergeCell ref="AJ194:AJ199"/>
    <mergeCell ref="A200:A204"/>
    <mergeCell ref="L200:L204"/>
    <mergeCell ref="AJ200:AJ203"/>
    <mergeCell ref="A183:A188"/>
    <mergeCell ref="L183:L188"/>
    <mergeCell ref="W183:W193"/>
    <mergeCell ref="AJ183:AJ188"/>
    <mergeCell ref="A189:A193"/>
    <mergeCell ref="L189:L193"/>
    <mergeCell ref="AJ189:AJ192"/>
    <mergeCell ref="A171:A177"/>
    <mergeCell ref="L171:L177"/>
    <mergeCell ref="AJ171:AJ176"/>
    <mergeCell ref="W172:W182"/>
    <mergeCell ref="AJ177:AJ181"/>
    <mergeCell ref="A178:A182"/>
    <mergeCell ref="L178:L182"/>
    <mergeCell ref="A160:A165"/>
    <mergeCell ref="L160:L165"/>
    <mergeCell ref="W160:W170"/>
    <mergeCell ref="AJ160:AJ165"/>
    <mergeCell ref="A166:A170"/>
    <mergeCell ref="L166:L170"/>
    <mergeCell ref="AJ166:AJ169"/>
    <mergeCell ref="A149:A154"/>
    <mergeCell ref="L149:L154"/>
    <mergeCell ref="W149:W159"/>
    <mergeCell ref="Y149:Y159"/>
    <mergeCell ref="AJ149:AJ154"/>
    <mergeCell ref="AP149:AP158"/>
    <mergeCell ref="A155:A159"/>
    <mergeCell ref="L155:L159"/>
    <mergeCell ref="AJ155:AJ158"/>
    <mergeCell ref="A137:A143"/>
    <mergeCell ref="L137:L143"/>
    <mergeCell ref="AJ137:AJ142"/>
    <mergeCell ref="AJ143:AJ147"/>
    <mergeCell ref="A144:A148"/>
    <mergeCell ref="L144:L148"/>
    <mergeCell ref="A126:A131"/>
    <mergeCell ref="L126:L131"/>
    <mergeCell ref="AJ126:AJ131"/>
    <mergeCell ref="A132:A136"/>
    <mergeCell ref="L132:L136"/>
    <mergeCell ref="AJ132:AJ135"/>
    <mergeCell ref="A115:A120"/>
    <mergeCell ref="L115:L120"/>
    <mergeCell ref="AJ115:AJ120"/>
    <mergeCell ref="A121:A125"/>
    <mergeCell ref="L121:L125"/>
    <mergeCell ref="AJ121:AJ124"/>
    <mergeCell ref="A103:A109"/>
    <mergeCell ref="L103:L109"/>
    <mergeCell ref="AJ103:AJ108"/>
    <mergeCell ref="AD104:AD114"/>
    <mergeCell ref="AJ109:AJ113"/>
    <mergeCell ref="A110:A114"/>
    <mergeCell ref="L110:L114"/>
    <mergeCell ref="A92:A97"/>
    <mergeCell ref="L92:L97"/>
    <mergeCell ref="AJ92:AJ97"/>
    <mergeCell ref="A98:A102"/>
    <mergeCell ref="L98:L102"/>
    <mergeCell ref="AJ98:AJ101"/>
    <mergeCell ref="A81:A86"/>
    <mergeCell ref="L81:L86"/>
    <mergeCell ref="AJ81:AJ86"/>
    <mergeCell ref="A87:A91"/>
    <mergeCell ref="L87:L91"/>
    <mergeCell ref="AJ87:AJ90"/>
    <mergeCell ref="A69:A75"/>
    <mergeCell ref="L69:L75"/>
    <mergeCell ref="AJ69:AJ74"/>
    <mergeCell ref="A76:A80"/>
    <mergeCell ref="L76:L80"/>
    <mergeCell ref="AJ76:AJ79"/>
    <mergeCell ref="A58:A63"/>
    <mergeCell ref="L58:L63"/>
    <mergeCell ref="AJ58:AJ63"/>
    <mergeCell ref="A64:A68"/>
    <mergeCell ref="L64:L68"/>
    <mergeCell ref="AJ64:AJ67"/>
    <mergeCell ref="A47:A52"/>
    <mergeCell ref="L47:L52"/>
    <mergeCell ref="AJ47:AJ52"/>
    <mergeCell ref="A53:A57"/>
    <mergeCell ref="L53:L57"/>
    <mergeCell ref="AJ53:AJ56"/>
    <mergeCell ref="A35:A41"/>
    <mergeCell ref="L35:L41"/>
    <mergeCell ref="AJ35:AJ41"/>
    <mergeCell ref="A42:A46"/>
    <mergeCell ref="L42:L46"/>
    <mergeCell ref="AJ42:AJ45"/>
    <mergeCell ref="A24:A29"/>
    <mergeCell ref="L24:L29"/>
    <mergeCell ref="AJ24:AJ29"/>
    <mergeCell ref="A30:A34"/>
    <mergeCell ref="L30:L34"/>
    <mergeCell ref="AJ30:AJ33"/>
    <mergeCell ref="A13:A18"/>
    <mergeCell ref="E13:E23"/>
    <mergeCell ref="L13:L18"/>
    <mergeCell ref="AJ13:AJ18"/>
    <mergeCell ref="A19:A23"/>
    <mergeCell ref="L19:L23"/>
    <mergeCell ref="AJ19:AJ22"/>
    <mergeCell ref="A2:A7"/>
    <mergeCell ref="L2:L7"/>
    <mergeCell ref="AJ2:AJ7"/>
    <mergeCell ref="A8:A12"/>
    <mergeCell ref="L8:L12"/>
    <mergeCell ref="AJ8:AJ11"/>
  </mergeCells>
  <conditionalFormatting sqref="C2:K2 N2:AI2 AL2:AP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K13 N13:AI13 AL13:AP1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K24 N24:AI24 AL24:AP2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K36 N36:AI36 AL36:AP3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7:K47 N47:AF47 AH47:AI47 AL47:AP47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8:K58 N58:AI58 AL58:AP5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0:K70 N70:AI70 AL70:AP7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1:K81 N81:AE81 AG81:AI81 AL81:AP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2:K92 N92:Z92 AB92:AI92 AL92:AP9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4:K104 N104:Z104 AB104:AC104 AE104:AI104 AL104:AP10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5:K115 N115:AI115 AL115:AP11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6:K126 N126:AI126 AL126:AP1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8:K138 N138:AI138 AL138:AP13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9:K149 N149:V149 X149 Z149:AI149 AL149:AO14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0:K160 N160:V160 X160:AI160 AL160:AP16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2:K172 N172:V172 X172:AI172 AL172:AP17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3:K183 N183:V183 X183:AI183 AL183:AP18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94:K194 N194:V194 X194:AI194 AL194:AP1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6:K206 N206:X206 AL206:AP206 Z206:AI2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17:K217 N217:AI217 AL217:AP217 AA2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8:K228 N228:Z228 AL228:AN228 AB228:AI228 AP22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 Sanchez</dc:creator>
  <cp:lastModifiedBy>Franco Sanchez</cp:lastModifiedBy>
  <dcterms:created xsi:type="dcterms:W3CDTF">2026-03-17T19:51:10Z</dcterms:created>
  <dcterms:modified xsi:type="dcterms:W3CDTF">2026-03-17T19:58:09Z</dcterms:modified>
</cp:coreProperties>
</file>