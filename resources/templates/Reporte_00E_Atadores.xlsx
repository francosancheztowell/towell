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8_{C37ED619-6E98-4D25-8BA1-50FA9CAFD1D4}" xr6:coauthVersionLast="47" xr6:coauthVersionMax="47" xr10:uidLastSave="{00000000-0000-0000-0000-000000000000}"/>
  <bookViews>
    <workbookView xWindow="-108" yWindow="-108" windowWidth="23256" windowHeight="12456" xr2:uid="{BFCD94C3-6403-4916-87AA-6BB488989F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45" i="1" l="1"/>
  <c r="BZ44" i="1"/>
  <c r="BZ43" i="1"/>
  <c r="BZ42" i="1"/>
  <c r="BZ41" i="1"/>
  <c r="CH40" i="1"/>
  <c r="CF40" i="1"/>
  <c r="BZ40" i="1"/>
  <c r="CA40" i="1" s="1"/>
  <c r="BZ39" i="1"/>
  <c r="BZ38" i="1"/>
  <c r="BZ37" i="1"/>
  <c r="BZ36" i="1"/>
  <c r="BZ35" i="1"/>
  <c r="CH34" i="1"/>
  <c r="CF34" i="1"/>
  <c r="BZ34" i="1"/>
  <c r="BZ33" i="1"/>
  <c r="BZ32" i="1"/>
  <c r="BZ31" i="1"/>
  <c r="BZ30" i="1"/>
  <c r="BZ29" i="1"/>
  <c r="CA28" i="1" s="1"/>
  <c r="CH28" i="1"/>
  <c r="CF28" i="1"/>
  <c r="BZ27" i="1"/>
  <c r="BZ26" i="1"/>
  <c r="BZ25" i="1"/>
  <c r="BZ24" i="1"/>
  <c r="BZ23" i="1"/>
  <c r="CH22" i="1"/>
  <c r="CF22" i="1"/>
  <c r="BZ22" i="1"/>
  <c r="BZ21" i="1"/>
  <c r="BZ20" i="1"/>
  <c r="BZ19" i="1"/>
  <c r="BZ18" i="1"/>
  <c r="BZ17" i="1"/>
  <c r="CH16" i="1"/>
  <c r="CF16" i="1"/>
  <c r="BZ16" i="1"/>
  <c r="BZ15" i="1"/>
  <c r="BZ14" i="1"/>
  <c r="BZ13" i="1"/>
  <c r="BZ12" i="1"/>
  <c r="BZ11" i="1"/>
  <c r="CH10" i="1"/>
  <c r="CF10" i="1"/>
  <c r="BZ10" i="1"/>
  <c r="CA10" i="1" s="1"/>
  <c r="BZ9" i="1"/>
  <c r="BZ8" i="1"/>
  <c r="BZ7" i="1"/>
  <c r="BZ6" i="1"/>
  <c r="BZ5" i="1"/>
  <c r="CH4" i="1"/>
  <c r="CF4" i="1"/>
  <c r="BZ4" i="1"/>
  <c r="BN45" i="1"/>
  <c r="BN44" i="1"/>
  <c r="BN43" i="1"/>
  <c r="BN42" i="1"/>
  <c r="BN41" i="1"/>
  <c r="BV40" i="1"/>
  <c r="BT40" i="1"/>
  <c r="BN40" i="1"/>
  <c r="BN39" i="1"/>
  <c r="BN38" i="1"/>
  <c r="BN37" i="1"/>
  <c r="BN36" i="1"/>
  <c r="BN35" i="1"/>
  <c r="BV34" i="1"/>
  <c r="BT34" i="1"/>
  <c r="BN34" i="1"/>
  <c r="BO34" i="1" s="1"/>
  <c r="BN33" i="1"/>
  <c r="BN32" i="1"/>
  <c r="BN31" i="1"/>
  <c r="BN30" i="1"/>
  <c r="BN29" i="1"/>
  <c r="BV28" i="1"/>
  <c r="BT28" i="1"/>
  <c r="BN27" i="1"/>
  <c r="BN26" i="1"/>
  <c r="BN25" i="1"/>
  <c r="BN24" i="1"/>
  <c r="BN23" i="1"/>
  <c r="BV22" i="1"/>
  <c r="BT22" i="1"/>
  <c r="BN22" i="1"/>
  <c r="BN21" i="1"/>
  <c r="BN20" i="1"/>
  <c r="BN19" i="1"/>
  <c r="BN18" i="1"/>
  <c r="BN17" i="1"/>
  <c r="BV16" i="1"/>
  <c r="BT16" i="1"/>
  <c r="BN16" i="1"/>
  <c r="BO16" i="1" s="1"/>
  <c r="BN15" i="1"/>
  <c r="BN14" i="1"/>
  <c r="BN13" i="1"/>
  <c r="BN12" i="1"/>
  <c r="BN11" i="1"/>
  <c r="BV10" i="1"/>
  <c r="BT10" i="1"/>
  <c r="BN10" i="1"/>
  <c r="BN9" i="1"/>
  <c r="BN8" i="1"/>
  <c r="BN7" i="1"/>
  <c r="BN6" i="1"/>
  <c r="BN5" i="1"/>
  <c r="BV4" i="1"/>
  <c r="BT4" i="1"/>
  <c r="BN4" i="1"/>
  <c r="BB45" i="1"/>
  <c r="BB44" i="1"/>
  <c r="BB43" i="1"/>
  <c r="BB42" i="1"/>
  <c r="BB41" i="1"/>
  <c r="BJ40" i="1"/>
  <c r="BH40" i="1"/>
  <c r="BB40" i="1"/>
  <c r="BC40" i="1" s="1"/>
  <c r="BB39" i="1"/>
  <c r="BB38" i="1"/>
  <c r="BB37" i="1"/>
  <c r="BB36" i="1"/>
  <c r="BB35" i="1"/>
  <c r="BJ34" i="1"/>
  <c r="BH34" i="1"/>
  <c r="BB34" i="1"/>
  <c r="BB33" i="1"/>
  <c r="BB32" i="1"/>
  <c r="BB31" i="1"/>
  <c r="BB30" i="1"/>
  <c r="BB29" i="1"/>
  <c r="BC28" i="1" s="1"/>
  <c r="BJ28" i="1"/>
  <c r="BH28" i="1"/>
  <c r="BB27" i="1"/>
  <c r="BB26" i="1"/>
  <c r="BB25" i="1"/>
  <c r="BB24" i="1"/>
  <c r="BB23" i="1"/>
  <c r="BJ22" i="1"/>
  <c r="BH22" i="1"/>
  <c r="BB22" i="1"/>
  <c r="BC22" i="1" s="1"/>
  <c r="BB21" i="1"/>
  <c r="BB20" i="1"/>
  <c r="BB19" i="1"/>
  <c r="BB18" i="1"/>
  <c r="BB17" i="1"/>
  <c r="BJ16" i="1"/>
  <c r="BH16" i="1"/>
  <c r="BB16" i="1"/>
  <c r="BB15" i="1"/>
  <c r="BB14" i="1"/>
  <c r="BB13" i="1"/>
  <c r="BB12" i="1"/>
  <c r="BB11" i="1"/>
  <c r="BJ10" i="1"/>
  <c r="BH10" i="1"/>
  <c r="BB10" i="1"/>
  <c r="BB9" i="1"/>
  <c r="BB8" i="1"/>
  <c r="BB7" i="1"/>
  <c r="BB6" i="1"/>
  <c r="BB5" i="1"/>
  <c r="BJ4" i="1"/>
  <c r="BH4" i="1"/>
  <c r="BB4" i="1"/>
  <c r="BC4" i="1" s="1"/>
  <c r="AP45" i="1"/>
  <c r="AP44" i="1"/>
  <c r="AP43" i="1"/>
  <c r="AP42" i="1"/>
  <c r="AP41" i="1"/>
  <c r="AX40" i="1"/>
  <c r="AV40" i="1"/>
  <c r="AP40" i="1"/>
  <c r="AP39" i="1"/>
  <c r="AP38" i="1"/>
  <c r="AP37" i="1"/>
  <c r="AP36" i="1"/>
  <c r="AP35" i="1"/>
  <c r="AX34" i="1"/>
  <c r="AV34" i="1"/>
  <c r="AP34" i="1"/>
  <c r="AP33" i="1"/>
  <c r="AP32" i="1"/>
  <c r="AP31" i="1"/>
  <c r="AP30" i="1"/>
  <c r="AP29" i="1"/>
  <c r="AQ28" i="1" s="1"/>
  <c r="AX28" i="1"/>
  <c r="AV28" i="1"/>
  <c r="AP27" i="1"/>
  <c r="AP26" i="1"/>
  <c r="AP25" i="1"/>
  <c r="AP24" i="1"/>
  <c r="AP23" i="1"/>
  <c r="AX22" i="1"/>
  <c r="AV22" i="1"/>
  <c r="AP22" i="1"/>
  <c r="AP21" i="1"/>
  <c r="AP20" i="1"/>
  <c r="AP19" i="1"/>
  <c r="AP18" i="1"/>
  <c r="AP17" i="1"/>
  <c r="AX16" i="1"/>
  <c r="AV16" i="1"/>
  <c r="AP16" i="1"/>
  <c r="AQ16" i="1" s="1"/>
  <c r="AP15" i="1"/>
  <c r="AP14" i="1"/>
  <c r="AP13" i="1"/>
  <c r="AP12" i="1"/>
  <c r="AP11" i="1"/>
  <c r="AX10" i="1"/>
  <c r="AV10" i="1"/>
  <c r="AP10" i="1"/>
  <c r="AQ10" i="1" s="1"/>
  <c r="AP9" i="1"/>
  <c r="AP8" i="1"/>
  <c r="AP7" i="1"/>
  <c r="AP6" i="1"/>
  <c r="AP5" i="1"/>
  <c r="AX4" i="1"/>
  <c r="AV4" i="1"/>
  <c r="AP4" i="1"/>
  <c r="AD45" i="1"/>
  <c r="AD44" i="1"/>
  <c r="AD43" i="1"/>
  <c r="AD42" i="1"/>
  <c r="AD41" i="1"/>
  <c r="AL40" i="1"/>
  <c r="AJ40" i="1"/>
  <c r="AD40" i="1"/>
  <c r="AE40" i="1" s="1"/>
  <c r="AD39" i="1"/>
  <c r="AD38" i="1"/>
  <c r="AD37" i="1"/>
  <c r="AD36" i="1"/>
  <c r="AD35" i="1"/>
  <c r="AL34" i="1"/>
  <c r="AJ34" i="1"/>
  <c r="AD34" i="1"/>
  <c r="AE34" i="1" s="1"/>
  <c r="AD33" i="1"/>
  <c r="AD32" i="1"/>
  <c r="AD31" i="1"/>
  <c r="AD30" i="1"/>
  <c r="AD29" i="1"/>
  <c r="AL28" i="1"/>
  <c r="AJ28" i="1"/>
  <c r="AD27" i="1"/>
  <c r="AD26" i="1"/>
  <c r="AD25" i="1"/>
  <c r="AD24" i="1"/>
  <c r="AD23" i="1"/>
  <c r="AL22" i="1"/>
  <c r="AJ22" i="1"/>
  <c r="AD22" i="1"/>
  <c r="AE22" i="1" s="1"/>
  <c r="AD21" i="1"/>
  <c r="AD20" i="1"/>
  <c r="AD19" i="1"/>
  <c r="AD18" i="1"/>
  <c r="AD17" i="1"/>
  <c r="AL16" i="1"/>
  <c r="AJ16" i="1"/>
  <c r="AD16" i="1"/>
  <c r="AD15" i="1"/>
  <c r="AD14" i="1"/>
  <c r="AD13" i="1"/>
  <c r="AD12" i="1"/>
  <c r="AD11" i="1"/>
  <c r="AL10" i="1"/>
  <c r="AJ10" i="1"/>
  <c r="AD10" i="1"/>
  <c r="AD9" i="1"/>
  <c r="AD8" i="1"/>
  <c r="AD7" i="1"/>
  <c r="AD6" i="1"/>
  <c r="AD5" i="1"/>
  <c r="AL4" i="1"/>
  <c r="AJ4" i="1"/>
  <c r="AD4" i="1"/>
  <c r="AE4" i="1" s="1"/>
  <c r="Z40" i="1"/>
  <c r="Z34" i="1"/>
  <c r="X40" i="1"/>
  <c r="X34" i="1"/>
  <c r="N40" i="1"/>
  <c r="N34" i="1"/>
  <c r="L40" i="1"/>
  <c r="L34" i="1"/>
  <c r="R33" i="1"/>
  <c r="S28" i="1" s="1"/>
  <c r="R32" i="1"/>
  <c r="R31" i="1"/>
  <c r="R30" i="1"/>
  <c r="R29" i="1"/>
  <c r="Z28" i="1"/>
  <c r="X28" i="1"/>
  <c r="R27" i="1"/>
  <c r="R26" i="1"/>
  <c r="R25" i="1"/>
  <c r="R24" i="1"/>
  <c r="R23" i="1"/>
  <c r="Z22" i="1"/>
  <c r="X22" i="1"/>
  <c r="R22" i="1"/>
  <c r="R21" i="1"/>
  <c r="R20" i="1"/>
  <c r="R19" i="1"/>
  <c r="R18" i="1"/>
  <c r="R17" i="1"/>
  <c r="Z16" i="1"/>
  <c r="X16" i="1"/>
  <c r="R16" i="1"/>
  <c r="R15" i="1"/>
  <c r="R14" i="1"/>
  <c r="R13" i="1"/>
  <c r="R12" i="1"/>
  <c r="R11" i="1"/>
  <c r="Z10" i="1"/>
  <c r="X10" i="1"/>
  <c r="R10" i="1"/>
  <c r="R9" i="1"/>
  <c r="R8" i="1"/>
  <c r="R7" i="1"/>
  <c r="R6" i="1"/>
  <c r="R5" i="1"/>
  <c r="Z4" i="1"/>
  <c r="X4" i="1"/>
  <c r="R4" i="1"/>
  <c r="CC46" i="1"/>
  <c r="BQ46" i="1"/>
  <c r="BE46" i="1"/>
  <c r="AS46" i="1"/>
  <c r="AG46" i="1"/>
  <c r="U46" i="1"/>
  <c r="I46" i="1"/>
  <c r="R45" i="1"/>
  <c r="F45" i="1"/>
  <c r="R44" i="1"/>
  <c r="F44" i="1"/>
  <c r="R43" i="1"/>
  <c r="F43" i="1"/>
  <c r="R42" i="1"/>
  <c r="F42" i="1"/>
  <c r="R41" i="1"/>
  <c r="F41" i="1"/>
  <c r="CJ40" i="1"/>
  <c r="R40" i="1"/>
  <c r="S40" i="1" s="1"/>
  <c r="F40" i="1"/>
  <c r="G40" i="1" s="1"/>
  <c r="R39" i="1"/>
  <c r="F39" i="1"/>
  <c r="R38" i="1"/>
  <c r="F38" i="1"/>
  <c r="R37" i="1"/>
  <c r="F37" i="1"/>
  <c r="R36" i="1"/>
  <c r="F36" i="1"/>
  <c r="R35" i="1"/>
  <c r="F35" i="1"/>
  <c r="CJ34" i="1"/>
  <c r="R34" i="1"/>
  <c r="S34" i="1" s="1"/>
  <c r="F34" i="1"/>
  <c r="G34" i="1" s="1"/>
  <c r="F33" i="1"/>
  <c r="F32" i="1"/>
  <c r="F31" i="1"/>
  <c r="F30" i="1"/>
  <c r="F29" i="1"/>
  <c r="CJ28" i="1"/>
  <c r="N28" i="1"/>
  <c r="L28" i="1"/>
  <c r="F27" i="1"/>
  <c r="F26" i="1"/>
  <c r="F25" i="1"/>
  <c r="F24" i="1"/>
  <c r="F23" i="1"/>
  <c r="CJ22" i="1"/>
  <c r="N22" i="1"/>
  <c r="L22" i="1"/>
  <c r="F22" i="1"/>
  <c r="F21" i="1"/>
  <c r="F20" i="1"/>
  <c r="F19" i="1"/>
  <c r="F18" i="1"/>
  <c r="F17" i="1"/>
  <c r="CJ16" i="1"/>
  <c r="N16" i="1"/>
  <c r="L16" i="1"/>
  <c r="F16" i="1"/>
  <c r="F15" i="1"/>
  <c r="F14" i="1"/>
  <c r="F13" i="1"/>
  <c r="F12" i="1"/>
  <c r="F11" i="1"/>
  <c r="CJ10" i="1"/>
  <c r="N10" i="1"/>
  <c r="L10" i="1"/>
  <c r="F10" i="1"/>
  <c r="F9" i="1"/>
  <c r="F8" i="1"/>
  <c r="F7" i="1"/>
  <c r="F6" i="1"/>
  <c r="F5" i="1"/>
  <c r="CJ4" i="1"/>
  <c r="N4" i="1"/>
  <c r="L4" i="1"/>
  <c r="F4" i="1"/>
  <c r="T2" i="1"/>
  <c r="AF2" i="1" s="1"/>
  <c r="AR2" i="1" s="1"/>
  <c r="BD2" i="1" s="1"/>
  <c r="BP2" i="1" s="1"/>
  <c r="CB2" i="1" s="1"/>
  <c r="CA22" i="1" l="1"/>
  <c r="BC34" i="1"/>
  <c r="CI35" i="1" s="1"/>
  <c r="AQ40" i="1"/>
  <c r="AQ22" i="1"/>
  <c r="BO28" i="1"/>
  <c r="CA34" i="1"/>
  <c r="S4" i="1"/>
  <c r="AE10" i="1"/>
  <c r="BO40" i="1"/>
  <c r="CA16" i="1"/>
  <c r="BO4" i="1"/>
  <c r="BO22" i="1"/>
  <c r="S16" i="1"/>
  <c r="S10" i="1"/>
  <c r="AE16" i="1"/>
  <c r="CA4" i="1"/>
  <c r="BO10" i="1"/>
  <c r="BC16" i="1"/>
  <c r="AQ4" i="1"/>
  <c r="S22" i="1"/>
  <c r="AE28" i="1"/>
  <c r="AQ34" i="1"/>
  <c r="BC10" i="1"/>
  <c r="CI41" i="1"/>
  <c r="CI46" i="1"/>
  <c r="CI29" i="1"/>
  <c r="G22" i="1"/>
  <c r="G16" i="1"/>
  <c r="G10" i="1"/>
  <c r="CI11" i="1" s="1"/>
  <c r="G4" i="1"/>
  <c r="G28" i="1"/>
  <c r="CI5" i="1"/>
  <c r="CI17" i="1"/>
  <c r="CI23" i="1"/>
</calcChain>
</file>

<file path=xl/sharedStrings.xml><?xml version="1.0" encoding="utf-8"?>
<sst xmlns="http://schemas.openxmlformats.org/spreadsheetml/2006/main" count="96" uniqueCount="23">
  <si>
    <t>SEMANA</t>
  </si>
  <si>
    <t>TIEMPO DE ATADO</t>
  </si>
  <si>
    <t>X</t>
  </si>
  <si>
    <t>TURNO</t>
  </si>
  <si>
    <t>CLAVE ATADOR</t>
  </si>
  <si>
    <t>HORA INICIO</t>
  </si>
  <si>
    <t>HORA FIN</t>
  </si>
  <si>
    <t>TIEMPO</t>
  </si>
  <si>
    <t>PROMEDIO TIEMPO</t>
  </si>
  <si>
    <t>ATADO</t>
  </si>
  <si>
    <t>TELAR</t>
  </si>
  <si>
    <t>CALIF.</t>
  </si>
  <si>
    <t>5´S</t>
  </si>
  <si>
    <t>PROMEDIO C</t>
  </si>
  <si>
    <t>MERMA</t>
  </si>
  <si>
    <t>PROMEDIO M</t>
  </si>
  <si>
    <t xml:space="preserve"> </t>
  </si>
  <si>
    <t>ATADOR</t>
  </si>
  <si>
    <t>1 ER TURNO</t>
  </si>
  <si>
    <t>2 DO TURNO</t>
  </si>
  <si>
    <t>3 ER TURNO</t>
  </si>
  <si>
    <t>CAPACITACION</t>
  </si>
  <si>
    <t>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</si>
</sst>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F800]dddd\,\ mmmm\ dd\,\ yyyy"/>
    <numFmt numFmtId="166" formatCode="[$-F400]h:mm:ss\ AM/PM"/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48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8" tint="-0.49998474074526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b/>
      <sz val="36"/>
      <color theme="8" tint="-0.499984740745262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3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/>
    </xf>
    <xf numFmtId="166" fontId="1" fillId="6" borderId="12" xfId="0" applyNumberFormat="1" applyFont="1" applyFill="1" applyBorder="1" applyAlignment="1">
      <alignment horizontal="center" vertical="center"/>
    </xf>
    <xf numFmtId="20" fontId="1" fillId="6" borderId="12" xfId="0" applyNumberFormat="1" applyFont="1" applyFill="1" applyBorder="1" applyAlignment="1">
      <alignment horizontal="center" vertical="center"/>
    </xf>
    <xf numFmtId="20" fontId="6" fillId="6" borderId="9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167" fontId="6" fillId="6" borderId="9" xfId="0" applyNumberFormat="1" applyFont="1" applyFill="1" applyBorder="1" applyAlignment="1">
      <alignment horizontal="center" vertical="center"/>
    </xf>
    <xf numFmtId="167" fontId="6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/>
    </xf>
    <xf numFmtId="20" fontId="6" fillId="6" borderId="14" xfId="0" applyNumberFormat="1" applyFont="1" applyFill="1" applyBorder="1" applyAlignment="1">
      <alignment horizontal="center" vertical="center"/>
    </xf>
    <xf numFmtId="167" fontId="6" fillId="6" borderId="14" xfId="0" applyNumberFormat="1" applyFont="1" applyFill="1" applyBorder="1" applyAlignment="1">
      <alignment horizontal="center" vertical="center"/>
    </xf>
    <xf numFmtId="167" fontId="6" fillId="6" borderId="10" xfId="0" applyNumberFormat="1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20" fontId="6" fillId="6" borderId="17" xfId="0" applyNumberFormat="1" applyFont="1" applyFill="1" applyBorder="1" applyAlignment="1">
      <alignment horizontal="center" vertical="center"/>
    </xf>
    <xf numFmtId="167" fontId="6" fillId="6" borderId="17" xfId="0" applyNumberFormat="1" applyFont="1" applyFill="1" applyBorder="1" applyAlignment="1">
      <alignment horizontal="center" vertical="center"/>
    </xf>
    <xf numFmtId="167" fontId="6" fillId="6" borderId="18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/>
    </xf>
    <xf numFmtId="166" fontId="1" fillId="6" borderId="21" xfId="0" applyNumberFormat="1" applyFont="1" applyFill="1" applyBorder="1" applyAlignment="1">
      <alignment horizontal="center" vertical="center"/>
    </xf>
    <xf numFmtId="20" fontId="1" fillId="6" borderId="21" xfId="0" applyNumberFormat="1" applyFont="1" applyFill="1" applyBorder="1" applyAlignment="1">
      <alignment horizontal="center" vertical="center"/>
    </xf>
    <xf numFmtId="20" fontId="6" fillId="6" borderId="20" xfId="0" applyNumberFormat="1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167" fontId="6" fillId="6" borderId="20" xfId="0" applyNumberFormat="1" applyFont="1" applyFill="1" applyBorder="1" applyAlignment="1">
      <alignment horizontal="center" vertical="center"/>
    </xf>
    <xf numFmtId="167" fontId="6" fillId="6" borderId="22" xfId="0" applyNumberFormat="1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vertical="center" wrapText="1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/>
    </xf>
    <xf numFmtId="166" fontId="1" fillId="6" borderId="17" xfId="0" applyNumberFormat="1" applyFont="1" applyFill="1" applyBorder="1" applyAlignment="1">
      <alignment horizontal="center" vertical="center"/>
    </xf>
    <xf numFmtId="20" fontId="1" fillId="6" borderId="17" xfId="0" applyNumberFormat="1" applyFont="1" applyFill="1" applyBorder="1" applyAlignment="1">
      <alignment horizontal="center" vertical="center"/>
    </xf>
    <xf numFmtId="20" fontId="6" fillId="6" borderId="25" xfId="0" applyNumberFormat="1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7" fontId="6" fillId="6" borderId="25" xfId="0" applyNumberFormat="1" applyFont="1" applyFill="1" applyBorder="1" applyAlignment="1">
      <alignment horizontal="center" vertical="center"/>
    </xf>
    <xf numFmtId="167" fontId="6" fillId="6" borderId="26" xfId="0" applyNumberFormat="1" applyFont="1" applyFill="1" applyBorder="1" applyAlignment="1">
      <alignment horizontal="center" vertical="center"/>
    </xf>
    <xf numFmtId="166" fontId="13" fillId="6" borderId="12" xfId="0" applyNumberFormat="1" applyFont="1" applyFill="1" applyBorder="1" applyAlignment="1">
      <alignment horizontal="center" vertical="center"/>
    </xf>
    <xf numFmtId="20" fontId="13" fillId="6" borderId="12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166" fontId="1" fillId="6" borderId="2" xfId="0" applyNumberFormat="1" applyFont="1" applyFill="1" applyBorder="1" applyAlignment="1">
      <alignment horizontal="center" vertical="center"/>
    </xf>
    <xf numFmtId="166" fontId="1" fillId="6" borderId="3" xfId="0" applyNumberFormat="1" applyFont="1" applyFill="1" applyBorder="1" applyAlignment="1">
      <alignment horizontal="center" vertical="center"/>
    </xf>
    <xf numFmtId="20" fontId="1" fillId="6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166" fontId="1" fillId="6" borderId="11" xfId="0" applyNumberFormat="1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166" fontId="1" fillId="6" borderId="29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textRotation="180" wrapText="1"/>
    </xf>
    <xf numFmtId="0" fontId="3" fillId="7" borderId="10" xfId="0" applyFont="1" applyFill="1" applyBorder="1" applyAlignment="1">
      <alignment horizontal="center" vertical="center" textRotation="180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textRotation="90" wrapText="1"/>
    </xf>
    <xf numFmtId="0" fontId="16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16" fontId="5" fillId="6" borderId="8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4" fontId="4" fillId="7" borderId="4" xfId="0" applyNumberFormat="1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4" fillId="7" borderId="6" xfId="0" applyNumberFormat="1" applyFont="1" applyFill="1" applyBorder="1" applyAlignment="1">
      <alignment horizontal="center" vertical="center"/>
    </xf>
    <xf numFmtId="165" fontId="6" fillId="7" borderId="4" xfId="0" applyNumberFormat="1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165" fontId="6" fillId="7" borderId="7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5" fillId="6" borderId="27" xfId="0" applyFont="1" applyFill="1" applyBorder="1" applyAlignment="1">
      <alignment horizontal="center" vertical="center" textRotation="90" wrapText="1"/>
    </xf>
    <xf numFmtId="0" fontId="15" fillId="6" borderId="28" xfId="0" applyFont="1" applyFill="1" applyBorder="1" applyAlignment="1">
      <alignment horizontal="center" vertical="center" textRotation="90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0249-F101-4BA7-9EA6-B7BC7684104A}">
  <dimension ref="A1:CJ138"/>
  <sheetViews>
    <sheetView tabSelected="1" topLeftCell="E84" zoomScale="36" zoomScaleNormal="25" workbookViewId="0">
      <selection activeCell="P1" sqref="P1"/>
    </sheetView>
  </sheetViews>
  <sheetFormatPr baseColWidth="10" defaultRowHeight="14.4" x14ac:dyDescent="0.3"/>
  <cols>
    <col min="1" max="1" width="11.77734375" bestFit="1" customWidth="1"/>
    <col min="3" max="3" width="12" bestFit="1" customWidth="1"/>
    <col min="4" max="4" width="14.88671875" bestFit="1" customWidth="1"/>
    <col min="5" max="5" width="15.33203125" bestFit="1" customWidth="1"/>
    <col min="6" max="6" width="11.77734375" bestFit="1" customWidth="1"/>
    <col min="7" max="7" width="15.88671875" bestFit="1" customWidth="1"/>
    <col min="9" max="11" width="11.77734375" bestFit="1" customWidth="1"/>
    <col min="12" max="12" width="15.88671875" bestFit="1" customWidth="1"/>
    <col min="13" max="13" width="11.77734375" bestFit="1" customWidth="1"/>
    <col min="14" max="14" width="15.88671875" bestFit="1" customWidth="1"/>
    <col min="15" max="15" width="11.5546875" style="109" customWidth="1"/>
    <col min="16" max="16" width="14.88671875" bestFit="1" customWidth="1"/>
    <col min="17" max="17" width="15.33203125" bestFit="1" customWidth="1"/>
    <col min="18" max="18" width="11.77734375" bestFit="1" customWidth="1"/>
    <col min="19" max="19" width="15.88671875" bestFit="1" customWidth="1"/>
    <col min="20" max="23" width="11.77734375" bestFit="1" customWidth="1"/>
    <col min="24" max="24" width="15.88671875" bestFit="1" customWidth="1"/>
    <col min="25" max="25" width="11.77734375" bestFit="1" customWidth="1"/>
    <col min="26" max="26" width="15.88671875" bestFit="1" customWidth="1"/>
    <col min="27" max="27" width="11.5546875" style="109"/>
    <col min="28" max="29" width="15.33203125" bestFit="1" customWidth="1"/>
    <col min="30" max="30" width="11.77734375" bestFit="1" customWidth="1"/>
    <col min="31" max="31" width="15.88671875" bestFit="1" customWidth="1"/>
    <col min="32" max="35" width="11.77734375" bestFit="1" customWidth="1"/>
    <col min="36" max="36" width="15.88671875" bestFit="1" customWidth="1"/>
    <col min="37" max="37" width="11.77734375" bestFit="1" customWidth="1"/>
    <col min="38" max="38" width="15.88671875" bestFit="1" customWidth="1"/>
    <col min="39" max="39" width="11.5546875" style="109"/>
    <col min="40" max="40" width="14.88671875" bestFit="1" customWidth="1"/>
    <col min="41" max="41" width="15.33203125" bestFit="1" customWidth="1"/>
    <col min="42" max="42" width="11.77734375" bestFit="1" customWidth="1"/>
    <col min="43" max="43" width="15.88671875" bestFit="1" customWidth="1"/>
    <col min="45" max="47" width="11.77734375" bestFit="1" customWidth="1"/>
    <col min="48" max="48" width="15.88671875" bestFit="1" customWidth="1"/>
    <col min="49" max="49" width="11.77734375" bestFit="1" customWidth="1"/>
    <col min="50" max="50" width="15.88671875" bestFit="1" customWidth="1"/>
    <col min="51" max="51" width="11.5546875" style="109"/>
    <col min="52" max="53" width="15.33203125" bestFit="1" customWidth="1"/>
    <col min="54" max="54" width="11.77734375" bestFit="1" customWidth="1"/>
    <col min="55" max="55" width="15.88671875" bestFit="1" customWidth="1"/>
    <col min="56" max="59" width="11.77734375" bestFit="1" customWidth="1"/>
    <col min="60" max="60" width="15.88671875" bestFit="1" customWidth="1"/>
    <col min="61" max="61" width="11.88671875" bestFit="1" customWidth="1"/>
    <col min="62" max="62" width="15.88671875" bestFit="1" customWidth="1"/>
    <col min="63" max="63" width="11.5546875" style="109"/>
    <col min="64" max="65" width="19.77734375" bestFit="1" customWidth="1"/>
    <col min="66" max="66" width="11.88671875" bestFit="1" customWidth="1"/>
    <col min="67" max="67" width="15.88671875" bestFit="1" customWidth="1"/>
    <col min="68" max="68" width="11.77734375" bestFit="1" customWidth="1"/>
    <col min="69" max="71" width="11.88671875" bestFit="1" customWidth="1"/>
    <col min="72" max="72" width="15.88671875" bestFit="1" customWidth="1"/>
    <col min="73" max="73" width="11.88671875" bestFit="1" customWidth="1"/>
    <col min="74" max="74" width="15.88671875" bestFit="1" customWidth="1"/>
    <col min="75" max="75" width="11.5546875" style="109"/>
    <col min="76" max="77" width="19.77734375" bestFit="1" customWidth="1"/>
    <col min="78" max="78" width="11.77734375" bestFit="1" customWidth="1"/>
    <col min="79" max="79" width="15.88671875" bestFit="1" customWidth="1"/>
    <col min="80" max="83" width="11.6640625" bestFit="1" customWidth="1"/>
    <col min="84" max="84" width="16.33203125" customWidth="1"/>
    <col min="85" max="85" width="11.6640625" bestFit="1" customWidth="1"/>
    <col min="86" max="86" width="17.5546875" customWidth="1"/>
    <col min="87" max="87" width="12.77734375" bestFit="1" customWidth="1"/>
    <col min="88" max="88" width="11.6640625" bestFit="1" customWidth="1"/>
  </cols>
  <sheetData>
    <row r="1" spans="1:88" ht="15" thickBot="1" x14ac:dyDescent="0.35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96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96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96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96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96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96"/>
      <c r="BX1" s="4"/>
      <c r="BY1" s="3"/>
      <c r="BZ1" s="3"/>
      <c r="CA1" s="3"/>
      <c r="CB1" s="3"/>
      <c r="CC1" s="3"/>
      <c r="CD1" s="2"/>
      <c r="CE1" s="2"/>
      <c r="CF1" s="2"/>
      <c r="CG1" s="2"/>
      <c r="CH1" s="2"/>
      <c r="CI1" s="2"/>
      <c r="CJ1" s="3"/>
    </row>
    <row r="2" spans="1:88" ht="25.2" thickTop="1" x14ac:dyDescent="0.3">
      <c r="A2" s="78" t="s">
        <v>0</v>
      </c>
      <c r="B2" s="83"/>
      <c r="C2" s="84"/>
      <c r="D2" s="85" t="s">
        <v>1</v>
      </c>
      <c r="E2" s="86"/>
      <c r="F2" s="86"/>
      <c r="G2" s="87"/>
      <c r="H2" s="88">
        <v>46020</v>
      </c>
      <c r="I2" s="89"/>
      <c r="J2" s="89"/>
      <c r="K2" s="89"/>
      <c r="L2" s="89"/>
      <c r="M2" s="89"/>
      <c r="N2" s="90"/>
      <c r="O2" s="97"/>
      <c r="P2" s="99" t="s">
        <v>1</v>
      </c>
      <c r="Q2" s="100"/>
      <c r="R2" s="100"/>
      <c r="S2" s="101"/>
      <c r="T2" s="102">
        <f>H2+1</f>
        <v>46021</v>
      </c>
      <c r="U2" s="103"/>
      <c r="V2" s="103"/>
      <c r="W2" s="103"/>
      <c r="X2" s="103"/>
      <c r="Y2" s="103"/>
      <c r="Z2" s="104"/>
      <c r="AA2" s="71"/>
      <c r="AB2" s="85" t="s">
        <v>1</v>
      </c>
      <c r="AC2" s="86"/>
      <c r="AD2" s="86"/>
      <c r="AE2" s="87"/>
      <c r="AF2" s="102">
        <f>T2+1</f>
        <v>46022</v>
      </c>
      <c r="AG2" s="103"/>
      <c r="AH2" s="103"/>
      <c r="AI2" s="103"/>
      <c r="AJ2" s="103"/>
      <c r="AK2" s="103"/>
      <c r="AL2" s="104"/>
      <c r="AM2" s="73"/>
      <c r="AN2" s="99" t="s">
        <v>1</v>
      </c>
      <c r="AO2" s="100"/>
      <c r="AP2" s="100"/>
      <c r="AQ2" s="101"/>
      <c r="AR2" s="102">
        <f>AF2+1</f>
        <v>46023</v>
      </c>
      <c r="AS2" s="103"/>
      <c r="AT2" s="103"/>
      <c r="AU2" s="103"/>
      <c r="AV2" s="103"/>
      <c r="AW2" s="103"/>
      <c r="AX2" s="104"/>
      <c r="AY2" s="73"/>
      <c r="AZ2" s="85" t="s">
        <v>1</v>
      </c>
      <c r="BA2" s="86"/>
      <c r="BB2" s="86"/>
      <c r="BC2" s="87"/>
      <c r="BD2" s="102">
        <f>AR2+1</f>
        <v>46024</v>
      </c>
      <c r="BE2" s="103"/>
      <c r="BF2" s="103"/>
      <c r="BG2" s="103"/>
      <c r="BH2" s="103"/>
      <c r="BI2" s="103"/>
      <c r="BJ2" s="104"/>
      <c r="BK2" s="71"/>
      <c r="BL2" s="99" t="s">
        <v>1</v>
      </c>
      <c r="BM2" s="100"/>
      <c r="BN2" s="100"/>
      <c r="BO2" s="101"/>
      <c r="BP2" s="102">
        <f>BD2+1</f>
        <v>46025</v>
      </c>
      <c r="BQ2" s="103"/>
      <c r="BR2" s="103"/>
      <c r="BS2" s="103"/>
      <c r="BT2" s="103"/>
      <c r="BU2" s="103"/>
      <c r="BV2" s="104"/>
      <c r="BW2" s="71"/>
      <c r="BX2" s="85" t="s">
        <v>1</v>
      </c>
      <c r="BY2" s="86"/>
      <c r="BZ2" s="86"/>
      <c r="CA2" s="87"/>
      <c r="CB2" s="102">
        <f>BP2+1</f>
        <v>46026</v>
      </c>
      <c r="CC2" s="103"/>
      <c r="CD2" s="103"/>
      <c r="CE2" s="103"/>
      <c r="CF2" s="103"/>
      <c r="CG2" s="103"/>
      <c r="CH2" s="104"/>
      <c r="CI2" s="5"/>
      <c r="CJ2" s="6" t="s">
        <v>2</v>
      </c>
    </row>
    <row r="3" spans="1:88" ht="26.4" x14ac:dyDescent="0.3">
      <c r="A3" s="79"/>
      <c r="B3" s="91" t="s">
        <v>3</v>
      </c>
      <c r="C3" s="92" t="s">
        <v>4</v>
      </c>
      <c r="D3" s="93" t="s">
        <v>5</v>
      </c>
      <c r="E3" s="93" t="s">
        <v>6</v>
      </c>
      <c r="F3" s="93" t="s">
        <v>7</v>
      </c>
      <c r="G3" s="93" t="s">
        <v>8</v>
      </c>
      <c r="H3" s="93" t="s">
        <v>9</v>
      </c>
      <c r="I3" s="92" t="s">
        <v>10</v>
      </c>
      <c r="J3" s="92" t="s">
        <v>11</v>
      </c>
      <c r="K3" s="94" t="s">
        <v>12</v>
      </c>
      <c r="L3" s="93" t="s">
        <v>13</v>
      </c>
      <c r="M3" s="93" t="s">
        <v>14</v>
      </c>
      <c r="N3" s="95" t="s">
        <v>15</v>
      </c>
      <c r="O3" s="98"/>
      <c r="P3" s="93" t="s">
        <v>5</v>
      </c>
      <c r="Q3" s="93" t="s">
        <v>6</v>
      </c>
      <c r="R3" s="93" t="s">
        <v>7</v>
      </c>
      <c r="S3" s="93" t="s">
        <v>8</v>
      </c>
      <c r="T3" s="93" t="s">
        <v>9</v>
      </c>
      <c r="U3" s="92" t="s">
        <v>10</v>
      </c>
      <c r="V3" s="92" t="s">
        <v>11</v>
      </c>
      <c r="W3" s="94" t="s">
        <v>12</v>
      </c>
      <c r="X3" s="93" t="s">
        <v>13</v>
      </c>
      <c r="Y3" s="93" t="s">
        <v>14</v>
      </c>
      <c r="Z3" s="95" t="s">
        <v>15</v>
      </c>
      <c r="AA3" s="105"/>
      <c r="AB3" s="93" t="s">
        <v>5</v>
      </c>
      <c r="AC3" s="93" t="s">
        <v>6</v>
      </c>
      <c r="AD3" s="93" t="s">
        <v>7</v>
      </c>
      <c r="AE3" s="93" t="s">
        <v>8</v>
      </c>
      <c r="AF3" s="93" t="s">
        <v>9</v>
      </c>
      <c r="AG3" s="92" t="s">
        <v>10</v>
      </c>
      <c r="AH3" s="92" t="s">
        <v>11</v>
      </c>
      <c r="AI3" s="94" t="s">
        <v>12</v>
      </c>
      <c r="AJ3" s="93" t="s">
        <v>13</v>
      </c>
      <c r="AK3" s="93" t="s">
        <v>14</v>
      </c>
      <c r="AL3" s="95" t="s">
        <v>15</v>
      </c>
      <c r="AM3" s="106" t="s">
        <v>16</v>
      </c>
      <c r="AN3" s="93" t="s">
        <v>5</v>
      </c>
      <c r="AO3" s="93" t="s">
        <v>6</v>
      </c>
      <c r="AP3" s="93" t="s">
        <v>7</v>
      </c>
      <c r="AQ3" s="93" t="s">
        <v>8</v>
      </c>
      <c r="AR3" s="93" t="s">
        <v>9</v>
      </c>
      <c r="AS3" s="92" t="s">
        <v>10</v>
      </c>
      <c r="AT3" s="92" t="s">
        <v>11</v>
      </c>
      <c r="AU3" s="94" t="s">
        <v>12</v>
      </c>
      <c r="AV3" s="93" t="s">
        <v>13</v>
      </c>
      <c r="AW3" s="93" t="s">
        <v>14</v>
      </c>
      <c r="AX3" s="95" t="s">
        <v>15</v>
      </c>
      <c r="AY3" s="106"/>
      <c r="AZ3" s="93" t="s">
        <v>5</v>
      </c>
      <c r="BA3" s="93" t="s">
        <v>6</v>
      </c>
      <c r="BB3" s="93" t="s">
        <v>7</v>
      </c>
      <c r="BC3" s="93" t="s">
        <v>8</v>
      </c>
      <c r="BD3" s="93" t="s">
        <v>9</v>
      </c>
      <c r="BE3" s="92" t="s">
        <v>10</v>
      </c>
      <c r="BF3" s="92" t="s">
        <v>11</v>
      </c>
      <c r="BG3" s="94" t="s">
        <v>12</v>
      </c>
      <c r="BH3" s="93" t="s">
        <v>13</v>
      </c>
      <c r="BI3" s="93" t="s">
        <v>14</v>
      </c>
      <c r="BJ3" s="95" t="s">
        <v>15</v>
      </c>
      <c r="BK3" s="98"/>
      <c r="BL3" s="93" t="s">
        <v>5</v>
      </c>
      <c r="BM3" s="93" t="s">
        <v>6</v>
      </c>
      <c r="BN3" s="93" t="s">
        <v>7</v>
      </c>
      <c r="BO3" s="93" t="s">
        <v>8</v>
      </c>
      <c r="BP3" s="93" t="s">
        <v>9</v>
      </c>
      <c r="BQ3" s="92" t="s">
        <v>10</v>
      </c>
      <c r="BR3" s="92" t="s">
        <v>11</v>
      </c>
      <c r="BS3" s="94" t="s">
        <v>12</v>
      </c>
      <c r="BT3" s="93" t="s">
        <v>13</v>
      </c>
      <c r="BU3" s="93" t="s">
        <v>14</v>
      </c>
      <c r="BV3" s="95" t="s">
        <v>15</v>
      </c>
      <c r="BW3" s="105"/>
      <c r="BX3" s="93" t="s">
        <v>5</v>
      </c>
      <c r="BY3" s="93" t="s">
        <v>6</v>
      </c>
      <c r="BZ3" s="93" t="s">
        <v>7</v>
      </c>
      <c r="CA3" s="93" t="s">
        <v>8</v>
      </c>
      <c r="CB3" s="93" t="s">
        <v>9</v>
      </c>
      <c r="CC3" s="92" t="s">
        <v>10</v>
      </c>
      <c r="CD3" s="92" t="s">
        <v>11</v>
      </c>
      <c r="CE3" s="94" t="s">
        <v>12</v>
      </c>
      <c r="CF3" s="93" t="s">
        <v>13</v>
      </c>
      <c r="CG3" s="93" t="s">
        <v>14</v>
      </c>
      <c r="CH3" s="95" t="s">
        <v>15</v>
      </c>
      <c r="CI3" s="7"/>
      <c r="CJ3" s="8" t="s">
        <v>17</v>
      </c>
    </row>
    <row r="4" spans="1:88" ht="22.8" x14ac:dyDescent="0.3">
      <c r="A4" s="79"/>
      <c r="B4" s="19" t="s">
        <v>18</v>
      </c>
      <c r="C4" s="20"/>
      <c r="D4" s="21"/>
      <c r="E4" s="21"/>
      <c r="F4" s="22">
        <f t="shared" ref="F4:F45" si="0">E4-D4</f>
        <v>0</v>
      </c>
      <c r="G4" s="23" t="e">
        <f>SUM(F4:F9)/COUNT(I4:I9)</f>
        <v>#DIV/0!</v>
      </c>
      <c r="H4" s="24"/>
      <c r="I4" s="24"/>
      <c r="J4" s="24"/>
      <c r="K4" s="25"/>
      <c r="L4" s="26" t="e">
        <f>AVERAGE(J4:K9)</f>
        <v>#DIV/0!</v>
      </c>
      <c r="M4" s="24"/>
      <c r="N4" s="27" t="e">
        <f>AVERAGE(M4:M9)</f>
        <v>#DIV/0!</v>
      </c>
      <c r="O4" s="28"/>
      <c r="P4" s="21"/>
      <c r="Q4" s="21"/>
      <c r="R4" s="22">
        <f t="shared" ref="R4:R33" si="1">Q4-P4</f>
        <v>0</v>
      </c>
      <c r="S4" s="23" t="e">
        <f>SUM(R4:R9)/COUNT(U4:U9)</f>
        <v>#DIV/0!</v>
      </c>
      <c r="T4" s="24"/>
      <c r="U4" s="24"/>
      <c r="V4" s="24"/>
      <c r="W4" s="25"/>
      <c r="X4" s="26" t="e">
        <f>AVERAGE(V4:W9)</f>
        <v>#DIV/0!</v>
      </c>
      <c r="Y4" s="24"/>
      <c r="Z4" s="27" t="e">
        <f>AVERAGE(Y4:Y9)</f>
        <v>#DIV/0!</v>
      </c>
      <c r="AA4" s="29"/>
      <c r="AB4" s="21"/>
      <c r="AC4" s="21"/>
      <c r="AD4" s="22">
        <f t="shared" ref="AD4:AD33" si="2">AC4-AB4</f>
        <v>0</v>
      </c>
      <c r="AE4" s="23" t="e">
        <f>SUM(AD4:AD9)/COUNT(AG4:AG9)</f>
        <v>#DIV/0!</v>
      </c>
      <c r="AF4" s="24"/>
      <c r="AG4" s="24"/>
      <c r="AH4" s="24"/>
      <c r="AI4" s="25"/>
      <c r="AJ4" s="26" t="e">
        <f>AVERAGE(AH4:AI9)</f>
        <v>#DIV/0!</v>
      </c>
      <c r="AK4" s="24"/>
      <c r="AL4" s="27" t="e">
        <f>AVERAGE(AK4:AK9)</f>
        <v>#DIV/0!</v>
      </c>
      <c r="AM4" s="28"/>
      <c r="AN4" s="21"/>
      <c r="AO4" s="21"/>
      <c r="AP4" s="22">
        <f t="shared" ref="AP4:AP33" si="3">AO4-AN4</f>
        <v>0</v>
      </c>
      <c r="AQ4" s="23" t="e">
        <f>SUM(AP4:AP9)/COUNT(AS4:AS9)</f>
        <v>#DIV/0!</v>
      </c>
      <c r="AR4" s="24"/>
      <c r="AS4" s="24"/>
      <c r="AT4" s="24"/>
      <c r="AU4" s="25"/>
      <c r="AV4" s="26" t="e">
        <f>AVERAGE(AT4:AU9)</f>
        <v>#DIV/0!</v>
      </c>
      <c r="AW4" s="24"/>
      <c r="AX4" s="27" t="e">
        <f>AVERAGE(AW4:AW9)</f>
        <v>#DIV/0!</v>
      </c>
      <c r="AY4" s="28"/>
      <c r="AZ4" s="21"/>
      <c r="BA4" s="21"/>
      <c r="BB4" s="22">
        <f t="shared" ref="BB4:BB33" si="4">BA4-AZ4</f>
        <v>0</v>
      </c>
      <c r="BC4" s="23" t="e">
        <f>SUM(BB4:BB9)/COUNT(BE4:BE9)</f>
        <v>#DIV/0!</v>
      </c>
      <c r="BD4" s="24"/>
      <c r="BE4" s="24"/>
      <c r="BF4" s="24"/>
      <c r="BG4" s="25"/>
      <c r="BH4" s="26" t="e">
        <f>AVERAGE(BF4:BG9)</f>
        <v>#DIV/0!</v>
      </c>
      <c r="BI4" s="24"/>
      <c r="BJ4" s="27" t="e">
        <f>AVERAGE(BI4:BI9)</f>
        <v>#DIV/0!</v>
      </c>
      <c r="BK4" s="30"/>
      <c r="BL4" s="21"/>
      <c r="BM4" s="21"/>
      <c r="BN4" s="22">
        <f t="shared" ref="BN4:BN33" si="5">BM4-BL4</f>
        <v>0</v>
      </c>
      <c r="BO4" s="23" t="e">
        <f>SUM(BN4:BN9)/COUNT(BQ4:BQ9)</f>
        <v>#DIV/0!</v>
      </c>
      <c r="BP4" s="24"/>
      <c r="BQ4" s="24"/>
      <c r="BR4" s="24"/>
      <c r="BS4" s="25"/>
      <c r="BT4" s="26" t="e">
        <f>AVERAGE(BR4:BS9)</f>
        <v>#DIV/0!</v>
      </c>
      <c r="BU4" s="24"/>
      <c r="BV4" s="27" t="e">
        <f>AVERAGE(BU4:BU9)</f>
        <v>#DIV/0!</v>
      </c>
      <c r="BW4" s="29"/>
      <c r="BX4" s="21"/>
      <c r="BY4" s="21"/>
      <c r="BZ4" s="22">
        <f t="shared" ref="BZ4:BZ33" si="6">BY4-BX4</f>
        <v>0</v>
      </c>
      <c r="CA4" s="23" t="e">
        <f>SUM(BZ4:BZ9)/COUNT(CC4:CC9)</f>
        <v>#DIV/0!</v>
      </c>
      <c r="CB4" s="24"/>
      <c r="CC4" s="24"/>
      <c r="CD4" s="24"/>
      <c r="CE4" s="25"/>
      <c r="CF4" s="26" t="e">
        <f>AVERAGE(CD4:CE9)</f>
        <v>#DIV/0!</v>
      </c>
      <c r="CG4" s="24"/>
      <c r="CH4" s="27" t="e">
        <f>AVERAGE(CG4:CG9)</f>
        <v>#DIV/0!</v>
      </c>
      <c r="CI4" s="5"/>
      <c r="CJ4" s="9">
        <f>COUNT(I4:I9,U4:U9,AG4:AG9,AS4:AS9,BE4:BE9,BQ4:BQ9,CC4:CC9)</f>
        <v>0</v>
      </c>
    </row>
    <row r="5" spans="1:88" ht="22.8" x14ac:dyDescent="0.3">
      <c r="A5" s="79"/>
      <c r="B5" s="31"/>
      <c r="C5" s="32"/>
      <c r="D5" s="21"/>
      <c r="E5" s="21"/>
      <c r="F5" s="22">
        <f t="shared" si="0"/>
        <v>0</v>
      </c>
      <c r="G5" s="33"/>
      <c r="H5" s="24"/>
      <c r="I5" s="24"/>
      <c r="J5" s="24"/>
      <c r="K5" s="25"/>
      <c r="L5" s="34"/>
      <c r="M5" s="24"/>
      <c r="N5" s="35"/>
      <c r="O5" s="28"/>
      <c r="P5" s="21"/>
      <c r="Q5" s="21"/>
      <c r="R5" s="22">
        <f t="shared" si="1"/>
        <v>0</v>
      </c>
      <c r="S5" s="33"/>
      <c r="T5" s="24"/>
      <c r="U5" s="24"/>
      <c r="V5" s="24"/>
      <c r="W5" s="25"/>
      <c r="X5" s="34"/>
      <c r="Y5" s="24"/>
      <c r="Z5" s="35"/>
      <c r="AA5" s="29"/>
      <c r="AB5" s="21"/>
      <c r="AC5" s="21"/>
      <c r="AD5" s="22">
        <f t="shared" si="2"/>
        <v>0</v>
      </c>
      <c r="AE5" s="33"/>
      <c r="AF5" s="24"/>
      <c r="AG5" s="24"/>
      <c r="AH5" s="24"/>
      <c r="AI5" s="25"/>
      <c r="AJ5" s="34"/>
      <c r="AK5" s="24"/>
      <c r="AL5" s="35"/>
      <c r="AM5" s="28"/>
      <c r="AN5" s="21"/>
      <c r="AO5" s="21"/>
      <c r="AP5" s="22">
        <f t="shared" si="3"/>
        <v>0</v>
      </c>
      <c r="AQ5" s="33"/>
      <c r="AR5" s="24"/>
      <c r="AS5" s="24"/>
      <c r="AT5" s="24"/>
      <c r="AU5" s="25"/>
      <c r="AV5" s="34"/>
      <c r="AW5" s="24"/>
      <c r="AX5" s="35"/>
      <c r="AY5" s="28"/>
      <c r="AZ5" s="21"/>
      <c r="BA5" s="21"/>
      <c r="BB5" s="22">
        <f t="shared" si="4"/>
        <v>0</v>
      </c>
      <c r="BC5" s="33"/>
      <c r="BD5" s="24"/>
      <c r="BE5" s="24"/>
      <c r="BF5" s="24"/>
      <c r="BG5" s="25"/>
      <c r="BH5" s="34"/>
      <c r="BI5" s="24"/>
      <c r="BJ5" s="35"/>
      <c r="BK5" s="30"/>
      <c r="BL5" s="21"/>
      <c r="BM5" s="21"/>
      <c r="BN5" s="22">
        <f t="shared" si="5"/>
        <v>0</v>
      </c>
      <c r="BO5" s="33"/>
      <c r="BP5" s="24"/>
      <c r="BQ5" s="24"/>
      <c r="BR5" s="24"/>
      <c r="BS5" s="25"/>
      <c r="BT5" s="34"/>
      <c r="BU5" s="24"/>
      <c r="BV5" s="35"/>
      <c r="BW5" s="29"/>
      <c r="BX5" s="21"/>
      <c r="BY5" s="21"/>
      <c r="BZ5" s="22">
        <f t="shared" si="6"/>
        <v>0</v>
      </c>
      <c r="CA5" s="33"/>
      <c r="CB5" s="24"/>
      <c r="CC5" s="24"/>
      <c r="CD5" s="24"/>
      <c r="CE5" s="25"/>
      <c r="CF5" s="34"/>
      <c r="CG5" s="24"/>
      <c r="CH5" s="35"/>
      <c r="CI5" s="10" t="e">
        <f>MIN(CA4,BO4,BC4,AQ4,AE4,S4,G4)</f>
        <v>#DIV/0!</v>
      </c>
      <c r="CJ5" s="11"/>
    </row>
    <row r="6" spans="1:88" ht="22.8" x14ac:dyDescent="0.3">
      <c r="A6" s="79"/>
      <c r="B6" s="31"/>
      <c r="C6" s="32"/>
      <c r="D6" s="21"/>
      <c r="E6" s="21"/>
      <c r="F6" s="22">
        <f t="shared" si="0"/>
        <v>0</v>
      </c>
      <c r="G6" s="33"/>
      <c r="H6" s="24"/>
      <c r="I6" s="24"/>
      <c r="J6" s="24"/>
      <c r="K6" s="25"/>
      <c r="L6" s="34"/>
      <c r="M6" s="24"/>
      <c r="N6" s="35"/>
      <c r="O6" s="28"/>
      <c r="P6" s="21"/>
      <c r="Q6" s="21"/>
      <c r="R6" s="22">
        <f t="shared" si="1"/>
        <v>0</v>
      </c>
      <c r="S6" s="33"/>
      <c r="T6" s="24"/>
      <c r="U6" s="24"/>
      <c r="V6" s="24"/>
      <c r="W6" s="25"/>
      <c r="X6" s="34"/>
      <c r="Y6" s="24"/>
      <c r="Z6" s="35"/>
      <c r="AA6" s="29"/>
      <c r="AB6" s="21"/>
      <c r="AC6" s="21"/>
      <c r="AD6" s="22">
        <f t="shared" si="2"/>
        <v>0</v>
      </c>
      <c r="AE6" s="33"/>
      <c r="AF6" s="24"/>
      <c r="AG6" s="24"/>
      <c r="AH6" s="24"/>
      <c r="AI6" s="25"/>
      <c r="AJ6" s="34"/>
      <c r="AK6" s="24"/>
      <c r="AL6" s="35"/>
      <c r="AM6" s="28"/>
      <c r="AN6" s="21"/>
      <c r="AO6" s="21"/>
      <c r="AP6" s="22">
        <f t="shared" si="3"/>
        <v>0</v>
      </c>
      <c r="AQ6" s="33"/>
      <c r="AR6" s="24"/>
      <c r="AS6" s="24"/>
      <c r="AT6" s="24"/>
      <c r="AU6" s="25"/>
      <c r="AV6" s="34"/>
      <c r="AW6" s="24"/>
      <c r="AX6" s="35"/>
      <c r="AY6" s="28"/>
      <c r="AZ6" s="21"/>
      <c r="BA6" s="21"/>
      <c r="BB6" s="22">
        <f t="shared" si="4"/>
        <v>0</v>
      </c>
      <c r="BC6" s="33"/>
      <c r="BD6" s="24"/>
      <c r="BE6" s="24"/>
      <c r="BF6" s="24"/>
      <c r="BG6" s="25"/>
      <c r="BH6" s="34"/>
      <c r="BI6" s="24"/>
      <c r="BJ6" s="35"/>
      <c r="BK6" s="30"/>
      <c r="BL6" s="21"/>
      <c r="BM6" s="21"/>
      <c r="BN6" s="22">
        <f t="shared" si="5"/>
        <v>0</v>
      </c>
      <c r="BO6" s="33"/>
      <c r="BP6" s="24"/>
      <c r="BQ6" s="24"/>
      <c r="BR6" s="24"/>
      <c r="BS6" s="25"/>
      <c r="BT6" s="34"/>
      <c r="BU6" s="24"/>
      <c r="BV6" s="35"/>
      <c r="BW6" s="29"/>
      <c r="BX6" s="21"/>
      <c r="BY6" s="21"/>
      <c r="BZ6" s="22">
        <f t="shared" si="6"/>
        <v>0</v>
      </c>
      <c r="CA6" s="33"/>
      <c r="CB6" s="24"/>
      <c r="CC6" s="24"/>
      <c r="CD6" s="24"/>
      <c r="CE6" s="25"/>
      <c r="CF6" s="34"/>
      <c r="CG6" s="24"/>
      <c r="CH6" s="35"/>
      <c r="CI6" s="10"/>
      <c r="CJ6" s="11"/>
    </row>
    <row r="7" spans="1:88" ht="22.8" x14ac:dyDescent="0.3">
      <c r="A7" s="79"/>
      <c r="B7" s="31"/>
      <c r="C7" s="32"/>
      <c r="D7" s="21"/>
      <c r="E7" s="21"/>
      <c r="F7" s="22">
        <f t="shared" si="0"/>
        <v>0</v>
      </c>
      <c r="G7" s="33"/>
      <c r="H7" s="24"/>
      <c r="I7" s="24"/>
      <c r="J7" s="24"/>
      <c r="K7" s="25"/>
      <c r="L7" s="34"/>
      <c r="M7" s="24"/>
      <c r="N7" s="35"/>
      <c r="O7" s="28"/>
      <c r="P7" s="21"/>
      <c r="Q7" s="21"/>
      <c r="R7" s="22">
        <f t="shared" si="1"/>
        <v>0</v>
      </c>
      <c r="S7" s="33"/>
      <c r="T7" s="24"/>
      <c r="U7" s="24"/>
      <c r="V7" s="24"/>
      <c r="W7" s="25"/>
      <c r="X7" s="34"/>
      <c r="Y7" s="24"/>
      <c r="Z7" s="35"/>
      <c r="AA7" s="29"/>
      <c r="AB7" s="21"/>
      <c r="AC7" s="21"/>
      <c r="AD7" s="22">
        <f t="shared" si="2"/>
        <v>0</v>
      </c>
      <c r="AE7" s="33"/>
      <c r="AF7" s="24"/>
      <c r="AG7" s="24"/>
      <c r="AH7" s="24"/>
      <c r="AI7" s="25"/>
      <c r="AJ7" s="34"/>
      <c r="AK7" s="24"/>
      <c r="AL7" s="35"/>
      <c r="AM7" s="28"/>
      <c r="AN7" s="21"/>
      <c r="AO7" s="21"/>
      <c r="AP7" s="22">
        <f t="shared" si="3"/>
        <v>0</v>
      </c>
      <c r="AQ7" s="33"/>
      <c r="AR7" s="24"/>
      <c r="AS7" s="24"/>
      <c r="AT7" s="24"/>
      <c r="AU7" s="25"/>
      <c r="AV7" s="34"/>
      <c r="AW7" s="24"/>
      <c r="AX7" s="35"/>
      <c r="AY7" s="28"/>
      <c r="AZ7" s="21"/>
      <c r="BA7" s="21"/>
      <c r="BB7" s="22">
        <f t="shared" si="4"/>
        <v>0</v>
      </c>
      <c r="BC7" s="33"/>
      <c r="BD7" s="24"/>
      <c r="BE7" s="24"/>
      <c r="BF7" s="24"/>
      <c r="BG7" s="25"/>
      <c r="BH7" s="34"/>
      <c r="BI7" s="24"/>
      <c r="BJ7" s="35"/>
      <c r="BK7" s="30"/>
      <c r="BL7" s="21"/>
      <c r="BM7" s="21"/>
      <c r="BN7" s="22">
        <f t="shared" si="5"/>
        <v>0</v>
      </c>
      <c r="BO7" s="33"/>
      <c r="BP7" s="24"/>
      <c r="BQ7" s="24"/>
      <c r="BR7" s="24"/>
      <c r="BS7" s="25"/>
      <c r="BT7" s="34"/>
      <c r="BU7" s="24"/>
      <c r="BV7" s="35"/>
      <c r="BW7" s="29"/>
      <c r="BX7" s="21"/>
      <c r="BY7" s="21"/>
      <c r="BZ7" s="22">
        <f t="shared" si="6"/>
        <v>0</v>
      </c>
      <c r="CA7" s="33"/>
      <c r="CB7" s="24"/>
      <c r="CC7" s="24"/>
      <c r="CD7" s="24"/>
      <c r="CE7" s="25"/>
      <c r="CF7" s="34"/>
      <c r="CG7" s="24"/>
      <c r="CH7" s="35"/>
      <c r="CI7" s="12"/>
      <c r="CJ7" s="11"/>
    </row>
    <row r="8" spans="1:88" ht="22.8" x14ac:dyDescent="0.3">
      <c r="A8" s="79"/>
      <c r="B8" s="31"/>
      <c r="C8" s="32"/>
      <c r="D8" s="21"/>
      <c r="E8" s="21"/>
      <c r="F8" s="22">
        <f t="shared" si="0"/>
        <v>0</v>
      </c>
      <c r="G8" s="33"/>
      <c r="H8" s="24"/>
      <c r="I8" s="24"/>
      <c r="J8" s="24"/>
      <c r="K8" s="25"/>
      <c r="L8" s="34"/>
      <c r="M8" s="24"/>
      <c r="N8" s="35"/>
      <c r="O8" s="28"/>
      <c r="P8" s="21"/>
      <c r="Q8" s="21"/>
      <c r="R8" s="22">
        <f t="shared" si="1"/>
        <v>0</v>
      </c>
      <c r="S8" s="33"/>
      <c r="T8" s="24"/>
      <c r="U8" s="24"/>
      <c r="V8" s="24"/>
      <c r="W8" s="25"/>
      <c r="X8" s="34"/>
      <c r="Y8" s="24"/>
      <c r="Z8" s="35"/>
      <c r="AA8" s="29"/>
      <c r="AB8" s="21"/>
      <c r="AC8" s="21"/>
      <c r="AD8" s="22">
        <f t="shared" si="2"/>
        <v>0</v>
      </c>
      <c r="AE8" s="33"/>
      <c r="AF8" s="24"/>
      <c r="AG8" s="24"/>
      <c r="AH8" s="24"/>
      <c r="AI8" s="25"/>
      <c r="AJ8" s="34"/>
      <c r="AK8" s="24"/>
      <c r="AL8" s="35"/>
      <c r="AM8" s="28"/>
      <c r="AN8" s="21"/>
      <c r="AO8" s="21"/>
      <c r="AP8" s="22">
        <f t="shared" si="3"/>
        <v>0</v>
      </c>
      <c r="AQ8" s="33"/>
      <c r="AR8" s="24"/>
      <c r="AS8" s="24"/>
      <c r="AT8" s="24"/>
      <c r="AU8" s="25"/>
      <c r="AV8" s="34"/>
      <c r="AW8" s="24"/>
      <c r="AX8" s="35"/>
      <c r="AY8" s="28"/>
      <c r="AZ8" s="21"/>
      <c r="BA8" s="21"/>
      <c r="BB8" s="22">
        <f t="shared" si="4"/>
        <v>0</v>
      </c>
      <c r="BC8" s="33"/>
      <c r="BD8" s="24"/>
      <c r="BE8" s="24"/>
      <c r="BF8" s="24"/>
      <c r="BG8" s="25"/>
      <c r="BH8" s="34"/>
      <c r="BI8" s="24"/>
      <c r="BJ8" s="35"/>
      <c r="BK8" s="30"/>
      <c r="BL8" s="21"/>
      <c r="BM8" s="21"/>
      <c r="BN8" s="22">
        <f t="shared" si="5"/>
        <v>0</v>
      </c>
      <c r="BO8" s="33"/>
      <c r="BP8" s="24"/>
      <c r="BQ8" s="24"/>
      <c r="BR8" s="24"/>
      <c r="BS8" s="25"/>
      <c r="BT8" s="34"/>
      <c r="BU8" s="24"/>
      <c r="BV8" s="35"/>
      <c r="BW8" s="29"/>
      <c r="BX8" s="21"/>
      <c r="BY8" s="21"/>
      <c r="BZ8" s="22">
        <f t="shared" si="6"/>
        <v>0</v>
      </c>
      <c r="CA8" s="33"/>
      <c r="CB8" s="24"/>
      <c r="CC8" s="24"/>
      <c r="CD8" s="24"/>
      <c r="CE8" s="25"/>
      <c r="CF8" s="34"/>
      <c r="CG8" s="24"/>
      <c r="CH8" s="35"/>
      <c r="CI8" s="12"/>
      <c r="CJ8" s="11"/>
    </row>
    <row r="9" spans="1:88" ht="22.8" x14ac:dyDescent="0.3">
      <c r="A9" s="79"/>
      <c r="B9" s="31"/>
      <c r="C9" s="36"/>
      <c r="D9" s="21"/>
      <c r="E9" s="21"/>
      <c r="F9" s="22">
        <f t="shared" si="0"/>
        <v>0</v>
      </c>
      <c r="G9" s="37"/>
      <c r="H9" s="24"/>
      <c r="I9" s="24"/>
      <c r="J9" s="24"/>
      <c r="K9" s="25"/>
      <c r="L9" s="38"/>
      <c r="M9" s="24"/>
      <c r="N9" s="39"/>
      <c r="O9" s="28"/>
      <c r="P9" s="21"/>
      <c r="Q9" s="21"/>
      <c r="R9" s="22">
        <f t="shared" si="1"/>
        <v>0</v>
      </c>
      <c r="S9" s="37"/>
      <c r="T9" s="24"/>
      <c r="U9" s="24"/>
      <c r="V9" s="24"/>
      <c r="W9" s="25"/>
      <c r="X9" s="38"/>
      <c r="Y9" s="24"/>
      <c r="Z9" s="39"/>
      <c r="AA9" s="29"/>
      <c r="AB9" s="21"/>
      <c r="AC9" s="21"/>
      <c r="AD9" s="22">
        <f t="shared" si="2"/>
        <v>0</v>
      </c>
      <c r="AE9" s="37"/>
      <c r="AF9" s="24"/>
      <c r="AG9" s="24"/>
      <c r="AH9" s="24"/>
      <c r="AI9" s="25"/>
      <c r="AJ9" s="38"/>
      <c r="AK9" s="24"/>
      <c r="AL9" s="39"/>
      <c r="AM9" s="28"/>
      <c r="AN9" s="21"/>
      <c r="AO9" s="21"/>
      <c r="AP9" s="22">
        <f t="shared" si="3"/>
        <v>0</v>
      </c>
      <c r="AQ9" s="37"/>
      <c r="AR9" s="24"/>
      <c r="AS9" s="24"/>
      <c r="AT9" s="24"/>
      <c r="AU9" s="25"/>
      <c r="AV9" s="38"/>
      <c r="AW9" s="24"/>
      <c r="AX9" s="39"/>
      <c r="AY9" s="28"/>
      <c r="AZ9" s="21"/>
      <c r="BA9" s="21"/>
      <c r="BB9" s="22">
        <f t="shared" si="4"/>
        <v>0</v>
      </c>
      <c r="BC9" s="37"/>
      <c r="BD9" s="24"/>
      <c r="BE9" s="24"/>
      <c r="BF9" s="24"/>
      <c r="BG9" s="25"/>
      <c r="BH9" s="38"/>
      <c r="BI9" s="24"/>
      <c r="BJ9" s="39"/>
      <c r="BK9" s="30"/>
      <c r="BL9" s="21"/>
      <c r="BM9" s="21"/>
      <c r="BN9" s="22">
        <f t="shared" si="5"/>
        <v>0</v>
      </c>
      <c r="BO9" s="37"/>
      <c r="BP9" s="24"/>
      <c r="BQ9" s="24"/>
      <c r="BR9" s="24"/>
      <c r="BS9" s="25"/>
      <c r="BT9" s="38"/>
      <c r="BU9" s="24"/>
      <c r="BV9" s="39"/>
      <c r="BW9" s="29"/>
      <c r="BX9" s="21"/>
      <c r="BY9" s="21"/>
      <c r="BZ9" s="22">
        <f t="shared" si="6"/>
        <v>0</v>
      </c>
      <c r="CA9" s="37"/>
      <c r="CB9" s="24"/>
      <c r="CC9" s="24"/>
      <c r="CD9" s="24"/>
      <c r="CE9" s="25"/>
      <c r="CF9" s="38"/>
      <c r="CG9" s="24"/>
      <c r="CH9" s="39"/>
      <c r="CI9" s="12"/>
      <c r="CJ9" s="13"/>
    </row>
    <row r="10" spans="1:88" ht="22.8" x14ac:dyDescent="0.3">
      <c r="A10" s="79"/>
      <c r="B10" s="31"/>
      <c r="C10" s="20"/>
      <c r="D10" s="21"/>
      <c r="E10" s="21"/>
      <c r="F10" s="22">
        <f t="shared" si="0"/>
        <v>0</v>
      </c>
      <c r="G10" s="23" t="e">
        <f>SUM(F10:F15)/COUNT(I10:I15)</f>
        <v>#DIV/0!</v>
      </c>
      <c r="H10" s="24"/>
      <c r="I10" s="24"/>
      <c r="J10" s="24"/>
      <c r="K10" s="25"/>
      <c r="L10" s="26" t="e">
        <f>AVERAGE(J10:K15)</f>
        <v>#DIV/0!</v>
      </c>
      <c r="M10" s="24"/>
      <c r="N10" s="27" t="e">
        <f>AVERAGE(M10:M15)</f>
        <v>#DIV/0!</v>
      </c>
      <c r="O10" s="28"/>
      <c r="P10" s="21"/>
      <c r="Q10" s="21"/>
      <c r="R10" s="22">
        <f t="shared" si="1"/>
        <v>0</v>
      </c>
      <c r="S10" s="23" t="e">
        <f>SUM(R10:R15)/COUNT(U10:U15)</f>
        <v>#DIV/0!</v>
      </c>
      <c r="T10" s="24"/>
      <c r="U10" s="24"/>
      <c r="V10" s="24"/>
      <c r="W10" s="25"/>
      <c r="X10" s="26" t="e">
        <f>AVERAGE(V10:W15)</f>
        <v>#DIV/0!</v>
      </c>
      <c r="Y10" s="24"/>
      <c r="Z10" s="27" t="e">
        <f>AVERAGE(Y10:Y15)</f>
        <v>#DIV/0!</v>
      </c>
      <c r="AA10" s="29"/>
      <c r="AB10" s="21"/>
      <c r="AC10" s="21"/>
      <c r="AD10" s="22">
        <f t="shared" si="2"/>
        <v>0</v>
      </c>
      <c r="AE10" s="23" t="e">
        <f>SUM(AD10:AD15)/COUNT(AG10:AG15)</f>
        <v>#DIV/0!</v>
      </c>
      <c r="AF10" s="24"/>
      <c r="AG10" s="24"/>
      <c r="AH10" s="24"/>
      <c r="AI10" s="25"/>
      <c r="AJ10" s="26" t="e">
        <f>AVERAGE(AH10:AI15)</f>
        <v>#DIV/0!</v>
      </c>
      <c r="AK10" s="24"/>
      <c r="AL10" s="27" t="e">
        <f>AVERAGE(AK10:AK15)</f>
        <v>#DIV/0!</v>
      </c>
      <c r="AM10" s="28"/>
      <c r="AN10" s="21"/>
      <c r="AO10" s="21"/>
      <c r="AP10" s="22">
        <f t="shared" si="3"/>
        <v>0</v>
      </c>
      <c r="AQ10" s="23" t="e">
        <f>SUM(AP10:AP15)/COUNT(AS10:AS15)</f>
        <v>#DIV/0!</v>
      </c>
      <c r="AR10" s="24"/>
      <c r="AS10" s="24"/>
      <c r="AT10" s="24"/>
      <c r="AU10" s="25"/>
      <c r="AV10" s="26" t="e">
        <f>AVERAGE(AT10:AU15)</f>
        <v>#DIV/0!</v>
      </c>
      <c r="AW10" s="24"/>
      <c r="AX10" s="27" t="e">
        <f>AVERAGE(AW10:AW15)</f>
        <v>#DIV/0!</v>
      </c>
      <c r="AY10" s="28"/>
      <c r="AZ10" s="21"/>
      <c r="BA10" s="21"/>
      <c r="BB10" s="22">
        <f t="shared" si="4"/>
        <v>0</v>
      </c>
      <c r="BC10" s="23" t="e">
        <f>SUM(BB10:BB15)/COUNT(BE10:BE15)</f>
        <v>#DIV/0!</v>
      </c>
      <c r="BD10" s="24"/>
      <c r="BE10" s="24"/>
      <c r="BF10" s="24"/>
      <c r="BG10" s="25"/>
      <c r="BH10" s="26" t="e">
        <f>AVERAGE(BF10:BG15)</f>
        <v>#DIV/0!</v>
      </c>
      <c r="BI10" s="24"/>
      <c r="BJ10" s="27" t="e">
        <f>AVERAGE(BI10:BI15)</f>
        <v>#DIV/0!</v>
      </c>
      <c r="BK10" s="30"/>
      <c r="BL10" s="21"/>
      <c r="BM10" s="21"/>
      <c r="BN10" s="22">
        <f t="shared" si="5"/>
        <v>0</v>
      </c>
      <c r="BO10" s="23" t="e">
        <f>SUM(BN10:BN15)/COUNT(BQ10:BQ15)</f>
        <v>#DIV/0!</v>
      </c>
      <c r="BP10" s="24"/>
      <c r="BQ10" s="24"/>
      <c r="BR10" s="24"/>
      <c r="BS10" s="25"/>
      <c r="BT10" s="26" t="e">
        <f>AVERAGE(BR10:BS15)</f>
        <v>#DIV/0!</v>
      </c>
      <c r="BU10" s="24"/>
      <c r="BV10" s="27" t="e">
        <f>AVERAGE(BU10:BU15)</f>
        <v>#DIV/0!</v>
      </c>
      <c r="BW10" s="29"/>
      <c r="BX10" s="21"/>
      <c r="BY10" s="21"/>
      <c r="BZ10" s="22">
        <f t="shared" si="6"/>
        <v>0</v>
      </c>
      <c r="CA10" s="23" t="e">
        <f>SUM(BZ10:BZ15)/COUNT(CC10:CC15)</f>
        <v>#DIV/0!</v>
      </c>
      <c r="CB10" s="24"/>
      <c r="CC10" s="24"/>
      <c r="CD10" s="24"/>
      <c r="CE10" s="25"/>
      <c r="CF10" s="26" t="e">
        <f>AVERAGE(CD10:CE15)</f>
        <v>#DIV/0!</v>
      </c>
      <c r="CG10" s="24"/>
      <c r="CH10" s="27" t="e">
        <f>AVERAGE(CG10:CG15)</f>
        <v>#DIV/0!</v>
      </c>
      <c r="CI10" s="12"/>
      <c r="CJ10" s="9">
        <f>COUNT(I10:I15,U10:U15,AG10:AG15,AS10:AS15,BE10:BE15,BQ10:BQ15,CC10:CC15)</f>
        <v>0</v>
      </c>
    </row>
    <row r="11" spans="1:88" ht="22.8" x14ac:dyDescent="0.3">
      <c r="A11" s="79"/>
      <c r="B11" s="31"/>
      <c r="C11" s="32"/>
      <c r="D11" s="21"/>
      <c r="E11" s="21"/>
      <c r="F11" s="22">
        <f t="shared" si="0"/>
        <v>0</v>
      </c>
      <c r="G11" s="33"/>
      <c r="H11" s="24"/>
      <c r="I11" s="24"/>
      <c r="J11" s="24"/>
      <c r="K11" s="25"/>
      <c r="L11" s="34"/>
      <c r="M11" s="24"/>
      <c r="N11" s="35"/>
      <c r="O11" s="28"/>
      <c r="P11" s="21"/>
      <c r="Q11" s="21"/>
      <c r="R11" s="22">
        <f t="shared" si="1"/>
        <v>0</v>
      </c>
      <c r="S11" s="33"/>
      <c r="T11" s="24"/>
      <c r="U11" s="24"/>
      <c r="V11" s="24"/>
      <c r="W11" s="25"/>
      <c r="X11" s="34"/>
      <c r="Y11" s="24"/>
      <c r="Z11" s="35"/>
      <c r="AA11" s="29"/>
      <c r="AB11" s="21"/>
      <c r="AC11" s="21"/>
      <c r="AD11" s="22">
        <f t="shared" si="2"/>
        <v>0</v>
      </c>
      <c r="AE11" s="33"/>
      <c r="AF11" s="24"/>
      <c r="AG11" s="24"/>
      <c r="AH11" s="24"/>
      <c r="AI11" s="25"/>
      <c r="AJ11" s="34"/>
      <c r="AK11" s="24"/>
      <c r="AL11" s="35"/>
      <c r="AM11" s="28"/>
      <c r="AN11" s="21"/>
      <c r="AO11" s="21"/>
      <c r="AP11" s="22">
        <f t="shared" si="3"/>
        <v>0</v>
      </c>
      <c r="AQ11" s="33"/>
      <c r="AR11" s="24"/>
      <c r="AS11" s="24"/>
      <c r="AT11" s="24"/>
      <c r="AU11" s="25"/>
      <c r="AV11" s="34"/>
      <c r="AW11" s="24"/>
      <c r="AX11" s="35"/>
      <c r="AY11" s="28"/>
      <c r="AZ11" s="21"/>
      <c r="BA11" s="21"/>
      <c r="BB11" s="22">
        <f t="shared" si="4"/>
        <v>0</v>
      </c>
      <c r="BC11" s="33"/>
      <c r="BD11" s="24"/>
      <c r="BE11" s="24"/>
      <c r="BF11" s="24"/>
      <c r="BG11" s="25"/>
      <c r="BH11" s="34"/>
      <c r="BI11" s="24"/>
      <c r="BJ11" s="35"/>
      <c r="BK11" s="30"/>
      <c r="BL11" s="21"/>
      <c r="BM11" s="21"/>
      <c r="BN11" s="22">
        <f t="shared" si="5"/>
        <v>0</v>
      </c>
      <c r="BO11" s="33"/>
      <c r="BP11" s="24"/>
      <c r="BQ11" s="24"/>
      <c r="BR11" s="24"/>
      <c r="BS11" s="25"/>
      <c r="BT11" s="34"/>
      <c r="BU11" s="24"/>
      <c r="BV11" s="35"/>
      <c r="BW11" s="29"/>
      <c r="BX11" s="21"/>
      <c r="BY11" s="21"/>
      <c r="BZ11" s="22">
        <f t="shared" si="6"/>
        <v>0</v>
      </c>
      <c r="CA11" s="33"/>
      <c r="CB11" s="24"/>
      <c r="CC11" s="24"/>
      <c r="CD11" s="24"/>
      <c r="CE11" s="25"/>
      <c r="CF11" s="34"/>
      <c r="CG11" s="24"/>
      <c r="CH11" s="35"/>
      <c r="CI11" s="10" t="e">
        <f>MIN(CA10,BO10,BC10,AQ10,AE10,S10,G10)</f>
        <v>#DIV/0!</v>
      </c>
      <c r="CJ11" s="11"/>
    </row>
    <row r="12" spans="1:88" ht="22.8" x14ac:dyDescent="0.3">
      <c r="A12" s="79"/>
      <c r="B12" s="31"/>
      <c r="C12" s="32"/>
      <c r="D12" s="21"/>
      <c r="E12" s="21"/>
      <c r="F12" s="22">
        <f t="shared" si="0"/>
        <v>0</v>
      </c>
      <c r="G12" s="33"/>
      <c r="H12" s="24"/>
      <c r="I12" s="24"/>
      <c r="J12" s="24"/>
      <c r="K12" s="25"/>
      <c r="L12" s="34"/>
      <c r="M12" s="24"/>
      <c r="N12" s="35"/>
      <c r="O12" s="28"/>
      <c r="P12" s="21"/>
      <c r="Q12" s="21"/>
      <c r="R12" s="22">
        <f t="shared" si="1"/>
        <v>0</v>
      </c>
      <c r="S12" s="33"/>
      <c r="T12" s="24"/>
      <c r="U12" s="24"/>
      <c r="V12" s="24"/>
      <c r="W12" s="25"/>
      <c r="X12" s="34"/>
      <c r="Y12" s="24"/>
      <c r="Z12" s="35"/>
      <c r="AA12" s="29"/>
      <c r="AB12" s="21"/>
      <c r="AC12" s="21"/>
      <c r="AD12" s="22">
        <f t="shared" si="2"/>
        <v>0</v>
      </c>
      <c r="AE12" s="33"/>
      <c r="AF12" s="24"/>
      <c r="AG12" s="24"/>
      <c r="AH12" s="24"/>
      <c r="AI12" s="25"/>
      <c r="AJ12" s="34"/>
      <c r="AK12" s="24"/>
      <c r="AL12" s="35"/>
      <c r="AM12" s="28"/>
      <c r="AN12" s="21"/>
      <c r="AO12" s="21"/>
      <c r="AP12" s="22">
        <f t="shared" si="3"/>
        <v>0</v>
      </c>
      <c r="AQ12" s="33"/>
      <c r="AR12" s="24"/>
      <c r="AS12" s="24"/>
      <c r="AT12" s="24"/>
      <c r="AU12" s="25"/>
      <c r="AV12" s="34"/>
      <c r="AW12" s="24"/>
      <c r="AX12" s="35"/>
      <c r="AY12" s="28"/>
      <c r="AZ12" s="21"/>
      <c r="BA12" s="21"/>
      <c r="BB12" s="22">
        <f t="shared" si="4"/>
        <v>0</v>
      </c>
      <c r="BC12" s="33"/>
      <c r="BD12" s="24"/>
      <c r="BE12" s="24"/>
      <c r="BF12" s="24"/>
      <c r="BG12" s="25"/>
      <c r="BH12" s="34"/>
      <c r="BI12" s="24"/>
      <c r="BJ12" s="35"/>
      <c r="BK12" s="30"/>
      <c r="BL12" s="21"/>
      <c r="BM12" s="21"/>
      <c r="BN12" s="22">
        <f t="shared" si="5"/>
        <v>0</v>
      </c>
      <c r="BO12" s="33"/>
      <c r="BP12" s="24"/>
      <c r="BQ12" s="24"/>
      <c r="BR12" s="24"/>
      <c r="BS12" s="25"/>
      <c r="BT12" s="34"/>
      <c r="BU12" s="24"/>
      <c r="BV12" s="35"/>
      <c r="BW12" s="29"/>
      <c r="BX12" s="21"/>
      <c r="BY12" s="21"/>
      <c r="BZ12" s="22">
        <f t="shared" si="6"/>
        <v>0</v>
      </c>
      <c r="CA12" s="33"/>
      <c r="CB12" s="24"/>
      <c r="CC12" s="24"/>
      <c r="CD12" s="24"/>
      <c r="CE12" s="25"/>
      <c r="CF12" s="34"/>
      <c r="CG12" s="24"/>
      <c r="CH12" s="35"/>
      <c r="CI12" s="10"/>
      <c r="CJ12" s="11"/>
    </row>
    <row r="13" spans="1:88" ht="22.8" x14ac:dyDescent="0.3">
      <c r="A13" s="79"/>
      <c r="B13" s="31"/>
      <c r="C13" s="32"/>
      <c r="D13" s="21"/>
      <c r="E13" s="21"/>
      <c r="F13" s="22">
        <f t="shared" si="0"/>
        <v>0</v>
      </c>
      <c r="G13" s="33"/>
      <c r="H13" s="24"/>
      <c r="I13" s="24"/>
      <c r="J13" s="24"/>
      <c r="K13" s="25"/>
      <c r="L13" s="34"/>
      <c r="M13" s="24"/>
      <c r="N13" s="35"/>
      <c r="O13" s="28"/>
      <c r="P13" s="21"/>
      <c r="Q13" s="21"/>
      <c r="R13" s="22">
        <f t="shared" si="1"/>
        <v>0</v>
      </c>
      <c r="S13" s="33"/>
      <c r="T13" s="24"/>
      <c r="U13" s="24"/>
      <c r="V13" s="24"/>
      <c r="W13" s="25"/>
      <c r="X13" s="34"/>
      <c r="Y13" s="24"/>
      <c r="Z13" s="35"/>
      <c r="AA13" s="29"/>
      <c r="AB13" s="21"/>
      <c r="AC13" s="21"/>
      <c r="AD13" s="22">
        <f t="shared" si="2"/>
        <v>0</v>
      </c>
      <c r="AE13" s="33"/>
      <c r="AF13" s="24"/>
      <c r="AG13" s="24"/>
      <c r="AH13" s="24"/>
      <c r="AI13" s="25"/>
      <c r="AJ13" s="34"/>
      <c r="AK13" s="24"/>
      <c r="AL13" s="35"/>
      <c r="AM13" s="28"/>
      <c r="AN13" s="21"/>
      <c r="AO13" s="21"/>
      <c r="AP13" s="22">
        <f t="shared" si="3"/>
        <v>0</v>
      </c>
      <c r="AQ13" s="33"/>
      <c r="AR13" s="24"/>
      <c r="AS13" s="24"/>
      <c r="AT13" s="24"/>
      <c r="AU13" s="25"/>
      <c r="AV13" s="34"/>
      <c r="AW13" s="24"/>
      <c r="AX13" s="35"/>
      <c r="AY13" s="28"/>
      <c r="AZ13" s="21"/>
      <c r="BA13" s="21"/>
      <c r="BB13" s="22">
        <f t="shared" si="4"/>
        <v>0</v>
      </c>
      <c r="BC13" s="33"/>
      <c r="BD13" s="24"/>
      <c r="BE13" s="24"/>
      <c r="BF13" s="24"/>
      <c r="BG13" s="25"/>
      <c r="BH13" s="34"/>
      <c r="BI13" s="24"/>
      <c r="BJ13" s="35"/>
      <c r="BK13" s="30"/>
      <c r="BL13" s="21"/>
      <c r="BM13" s="21"/>
      <c r="BN13" s="22">
        <f t="shared" si="5"/>
        <v>0</v>
      </c>
      <c r="BO13" s="33"/>
      <c r="BP13" s="24"/>
      <c r="BQ13" s="24"/>
      <c r="BR13" s="24"/>
      <c r="BS13" s="25"/>
      <c r="BT13" s="34"/>
      <c r="BU13" s="24"/>
      <c r="BV13" s="35"/>
      <c r="BW13" s="29"/>
      <c r="BX13" s="21"/>
      <c r="BY13" s="21"/>
      <c r="BZ13" s="22">
        <f t="shared" si="6"/>
        <v>0</v>
      </c>
      <c r="CA13" s="33"/>
      <c r="CB13" s="24"/>
      <c r="CC13" s="24"/>
      <c r="CD13" s="24"/>
      <c r="CE13" s="25"/>
      <c r="CF13" s="34"/>
      <c r="CG13" s="24"/>
      <c r="CH13" s="35"/>
      <c r="CI13" s="12"/>
      <c r="CJ13" s="11"/>
    </row>
    <row r="14" spans="1:88" ht="22.8" x14ac:dyDescent="0.3">
      <c r="A14" s="79"/>
      <c r="B14" s="31"/>
      <c r="C14" s="32"/>
      <c r="D14" s="21"/>
      <c r="E14" s="21"/>
      <c r="F14" s="22">
        <f t="shared" si="0"/>
        <v>0</v>
      </c>
      <c r="G14" s="33"/>
      <c r="H14" s="24"/>
      <c r="I14" s="24"/>
      <c r="J14" s="24"/>
      <c r="K14" s="25"/>
      <c r="L14" s="34"/>
      <c r="M14" s="24"/>
      <c r="N14" s="35"/>
      <c r="O14" s="28"/>
      <c r="P14" s="21"/>
      <c r="Q14" s="21"/>
      <c r="R14" s="22">
        <f t="shared" si="1"/>
        <v>0</v>
      </c>
      <c r="S14" s="33"/>
      <c r="T14" s="24"/>
      <c r="U14" s="24"/>
      <c r="V14" s="24"/>
      <c r="W14" s="25"/>
      <c r="X14" s="34"/>
      <c r="Y14" s="24"/>
      <c r="Z14" s="35"/>
      <c r="AA14" s="29"/>
      <c r="AB14" s="21"/>
      <c r="AC14" s="21"/>
      <c r="AD14" s="22">
        <f t="shared" si="2"/>
        <v>0</v>
      </c>
      <c r="AE14" s="33"/>
      <c r="AF14" s="24"/>
      <c r="AG14" s="24"/>
      <c r="AH14" s="24"/>
      <c r="AI14" s="25"/>
      <c r="AJ14" s="34"/>
      <c r="AK14" s="24"/>
      <c r="AL14" s="35"/>
      <c r="AM14" s="28"/>
      <c r="AN14" s="21"/>
      <c r="AO14" s="21"/>
      <c r="AP14" s="22">
        <f t="shared" si="3"/>
        <v>0</v>
      </c>
      <c r="AQ14" s="33"/>
      <c r="AR14" s="24"/>
      <c r="AS14" s="24"/>
      <c r="AT14" s="24"/>
      <c r="AU14" s="25"/>
      <c r="AV14" s="34"/>
      <c r="AW14" s="24"/>
      <c r="AX14" s="35"/>
      <c r="AY14" s="28"/>
      <c r="AZ14" s="21"/>
      <c r="BA14" s="21"/>
      <c r="BB14" s="22">
        <f t="shared" si="4"/>
        <v>0</v>
      </c>
      <c r="BC14" s="33"/>
      <c r="BD14" s="24"/>
      <c r="BE14" s="24"/>
      <c r="BF14" s="24"/>
      <c r="BG14" s="25"/>
      <c r="BH14" s="34"/>
      <c r="BI14" s="24"/>
      <c r="BJ14" s="35"/>
      <c r="BK14" s="30"/>
      <c r="BL14" s="21"/>
      <c r="BM14" s="21"/>
      <c r="BN14" s="22">
        <f t="shared" si="5"/>
        <v>0</v>
      </c>
      <c r="BO14" s="33"/>
      <c r="BP14" s="24"/>
      <c r="BQ14" s="24"/>
      <c r="BR14" s="24"/>
      <c r="BS14" s="25"/>
      <c r="BT14" s="34"/>
      <c r="BU14" s="24"/>
      <c r="BV14" s="35"/>
      <c r="BW14" s="29"/>
      <c r="BX14" s="21"/>
      <c r="BY14" s="21"/>
      <c r="BZ14" s="22">
        <f t="shared" si="6"/>
        <v>0</v>
      </c>
      <c r="CA14" s="33"/>
      <c r="CB14" s="24"/>
      <c r="CC14" s="24"/>
      <c r="CD14" s="24"/>
      <c r="CE14" s="25"/>
      <c r="CF14" s="34"/>
      <c r="CG14" s="24"/>
      <c r="CH14" s="35"/>
      <c r="CI14" s="12"/>
      <c r="CJ14" s="11"/>
    </row>
    <row r="15" spans="1:88" ht="23.4" thickBot="1" x14ac:dyDescent="0.35">
      <c r="A15" s="79"/>
      <c r="B15" s="40"/>
      <c r="C15" s="41"/>
      <c r="D15" s="42"/>
      <c r="E15" s="42"/>
      <c r="F15" s="43">
        <f t="shared" si="0"/>
        <v>0</v>
      </c>
      <c r="G15" s="44"/>
      <c r="H15" s="45"/>
      <c r="I15" s="45"/>
      <c r="J15" s="45"/>
      <c r="K15" s="46"/>
      <c r="L15" s="47"/>
      <c r="M15" s="45"/>
      <c r="N15" s="48"/>
      <c r="O15" s="49"/>
      <c r="P15" s="42"/>
      <c r="Q15" s="42"/>
      <c r="R15" s="43">
        <f t="shared" si="1"/>
        <v>0</v>
      </c>
      <c r="S15" s="44"/>
      <c r="T15" s="45"/>
      <c r="U15" s="45"/>
      <c r="V15" s="45"/>
      <c r="W15" s="46"/>
      <c r="X15" s="47"/>
      <c r="Y15" s="45"/>
      <c r="Z15" s="48"/>
      <c r="AA15" s="50"/>
      <c r="AB15" s="42"/>
      <c r="AC15" s="42"/>
      <c r="AD15" s="43">
        <f t="shared" si="2"/>
        <v>0</v>
      </c>
      <c r="AE15" s="44"/>
      <c r="AF15" s="45"/>
      <c r="AG15" s="45"/>
      <c r="AH15" s="45"/>
      <c r="AI15" s="46"/>
      <c r="AJ15" s="47"/>
      <c r="AK15" s="45"/>
      <c r="AL15" s="48"/>
      <c r="AM15" s="49"/>
      <c r="AN15" s="42"/>
      <c r="AO15" s="42"/>
      <c r="AP15" s="43">
        <f t="shared" si="3"/>
        <v>0</v>
      </c>
      <c r="AQ15" s="44"/>
      <c r="AR15" s="45"/>
      <c r="AS15" s="45"/>
      <c r="AT15" s="45"/>
      <c r="AU15" s="46"/>
      <c r="AV15" s="47"/>
      <c r="AW15" s="45"/>
      <c r="AX15" s="48"/>
      <c r="AY15" s="49"/>
      <c r="AZ15" s="42"/>
      <c r="BA15" s="42"/>
      <c r="BB15" s="43">
        <f t="shared" si="4"/>
        <v>0</v>
      </c>
      <c r="BC15" s="44"/>
      <c r="BD15" s="45"/>
      <c r="BE15" s="45"/>
      <c r="BF15" s="45"/>
      <c r="BG15" s="46"/>
      <c r="BH15" s="47"/>
      <c r="BI15" s="45"/>
      <c r="BJ15" s="48"/>
      <c r="BK15" s="51"/>
      <c r="BL15" s="42"/>
      <c r="BM15" s="42"/>
      <c r="BN15" s="43">
        <f t="shared" si="5"/>
        <v>0</v>
      </c>
      <c r="BO15" s="44"/>
      <c r="BP15" s="45"/>
      <c r="BQ15" s="45"/>
      <c r="BR15" s="45"/>
      <c r="BS15" s="46"/>
      <c r="BT15" s="47"/>
      <c r="BU15" s="45"/>
      <c r="BV15" s="48"/>
      <c r="BW15" s="50"/>
      <c r="BX15" s="42"/>
      <c r="BY15" s="42"/>
      <c r="BZ15" s="43">
        <f t="shared" si="6"/>
        <v>0</v>
      </c>
      <c r="CA15" s="44"/>
      <c r="CB15" s="45"/>
      <c r="CC15" s="45"/>
      <c r="CD15" s="45"/>
      <c r="CE15" s="46"/>
      <c r="CF15" s="47"/>
      <c r="CG15" s="45"/>
      <c r="CH15" s="48"/>
      <c r="CI15" s="12"/>
      <c r="CJ15" s="13"/>
    </row>
    <row r="16" spans="1:88" ht="23.4" thickTop="1" x14ac:dyDescent="0.3">
      <c r="A16" s="79"/>
      <c r="B16" s="52" t="s">
        <v>19</v>
      </c>
      <c r="C16" s="53"/>
      <c r="D16" s="54"/>
      <c r="E16" s="54"/>
      <c r="F16" s="55">
        <f t="shared" si="0"/>
        <v>0</v>
      </c>
      <c r="G16" s="56" t="e">
        <f>SUM(F16:F21)/COUNT(I16:I21)</f>
        <v>#DIV/0!</v>
      </c>
      <c r="H16" s="57"/>
      <c r="I16" s="57"/>
      <c r="J16" s="57"/>
      <c r="K16" s="58"/>
      <c r="L16" s="59" t="e">
        <f>AVERAGE(J16:K21)</f>
        <v>#DIV/0!</v>
      </c>
      <c r="M16" s="57"/>
      <c r="N16" s="60" t="e">
        <f>AVERAGE(M16:M21)</f>
        <v>#DIV/0!</v>
      </c>
      <c r="O16" s="29"/>
      <c r="P16" s="54"/>
      <c r="Q16" s="54"/>
      <c r="R16" s="55">
        <f t="shared" si="1"/>
        <v>0</v>
      </c>
      <c r="S16" s="56" t="e">
        <f>SUM(R16:R21)/COUNT(U16:U21)</f>
        <v>#DIV/0!</v>
      </c>
      <c r="T16" s="57"/>
      <c r="U16" s="57"/>
      <c r="V16" s="57"/>
      <c r="W16" s="58"/>
      <c r="X16" s="59" t="e">
        <f>AVERAGE(V16:W21)</f>
        <v>#DIV/0!</v>
      </c>
      <c r="Y16" s="57"/>
      <c r="Z16" s="60" t="e">
        <f>AVERAGE(Y16:Y21)</f>
        <v>#DIV/0!</v>
      </c>
      <c r="AA16" s="29"/>
      <c r="AB16" s="54"/>
      <c r="AC16" s="54"/>
      <c r="AD16" s="55">
        <f t="shared" si="2"/>
        <v>0</v>
      </c>
      <c r="AE16" s="56" t="e">
        <f>SUM(AD16:AD21)/COUNT(AG16:AG21)</f>
        <v>#DIV/0!</v>
      </c>
      <c r="AF16" s="57"/>
      <c r="AG16" s="57"/>
      <c r="AH16" s="57"/>
      <c r="AI16" s="58"/>
      <c r="AJ16" s="59" t="e">
        <f>AVERAGE(AH16:AI21)</f>
        <v>#DIV/0!</v>
      </c>
      <c r="AK16" s="57"/>
      <c r="AL16" s="60" t="e">
        <f>AVERAGE(AK16:AK21)</f>
        <v>#DIV/0!</v>
      </c>
      <c r="AM16" s="28"/>
      <c r="AN16" s="54"/>
      <c r="AO16" s="54"/>
      <c r="AP16" s="55">
        <f t="shared" si="3"/>
        <v>0</v>
      </c>
      <c r="AQ16" s="56" t="e">
        <f>SUM(AP16:AP21)/COUNT(AS16:AS21)</f>
        <v>#DIV/0!</v>
      </c>
      <c r="AR16" s="57"/>
      <c r="AS16" s="57"/>
      <c r="AT16" s="57"/>
      <c r="AU16" s="58"/>
      <c r="AV16" s="59" t="e">
        <f>AVERAGE(AT16:AU21)</f>
        <v>#DIV/0!</v>
      </c>
      <c r="AW16" s="57"/>
      <c r="AX16" s="60" t="e">
        <f>AVERAGE(AW16:AW21)</f>
        <v>#DIV/0!</v>
      </c>
      <c r="AY16" s="28"/>
      <c r="AZ16" s="54"/>
      <c r="BA16" s="54"/>
      <c r="BB16" s="55">
        <f t="shared" si="4"/>
        <v>0</v>
      </c>
      <c r="BC16" s="56" t="e">
        <f>SUM(BB16:BB21)/COUNT(BE16:BE21)</f>
        <v>#DIV/0!</v>
      </c>
      <c r="BD16" s="57"/>
      <c r="BE16" s="57"/>
      <c r="BF16" s="57"/>
      <c r="BG16" s="58"/>
      <c r="BH16" s="59" t="e">
        <f>AVERAGE(BF16:BG21)</f>
        <v>#DIV/0!</v>
      </c>
      <c r="BI16" s="57"/>
      <c r="BJ16" s="60" t="e">
        <f>AVERAGE(BI16:BI21)</f>
        <v>#DIV/0!</v>
      </c>
      <c r="BK16" s="30"/>
      <c r="BL16" s="54"/>
      <c r="BM16" s="54"/>
      <c r="BN16" s="55">
        <f t="shared" si="5"/>
        <v>0</v>
      </c>
      <c r="BO16" s="56" t="e">
        <f>SUM(BN16:BN21)/COUNT(BQ16:BQ21)</f>
        <v>#DIV/0!</v>
      </c>
      <c r="BP16" s="57"/>
      <c r="BQ16" s="57"/>
      <c r="BR16" s="57"/>
      <c r="BS16" s="58"/>
      <c r="BT16" s="59" t="e">
        <f>AVERAGE(BR16:BS21)</f>
        <v>#DIV/0!</v>
      </c>
      <c r="BU16" s="57"/>
      <c r="BV16" s="60" t="e">
        <f>AVERAGE(BU16:BU21)</f>
        <v>#DIV/0!</v>
      </c>
      <c r="BW16" s="29"/>
      <c r="BX16" s="54"/>
      <c r="BY16" s="54"/>
      <c r="BZ16" s="55">
        <f t="shared" si="6"/>
        <v>0</v>
      </c>
      <c r="CA16" s="56" t="e">
        <f>SUM(BZ16:BZ21)/COUNT(CC16:CC21)</f>
        <v>#DIV/0!</v>
      </c>
      <c r="CB16" s="57"/>
      <c r="CC16" s="57"/>
      <c r="CD16" s="57"/>
      <c r="CE16" s="58"/>
      <c r="CF16" s="59" t="e">
        <f>AVERAGE(CD16:CE21)</f>
        <v>#DIV/0!</v>
      </c>
      <c r="CG16" s="57"/>
      <c r="CH16" s="60" t="e">
        <f>AVERAGE(CG16:CG21)</f>
        <v>#DIV/0!</v>
      </c>
      <c r="CI16" s="12"/>
      <c r="CJ16" s="9">
        <f>COUNT(I16:I21,U16:U21,AG16:AG21,AS16:AS21,BE16:BE21,BQ16:BQ21,CC16:CC21)</f>
        <v>0</v>
      </c>
    </row>
    <row r="17" spans="1:88" ht="22.8" x14ac:dyDescent="0.3">
      <c r="A17" s="79"/>
      <c r="B17" s="31"/>
      <c r="C17" s="32"/>
      <c r="D17" s="54"/>
      <c r="E17" s="54"/>
      <c r="F17" s="55">
        <f t="shared" si="0"/>
        <v>0</v>
      </c>
      <c r="G17" s="33"/>
      <c r="H17" s="57"/>
      <c r="I17" s="57"/>
      <c r="J17" s="57"/>
      <c r="K17" s="58"/>
      <c r="L17" s="34"/>
      <c r="M17" s="57"/>
      <c r="N17" s="35"/>
      <c r="O17" s="29"/>
      <c r="P17" s="54"/>
      <c r="Q17" s="54"/>
      <c r="R17" s="55">
        <f t="shared" si="1"/>
        <v>0</v>
      </c>
      <c r="S17" s="33"/>
      <c r="T17" s="57"/>
      <c r="U17" s="57"/>
      <c r="V17" s="57"/>
      <c r="W17" s="58"/>
      <c r="X17" s="34"/>
      <c r="Y17" s="57"/>
      <c r="Z17" s="35"/>
      <c r="AA17" s="29"/>
      <c r="AB17" s="54"/>
      <c r="AC17" s="54"/>
      <c r="AD17" s="55">
        <f t="shared" si="2"/>
        <v>0</v>
      </c>
      <c r="AE17" s="33"/>
      <c r="AF17" s="57"/>
      <c r="AG17" s="57"/>
      <c r="AH17" s="57"/>
      <c r="AI17" s="58"/>
      <c r="AJ17" s="34"/>
      <c r="AK17" s="57"/>
      <c r="AL17" s="35"/>
      <c r="AM17" s="28"/>
      <c r="AN17" s="54"/>
      <c r="AO17" s="54"/>
      <c r="AP17" s="55">
        <f t="shared" si="3"/>
        <v>0</v>
      </c>
      <c r="AQ17" s="33"/>
      <c r="AR17" s="57"/>
      <c r="AS17" s="57"/>
      <c r="AT17" s="57"/>
      <c r="AU17" s="58"/>
      <c r="AV17" s="34"/>
      <c r="AW17" s="57"/>
      <c r="AX17" s="35"/>
      <c r="AY17" s="28"/>
      <c r="AZ17" s="54"/>
      <c r="BA17" s="54"/>
      <c r="BB17" s="55">
        <f t="shared" si="4"/>
        <v>0</v>
      </c>
      <c r="BC17" s="33"/>
      <c r="BD17" s="57"/>
      <c r="BE17" s="57"/>
      <c r="BF17" s="57"/>
      <c r="BG17" s="58"/>
      <c r="BH17" s="34"/>
      <c r="BI17" s="57"/>
      <c r="BJ17" s="35"/>
      <c r="BK17" s="30"/>
      <c r="BL17" s="54"/>
      <c r="BM17" s="54"/>
      <c r="BN17" s="55">
        <f t="shared" si="5"/>
        <v>0</v>
      </c>
      <c r="BO17" s="33"/>
      <c r="BP17" s="57"/>
      <c r="BQ17" s="57"/>
      <c r="BR17" s="57"/>
      <c r="BS17" s="58"/>
      <c r="BT17" s="34"/>
      <c r="BU17" s="57"/>
      <c r="BV17" s="35"/>
      <c r="BW17" s="29"/>
      <c r="BX17" s="54"/>
      <c r="BY17" s="54"/>
      <c r="BZ17" s="55">
        <f t="shared" si="6"/>
        <v>0</v>
      </c>
      <c r="CA17" s="33"/>
      <c r="CB17" s="57"/>
      <c r="CC17" s="57"/>
      <c r="CD17" s="57"/>
      <c r="CE17" s="58"/>
      <c r="CF17" s="34"/>
      <c r="CG17" s="57"/>
      <c r="CH17" s="35"/>
      <c r="CI17" s="10" t="e">
        <f>MIN(CA16,BO16,AQ16,AE16,S16,G16,BC16)</f>
        <v>#DIV/0!</v>
      </c>
      <c r="CJ17" s="11"/>
    </row>
    <row r="18" spans="1:88" ht="22.8" x14ac:dyDescent="0.3">
      <c r="A18" s="79"/>
      <c r="B18" s="31"/>
      <c r="C18" s="32"/>
      <c r="D18" s="54"/>
      <c r="E18" s="54"/>
      <c r="F18" s="55">
        <f t="shared" si="0"/>
        <v>0</v>
      </c>
      <c r="G18" s="33"/>
      <c r="H18" s="57"/>
      <c r="I18" s="57"/>
      <c r="J18" s="57"/>
      <c r="K18" s="58"/>
      <c r="L18" s="34"/>
      <c r="M18" s="57"/>
      <c r="N18" s="35"/>
      <c r="O18" s="29"/>
      <c r="P18" s="54"/>
      <c r="Q18" s="54"/>
      <c r="R18" s="55">
        <f t="shared" si="1"/>
        <v>0</v>
      </c>
      <c r="S18" s="33"/>
      <c r="T18" s="57"/>
      <c r="U18" s="57"/>
      <c r="V18" s="57"/>
      <c r="W18" s="58"/>
      <c r="X18" s="34"/>
      <c r="Y18" s="57"/>
      <c r="Z18" s="35"/>
      <c r="AA18" s="29"/>
      <c r="AB18" s="54"/>
      <c r="AC18" s="54"/>
      <c r="AD18" s="55">
        <f t="shared" si="2"/>
        <v>0</v>
      </c>
      <c r="AE18" s="33"/>
      <c r="AF18" s="57"/>
      <c r="AG18" s="57"/>
      <c r="AH18" s="57"/>
      <c r="AI18" s="58"/>
      <c r="AJ18" s="34"/>
      <c r="AK18" s="57"/>
      <c r="AL18" s="35"/>
      <c r="AM18" s="28"/>
      <c r="AN18" s="54"/>
      <c r="AO18" s="54"/>
      <c r="AP18" s="55">
        <f t="shared" si="3"/>
        <v>0</v>
      </c>
      <c r="AQ18" s="33"/>
      <c r="AR18" s="57"/>
      <c r="AS18" s="57"/>
      <c r="AT18" s="57"/>
      <c r="AU18" s="58"/>
      <c r="AV18" s="34"/>
      <c r="AW18" s="57"/>
      <c r="AX18" s="35"/>
      <c r="AY18" s="28"/>
      <c r="AZ18" s="54"/>
      <c r="BA18" s="54"/>
      <c r="BB18" s="55">
        <f t="shared" si="4"/>
        <v>0</v>
      </c>
      <c r="BC18" s="33"/>
      <c r="BD18" s="57"/>
      <c r="BE18" s="57"/>
      <c r="BF18" s="57"/>
      <c r="BG18" s="58"/>
      <c r="BH18" s="34"/>
      <c r="BI18" s="57"/>
      <c r="BJ18" s="35"/>
      <c r="BK18" s="30"/>
      <c r="BL18" s="54"/>
      <c r="BM18" s="54"/>
      <c r="BN18" s="55">
        <f t="shared" si="5"/>
        <v>0</v>
      </c>
      <c r="BO18" s="33"/>
      <c r="BP18" s="57"/>
      <c r="BQ18" s="57"/>
      <c r="BR18" s="57"/>
      <c r="BS18" s="58"/>
      <c r="BT18" s="34"/>
      <c r="BU18" s="57"/>
      <c r="BV18" s="35"/>
      <c r="BW18" s="29"/>
      <c r="BX18" s="54"/>
      <c r="BY18" s="54"/>
      <c r="BZ18" s="55">
        <f t="shared" si="6"/>
        <v>0</v>
      </c>
      <c r="CA18" s="33"/>
      <c r="CB18" s="57"/>
      <c r="CC18" s="57"/>
      <c r="CD18" s="57"/>
      <c r="CE18" s="58"/>
      <c r="CF18" s="34"/>
      <c r="CG18" s="57"/>
      <c r="CH18" s="35"/>
      <c r="CI18" s="10"/>
      <c r="CJ18" s="11"/>
    </row>
    <row r="19" spans="1:88" ht="22.8" x14ac:dyDescent="0.3">
      <c r="A19" s="79"/>
      <c r="B19" s="31"/>
      <c r="C19" s="32"/>
      <c r="D19" s="54"/>
      <c r="E19" s="54"/>
      <c r="F19" s="55">
        <f t="shared" si="0"/>
        <v>0</v>
      </c>
      <c r="G19" s="33"/>
      <c r="H19" s="57"/>
      <c r="I19" s="57"/>
      <c r="J19" s="57"/>
      <c r="K19" s="58"/>
      <c r="L19" s="34"/>
      <c r="M19" s="57"/>
      <c r="N19" s="35"/>
      <c r="O19" s="29"/>
      <c r="P19" s="54"/>
      <c r="Q19" s="54"/>
      <c r="R19" s="55">
        <f t="shared" si="1"/>
        <v>0</v>
      </c>
      <c r="S19" s="33"/>
      <c r="T19" s="57"/>
      <c r="U19" s="57"/>
      <c r="V19" s="57"/>
      <c r="W19" s="58"/>
      <c r="X19" s="34"/>
      <c r="Y19" s="57"/>
      <c r="Z19" s="35"/>
      <c r="AA19" s="29"/>
      <c r="AB19" s="54"/>
      <c r="AC19" s="54"/>
      <c r="AD19" s="55">
        <f t="shared" si="2"/>
        <v>0</v>
      </c>
      <c r="AE19" s="33"/>
      <c r="AF19" s="57"/>
      <c r="AG19" s="57"/>
      <c r="AH19" s="57"/>
      <c r="AI19" s="58"/>
      <c r="AJ19" s="34"/>
      <c r="AK19" s="57"/>
      <c r="AL19" s="35"/>
      <c r="AM19" s="28"/>
      <c r="AN19" s="54"/>
      <c r="AO19" s="54"/>
      <c r="AP19" s="55">
        <f t="shared" si="3"/>
        <v>0</v>
      </c>
      <c r="AQ19" s="33"/>
      <c r="AR19" s="57"/>
      <c r="AS19" s="57"/>
      <c r="AT19" s="57"/>
      <c r="AU19" s="58"/>
      <c r="AV19" s="34"/>
      <c r="AW19" s="57"/>
      <c r="AX19" s="35"/>
      <c r="AY19" s="28"/>
      <c r="AZ19" s="54"/>
      <c r="BA19" s="54"/>
      <c r="BB19" s="55">
        <f t="shared" si="4"/>
        <v>0</v>
      </c>
      <c r="BC19" s="33"/>
      <c r="BD19" s="57"/>
      <c r="BE19" s="57"/>
      <c r="BF19" s="57"/>
      <c r="BG19" s="58"/>
      <c r="BH19" s="34"/>
      <c r="BI19" s="57"/>
      <c r="BJ19" s="35"/>
      <c r="BK19" s="30"/>
      <c r="BL19" s="54"/>
      <c r="BM19" s="54"/>
      <c r="BN19" s="55">
        <f t="shared" si="5"/>
        <v>0</v>
      </c>
      <c r="BO19" s="33"/>
      <c r="BP19" s="57"/>
      <c r="BQ19" s="57"/>
      <c r="BR19" s="57"/>
      <c r="BS19" s="58"/>
      <c r="BT19" s="34"/>
      <c r="BU19" s="57"/>
      <c r="BV19" s="35"/>
      <c r="BW19" s="29"/>
      <c r="BX19" s="54"/>
      <c r="BY19" s="54"/>
      <c r="BZ19" s="55">
        <f t="shared" si="6"/>
        <v>0</v>
      </c>
      <c r="CA19" s="33"/>
      <c r="CB19" s="57"/>
      <c r="CC19" s="57"/>
      <c r="CD19" s="57"/>
      <c r="CE19" s="58"/>
      <c r="CF19" s="34"/>
      <c r="CG19" s="57"/>
      <c r="CH19" s="35"/>
      <c r="CI19" s="12"/>
      <c r="CJ19" s="11"/>
    </row>
    <row r="20" spans="1:88" ht="22.8" x14ac:dyDescent="0.3">
      <c r="A20" s="79"/>
      <c r="B20" s="31"/>
      <c r="C20" s="32"/>
      <c r="D20" s="54"/>
      <c r="E20" s="54"/>
      <c r="F20" s="55">
        <f t="shared" si="0"/>
        <v>0</v>
      </c>
      <c r="G20" s="33"/>
      <c r="H20" s="57"/>
      <c r="I20" s="57"/>
      <c r="J20" s="57"/>
      <c r="K20" s="58"/>
      <c r="L20" s="34"/>
      <c r="M20" s="57"/>
      <c r="N20" s="35"/>
      <c r="O20" s="29"/>
      <c r="P20" s="54"/>
      <c r="Q20" s="54"/>
      <c r="R20" s="55">
        <f t="shared" si="1"/>
        <v>0</v>
      </c>
      <c r="S20" s="33"/>
      <c r="T20" s="57"/>
      <c r="U20" s="57"/>
      <c r="V20" s="57"/>
      <c r="W20" s="58"/>
      <c r="X20" s="34"/>
      <c r="Y20" s="57"/>
      <c r="Z20" s="35"/>
      <c r="AA20" s="29"/>
      <c r="AB20" s="54"/>
      <c r="AC20" s="54"/>
      <c r="AD20" s="55">
        <f t="shared" si="2"/>
        <v>0</v>
      </c>
      <c r="AE20" s="33"/>
      <c r="AF20" s="57"/>
      <c r="AG20" s="57"/>
      <c r="AH20" s="57"/>
      <c r="AI20" s="58"/>
      <c r="AJ20" s="34"/>
      <c r="AK20" s="57"/>
      <c r="AL20" s="35"/>
      <c r="AM20" s="28"/>
      <c r="AN20" s="54"/>
      <c r="AO20" s="54"/>
      <c r="AP20" s="55">
        <f t="shared" si="3"/>
        <v>0</v>
      </c>
      <c r="AQ20" s="33"/>
      <c r="AR20" s="57"/>
      <c r="AS20" s="57"/>
      <c r="AT20" s="57"/>
      <c r="AU20" s="58"/>
      <c r="AV20" s="34"/>
      <c r="AW20" s="57"/>
      <c r="AX20" s="35"/>
      <c r="AY20" s="28"/>
      <c r="AZ20" s="54"/>
      <c r="BA20" s="54"/>
      <c r="BB20" s="55">
        <f t="shared" si="4"/>
        <v>0</v>
      </c>
      <c r="BC20" s="33"/>
      <c r="BD20" s="57"/>
      <c r="BE20" s="57"/>
      <c r="BF20" s="57"/>
      <c r="BG20" s="58"/>
      <c r="BH20" s="34"/>
      <c r="BI20" s="57"/>
      <c r="BJ20" s="35"/>
      <c r="BK20" s="30"/>
      <c r="BL20" s="54"/>
      <c r="BM20" s="54"/>
      <c r="BN20" s="55">
        <f t="shared" si="5"/>
        <v>0</v>
      </c>
      <c r="BO20" s="33"/>
      <c r="BP20" s="57"/>
      <c r="BQ20" s="57"/>
      <c r="BR20" s="57"/>
      <c r="BS20" s="58"/>
      <c r="BT20" s="34"/>
      <c r="BU20" s="57"/>
      <c r="BV20" s="35"/>
      <c r="BW20" s="29"/>
      <c r="BX20" s="54"/>
      <c r="BY20" s="54"/>
      <c r="BZ20" s="55">
        <f t="shared" si="6"/>
        <v>0</v>
      </c>
      <c r="CA20" s="33"/>
      <c r="CB20" s="57"/>
      <c r="CC20" s="57"/>
      <c r="CD20" s="57"/>
      <c r="CE20" s="58"/>
      <c r="CF20" s="34"/>
      <c r="CG20" s="57"/>
      <c r="CH20" s="35"/>
      <c r="CI20" s="12"/>
      <c r="CJ20" s="11"/>
    </row>
    <row r="21" spans="1:88" ht="23.4" thickBot="1" x14ac:dyDescent="0.35">
      <c r="A21" s="79"/>
      <c r="B21" s="31"/>
      <c r="C21" s="36"/>
      <c r="D21" s="54"/>
      <c r="E21" s="54"/>
      <c r="F21" s="55">
        <f t="shared" si="0"/>
        <v>0</v>
      </c>
      <c r="G21" s="37"/>
      <c r="H21" s="57"/>
      <c r="I21" s="57"/>
      <c r="J21" s="57"/>
      <c r="K21" s="58"/>
      <c r="L21" s="38"/>
      <c r="M21" s="57"/>
      <c r="N21" s="39"/>
      <c r="O21" s="29"/>
      <c r="P21" s="54"/>
      <c r="Q21" s="54"/>
      <c r="R21" s="55">
        <f t="shared" si="1"/>
        <v>0</v>
      </c>
      <c r="S21" s="37"/>
      <c r="T21" s="57"/>
      <c r="U21" s="57"/>
      <c r="V21" s="57"/>
      <c r="W21" s="58"/>
      <c r="X21" s="38"/>
      <c r="Y21" s="57"/>
      <c r="Z21" s="39"/>
      <c r="AA21" s="29"/>
      <c r="AB21" s="54"/>
      <c r="AC21" s="54"/>
      <c r="AD21" s="55">
        <f t="shared" si="2"/>
        <v>0</v>
      </c>
      <c r="AE21" s="37"/>
      <c r="AF21" s="57"/>
      <c r="AG21" s="57"/>
      <c r="AH21" s="57"/>
      <c r="AI21" s="58"/>
      <c r="AJ21" s="38"/>
      <c r="AK21" s="57"/>
      <c r="AL21" s="39"/>
      <c r="AM21" s="28"/>
      <c r="AN21" s="54"/>
      <c r="AO21" s="54"/>
      <c r="AP21" s="55">
        <f t="shared" si="3"/>
        <v>0</v>
      </c>
      <c r="AQ21" s="37"/>
      <c r="AR21" s="57"/>
      <c r="AS21" s="57"/>
      <c r="AT21" s="57"/>
      <c r="AU21" s="58"/>
      <c r="AV21" s="38"/>
      <c r="AW21" s="57"/>
      <c r="AX21" s="39"/>
      <c r="AY21" s="28"/>
      <c r="AZ21" s="54"/>
      <c r="BA21" s="54"/>
      <c r="BB21" s="55">
        <f t="shared" si="4"/>
        <v>0</v>
      </c>
      <c r="BC21" s="37"/>
      <c r="BD21" s="57"/>
      <c r="BE21" s="57"/>
      <c r="BF21" s="57"/>
      <c r="BG21" s="58"/>
      <c r="BH21" s="38"/>
      <c r="BI21" s="57"/>
      <c r="BJ21" s="39"/>
      <c r="BK21" s="30"/>
      <c r="BL21" s="54"/>
      <c r="BM21" s="54"/>
      <c r="BN21" s="55">
        <f t="shared" si="5"/>
        <v>0</v>
      </c>
      <c r="BO21" s="37"/>
      <c r="BP21" s="57"/>
      <c r="BQ21" s="57"/>
      <c r="BR21" s="57"/>
      <c r="BS21" s="58"/>
      <c r="BT21" s="38"/>
      <c r="BU21" s="57"/>
      <c r="BV21" s="39"/>
      <c r="BW21" s="29"/>
      <c r="BX21" s="54"/>
      <c r="BY21" s="54"/>
      <c r="BZ21" s="55">
        <f t="shared" si="6"/>
        <v>0</v>
      </c>
      <c r="CA21" s="37"/>
      <c r="CB21" s="57"/>
      <c r="CC21" s="57"/>
      <c r="CD21" s="57"/>
      <c r="CE21" s="58"/>
      <c r="CF21" s="38"/>
      <c r="CG21" s="57"/>
      <c r="CH21" s="39"/>
      <c r="CI21" s="12"/>
      <c r="CJ21" s="13"/>
    </row>
    <row r="22" spans="1:88" ht="23.4" thickTop="1" x14ac:dyDescent="0.3">
      <c r="A22" s="79"/>
      <c r="B22" s="31"/>
      <c r="C22" s="53"/>
      <c r="D22" s="54"/>
      <c r="E22" s="54"/>
      <c r="F22" s="55">
        <f t="shared" si="0"/>
        <v>0</v>
      </c>
      <c r="G22" s="23" t="e">
        <f>SUM(F22:F27)/COUNT(I22:I27)</f>
        <v>#DIV/0!</v>
      </c>
      <c r="H22" s="57"/>
      <c r="I22" s="57"/>
      <c r="J22" s="57"/>
      <c r="K22" s="58"/>
      <c r="L22" s="26" t="e">
        <f>AVERAGE(J22:K27)</f>
        <v>#DIV/0!</v>
      </c>
      <c r="M22" s="57"/>
      <c r="N22" s="27" t="e">
        <f>AVERAGE(M22:M27)</f>
        <v>#DIV/0!</v>
      </c>
      <c r="O22" s="29"/>
      <c r="P22" s="54"/>
      <c r="Q22" s="54"/>
      <c r="R22" s="55">
        <f t="shared" si="1"/>
        <v>0</v>
      </c>
      <c r="S22" s="23" t="e">
        <f>SUM(R22:R27)/COUNT(U22:U27)</f>
        <v>#DIV/0!</v>
      </c>
      <c r="T22" s="57"/>
      <c r="U22" s="57"/>
      <c r="V22" s="57"/>
      <c r="W22" s="58"/>
      <c r="X22" s="26" t="e">
        <f>AVERAGE(V22:W27)</f>
        <v>#DIV/0!</v>
      </c>
      <c r="Y22" s="57"/>
      <c r="Z22" s="27" t="e">
        <f>AVERAGE(Y22:Y27)</f>
        <v>#DIV/0!</v>
      </c>
      <c r="AA22" s="29"/>
      <c r="AB22" s="54"/>
      <c r="AC22" s="54"/>
      <c r="AD22" s="55">
        <f t="shared" si="2"/>
        <v>0</v>
      </c>
      <c r="AE22" s="23" t="e">
        <f>SUM(AD22:AD27)/COUNT(AG22:AG27)</f>
        <v>#DIV/0!</v>
      </c>
      <c r="AF22" s="57"/>
      <c r="AG22" s="57"/>
      <c r="AH22" s="57"/>
      <c r="AI22" s="58"/>
      <c r="AJ22" s="26" t="e">
        <f>AVERAGE(AH22:AI27)</f>
        <v>#DIV/0!</v>
      </c>
      <c r="AK22" s="57"/>
      <c r="AL22" s="27" t="e">
        <f>AVERAGE(AK22:AK27)</f>
        <v>#DIV/0!</v>
      </c>
      <c r="AM22" s="28"/>
      <c r="AN22" s="54"/>
      <c r="AO22" s="54"/>
      <c r="AP22" s="55">
        <f t="shared" si="3"/>
        <v>0</v>
      </c>
      <c r="AQ22" s="23" t="e">
        <f>SUM(AP22:AP27)/COUNT(AS22:AS27)</f>
        <v>#DIV/0!</v>
      </c>
      <c r="AR22" s="57"/>
      <c r="AS22" s="57"/>
      <c r="AT22" s="57"/>
      <c r="AU22" s="58"/>
      <c r="AV22" s="26" t="e">
        <f>AVERAGE(AT22:AU27)</f>
        <v>#DIV/0!</v>
      </c>
      <c r="AW22" s="57"/>
      <c r="AX22" s="27" t="e">
        <f>AVERAGE(AW22:AW27)</f>
        <v>#DIV/0!</v>
      </c>
      <c r="AY22" s="28"/>
      <c r="AZ22" s="54"/>
      <c r="BA22" s="54"/>
      <c r="BB22" s="55">
        <f t="shared" si="4"/>
        <v>0</v>
      </c>
      <c r="BC22" s="23" t="e">
        <f>SUM(BB22:BB27)/COUNT(BE22:BE27)</f>
        <v>#DIV/0!</v>
      </c>
      <c r="BD22" s="57"/>
      <c r="BE22" s="57"/>
      <c r="BF22" s="57"/>
      <c r="BG22" s="58"/>
      <c r="BH22" s="26" t="e">
        <f>AVERAGE(BF22:BG27)</f>
        <v>#DIV/0!</v>
      </c>
      <c r="BI22" s="57"/>
      <c r="BJ22" s="27" t="e">
        <f>AVERAGE(BI22:BI27)</f>
        <v>#DIV/0!</v>
      </c>
      <c r="BK22" s="30"/>
      <c r="BL22" s="54"/>
      <c r="BM22" s="54"/>
      <c r="BN22" s="55">
        <f t="shared" si="5"/>
        <v>0</v>
      </c>
      <c r="BO22" s="23" t="e">
        <f>SUM(BN22:BN27)/COUNT(BQ22:BQ27)</f>
        <v>#DIV/0!</v>
      </c>
      <c r="BP22" s="57"/>
      <c r="BQ22" s="57"/>
      <c r="BR22" s="57"/>
      <c r="BS22" s="58"/>
      <c r="BT22" s="26" t="e">
        <f>AVERAGE(BR22:BS27)</f>
        <v>#DIV/0!</v>
      </c>
      <c r="BU22" s="57"/>
      <c r="BV22" s="27" t="e">
        <f>AVERAGE(BU22:BU27)</f>
        <v>#DIV/0!</v>
      </c>
      <c r="BW22" s="29"/>
      <c r="BX22" s="54"/>
      <c r="BY22" s="54"/>
      <c r="BZ22" s="55">
        <f t="shared" si="6"/>
        <v>0</v>
      </c>
      <c r="CA22" s="23" t="e">
        <f>SUM(BZ22:BZ27)/COUNT(CC22:CC27)</f>
        <v>#DIV/0!</v>
      </c>
      <c r="CB22" s="57"/>
      <c r="CC22" s="57"/>
      <c r="CD22" s="57"/>
      <c r="CE22" s="58"/>
      <c r="CF22" s="26" t="e">
        <f>AVERAGE(CD22:CE27)</f>
        <v>#DIV/0!</v>
      </c>
      <c r="CG22" s="57"/>
      <c r="CH22" s="27" t="e">
        <f>AVERAGE(CG22:CG27)</f>
        <v>#DIV/0!</v>
      </c>
      <c r="CI22" s="12"/>
      <c r="CJ22" s="9">
        <f>COUNT(I22:I27,U22:U27,AG22:AG27,AS22:AS27,BE22:BE27,BQ22:BQ27,CC22:CC27)</f>
        <v>0</v>
      </c>
    </row>
    <row r="23" spans="1:88" ht="22.8" x14ac:dyDescent="0.3">
      <c r="A23" s="79"/>
      <c r="B23" s="31"/>
      <c r="C23" s="32"/>
      <c r="D23" s="54"/>
      <c r="E23" s="54"/>
      <c r="F23" s="55">
        <f t="shared" si="0"/>
        <v>0</v>
      </c>
      <c r="G23" s="33"/>
      <c r="H23" s="57"/>
      <c r="I23" s="57"/>
      <c r="J23" s="57"/>
      <c r="K23" s="58"/>
      <c r="L23" s="34"/>
      <c r="M23" s="57"/>
      <c r="N23" s="35"/>
      <c r="O23" s="29"/>
      <c r="P23" s="54"/>
      <c r="Q23" s="54"/>
      <c r="R23" s="55">
        <f t="shared" si="1"/>
        <v>0</v>
      </c>
      <c r="S23" s="33"/>
      <c r="T23" s="57"/>
      <c r="U23" s="57"/>
      <c r="V23" s="57"/>
      <c r="W23" s="58"/>
      <c r="X23" s="34"/>
      <c r="Y23" s="57"/>
      <c r="Z23" s="35"/>
      <c r="AA23" s="29"/>
      <c r="AB23" s="54"/>
      <c r="AC23" s="54"/>
      <c r="AD23" s="55">
        <f t="shared" si="2"/>
        <v>0</v>
      </c>
      <c r="AE23" s="33"/>
      <c r="AF23" s="57"/>
      <c r="AG23" s="57"/>
      <c r="AH23" s="57"/>
      <c r="AI23" s="58"/>
      <c r="AJ23" s="34"/>
      <c r="AK23" s="57"/>
      <c r="AL23" s="35"/>
      <c r="AM23" s="28"/>
      <c r="AN23" s="54"/>
      <c r="AO23" s="54"/>
      <c r="AP23" s="55">
        <f t="shared" si="3"/>
        <v>0</v>
      </c>
      <c r="AQ23" s="33"/>
      <c r="AR23" s="57"/>
      <c r="AS23" s="57"/>
      <c r="AT23" s="57"/>
      <c r="AU23" s="58"/>
      <c r="AV23" s="34"/>
      <c r="AW23" s="57"/>
      <c r="AX23" s="35"/>
      <c r="AY23" s="28"/>
      <c r="AZ23" s="54"/>
      <c r="BA23" s="54"/>
      <c r="BB23" s="55">
        <f t="shared" si="4"/>
        <v>0</v>
      </c>
      <c r="BC23" s="33"/>
      <c r="BD23" s="57"/>
      <c r="BE23" s="57"/>
      <c r="BF23" s="57"/>
      <c r="BG23" s="58"/>
      <c r="BH23" s="34"/>
      <c r="BI23" s="57"/>
      <c r="BJ23" s="35"/>
      <c r="BK23" s="30"/>
      <c r="BL23" s="54"/>
      <c r="BM23" s="54"/>
      <c r="BN23" s="55">
        <f t="shared" si="5"/>
        <v>0</v>
      </c>
      <c r="BO23" s="33"/>
      <c r="BP23" s="57"/>
      <c r="BQ23" s="57"/>
      <c r="BR23" s="57"/>
      <c r="BS23" s="58"/>
      <c r="BT23" s="34"/>
      <c r="BU23" s="57"/>
      <c r="BV23" s="35"/>
      <c r="BW23" s="29"/>
      <c r="BX23" s="54"/>
      <c r="BY23" s="54"/>
      <c r="BZ23" s="55">
        <f t="shared" si="6"/>
        <v>0</v>
      </c>
      <c r="CA23" s="33"/>
      <c r="CB23" s="57"/>
      <c r="CC23" s="57"/>
      <c r="CD23" s="57"/>
      <c r="CE23" s="58"/>
      <c r="CF23" s="34"/>
      <c r="CG23" s="57"/>
      <c r="CH23" s="35"/>
      <c r="CI23" s="10" t="e">
        <f>MIN(CA22,BO22,AQ22,AE22,S22,G22,BC22)</f>
        <v>#DIV/0!</v>
      </c>
      <c r="CJ23" s="11"/>
    </row>
    <row r="24" spans="1:88" ht="22.8" x14ac:dyDescent="0.3">
      <c r="A24" s="79"/>
      <c r="B24" s="31"/>
      <c r="C24" s="32"/>
      <c r="D24" s="54"/>
      <c r="E24" s="54"/>
      <c r="F24" s="55">
        <f t="shared" si="0"/>
        <v>0</v>
      </c>
      <c r="G24" s="33"/>
      <c r="H24" s="57"/>
      <c r="I24" s="57"/>
      <c r="J24" s="57"/>
      <c r="K24" s="58"/>
      <c r="L24" s="34"/>
      <c r="M24" s="57"/>
      <c r="N24" s="35"/>
      <c r="O24" s="29"/>
      <c r="P24" s="54"/>
      <c r="Q24" s="54"/>
      <c r="R24" s="55">
        <f t="shared" si="1"/>
        <v>0</v>
      </c>
      <c r="S24" s="33"/>
      <c r="T24" s="57"/>
      <c r="U24" s="57"/>
      <c r="V24" s="57"/>
      <c r="W24" s="58"/>
      <c r="X24" s="34"/>
      <c r="Y24" s="57"/>
      <c r="Z24" s="35"/>
      <c r="AA24" s="29"/>
      <c r="AB24" s="54"/>
      <c r="AC24" s="54"/>
      <c r="AD24" s="55">
        <f t="shared" si="2"/>
        <v>0</v>
      </c>
      <c r="AE24" s="33"/>
      <c r="AF24" s="57"/>
      <c r="AG24" s="57"/>
      <c r="AH24" s="57"/>
      <c r="AI24" s="58"/>
      <c r="AJ24" s="34"/>
      <c r="AK24" s="57"/>
      <c r="AL24" s="35"/>
      <c r="AM24" s="28"/>
      <c r="AN24" s="54"/>
      <c r="AO24" s="54"/>
      <c r="AP24" s="55">
        <f t="shared" si="3"/>
        <v>0</v>
      </c>
      <c r="AQ24" s="33"/>
      <c r="AR24" s="57"/>
      <c r="AS24" s="57"/>
      <c r="AT24" s="57"/>
      <c r="AU24" s="58"/>
      <c r="AV24" s="34"/>
      <c r="AW24" s="57"/>
      <c r="AX24" s="35"/>
      <c r="AY24" s="28"/>
      <c r="AZ24" s="54"/>
      <c r="BA24" s="54"/>
      <c r="BB24" s="55">
        <f t="shared" si="4"/>
        <v>0</v>
      </c>
      <c r="BC24" s="33"/>
      <c r="BD24" s="57"/>
      <c r="BE24" s="57"/>
      <c r="BF24" s="57"/>
      <c r="BG24" s="58"/>
      <c r="BH24" s="34"/>
      <c r="BI24" s="57"/>
      <c r="BJ24" s="35"/>
      <c r="BK24" s="30"/>
      <c r="BL24" s="54"/>
      <c r="BM24" s="54"/>
      <c r="BN24" s="55">
        <f t="shared" si="5"/>
        <v>0</v>
      </c>
      <c r="BO24" s="33"/>
      <c r="BP24" s="57"/>
      <c r="BQ24" s="57"/>
      <c r="BR24" s="57"/>
      <c r="BS24" s="58"/>
      <c r="BT24" s="34"/>
      <c r="BU24" s="57"/>
      <c r="BV24" s="35"/>
      <c r="BW24" s="29"/>
      <c r="BX24" s="54"/>
      <c r="BY24" s="54"/>
      <c r="BZ24" s="55">
        <f t="shared" si="6"/>
        <v>0</v>
      </c>
      <c r="CA24" s="33"/>
      <c r="CB24" s="57"/>
      <c r="CC24" s="57"/>
      <c r="CD24" s="57"/>
      <c r="CE24" s="58"/>
      <c r="CF24" s="34"/>
      <c r="CG24" s="57"/>
      <c r="CH24" s="35"/>
      <c r="CI24" s="10"/>
      <c r="CJ24" s="11"/>
    </row>
    <row r="25" spans="1:88" ht="22.8" x14ac:dyDescent="0.3">
      <c r="A25" s="79"/>
      <c r="B25" s="31"/>
      <c r="C25" s="32"/>
      <c r="D25" s="54"/>
      <c r="E25" s="54"/>
      <c r="F25" s="55">
        <f t="shared" si="0"/>
        <v>0</v>
      </c>
      <c r="G25" s="33"/>
      <c r="H25" s="57"/>
      <c r="I25" s="57"/>
      <c r="J25" s="57"/>
      <c r="K25" s="58"/>
      <c r="L25" s="34"/>
      <c r="M25" s="57"/>
      <c r="N25" s="35"/>
      <c r="O25" s="29"/>
      <c r="P25" s="54"/>
      <c r="Q25" s="54"/>
      <c r="R25" s="55">
        <f t="shared" si="1"/>
        <v>0</v>
      </c>
      <c r="S25" s="33"/>
      <c r="T25" s="57"/>
      <c r="U25" s="57"/>
      <c r="V25" s="57"/>
      <c r="W25" s="58"/>
      <c r="X25" s="34"/>
      <c r="Y25" s="57"/>
      <c r="Z25" s="35"/>
      <c r="AA25" s="29"/>
      <c r="AB25" s="54"/>
      <c r="AC25" s="54"/>
      <c r="AD25" s="55">
        <f t="shared" si="2"/>
        <v>0</v>
      </c>
      <c r="AE25" s="33"/>
      <c r="AF25" s="57"/>
      <c r="AG25" s="57"/>
      <c r="AH25" s="57"/>
      <c r="AI25" s="58"/>
      <c r="AJ25" s="34"/>
      <c r="AK25" s="57"/>
      <c r="AL25" s="35"/>
      <c r="AM25" s="28"/>
      <c r="AN25" s="54"/>
      <c r="AO25" s="54"/>
      <c r="AP25" s="55">
        <f t="shared" si="3"/>
        <v>0</v>
      </c>
      <c r="AQ25" s="33"/>
      <c r="AR25" s="57"/>
      <c r="AS25" s="57"/>
      <c r="AT25" s="57"/>
      <c r="AU25" s="58"/>
      <c r="AV25" s="34"/>
      <c r="AW25" s="57"/>
      <c r="AX25" s="35"/>
      <c r="AY25" s="28"/>
      <c r="AZ25" s="54"/>
      <c r="BA25" s="54"/>
      <c r="BB25" s="55">
        <f t="shared" si="4"/>
        <v>0</v>
      </c>
      <c r="BC25" s="33"/>
      <c r="BD25" s="57"/>
      <c r="BE25" s="57"/>
      <c r="BF25" s="57"/>
      <c r="BG25" s="58"/>
      <c r="BH25" s="34"/>
      <c r="BI25" s="57"/>
      <c r="BJ25" s="35"/>
      <c r="BK25" s="30"/>
      <c r="BL25" s="54"/>
      <c r="BM25" s="54"/>
      <c r="BN25" s="55">
        <f t="shared" si="5"/>
        <v>0</v>
      </c>
      <c r="BO25" s="33"/>
      <c r="BP25" s="57"/>
      <c r="BQ25" s="57"/>
      <c r="BR25" s="57"/>
      <c r="BS25" s="58"/>
      <c r="BT25" s="34"/>
      <c r="BU25" s="57"/>
      <c r="BV25" s="35"/>
      <c r="BW25" s="29"/>
      <c r="BX25" s="54"/>
      <c r="BY25" s="54"/>
      <c r="BZ25" s="55">
        <f t="shared" si="6"/>
        <v>0</v>
      </c>
      <c r="CA25" s="33"/>
      <c r="CB25" s="57"/>
      <c r="CC25" s="57"/>
      <c r="CD25" s="57"/>
      <c r="CE25" s="58"/>
      <c r="CF25" s="34"/>
      <c r="CG25" s="57"/>
      <c r="CH25" s="35"/>
      <c r="CI25" s="12"/>
      <c r="CJ25" s="11"/>
    </row>
    <row r="26" spans="1:88" ht="22.8" x14ac:dyDescent="0.3">
      <c r="A26" s="79"/>
      <c r="B26" s="31"/>
      <c r="C26" s="32"/>
      <c r="D26" s="21"/>
      <c r="E26" s="21"/>
      <c r="F26" s="55">
        <f t="shared" si="0"/>
        <v>0</v>
      </c>
      <c r="G26" s="33"/>
      <c r="H26" s="24"/>
      <c r="I26" s="24"/>
      <c r="J26" s="24"/>
      <c r="K26" s="25"/>
      <c r="L26" s="34"/>
      <c r="M26" s="57"/>
      <c r="N26" s="35"/>
      <c r="O26" s="29"/>
      <c r="P26" s="21"/>
      <c r="Q26" s="21"/>
      <c r="R26" s="55">
        <f t="shared" si="1"/>
        <v>0</v>
      </c>
      <c r="S26" s="33"/>
      <c r="T26" s="24"/>
      <c r="U26" s="24"/>
      <c r="V26" s="24"/>
      <c r="W26" s="25"/>
      <c r="X26" s="34"/>
      <c r="Y26" s="57"/>
      <c r="Z26" s="35"/>
      <c r="AA26" s="29"/>
      <c r="AB26" s="21"/>
      <c r="AC26" s="21"/>
      <c r="AD26" s="55">
        <f t="shared" si="2"/>
        <v>0</v>
      </c>
      <c r="AE26" s="33"/>
      <c r="AF26" s="24"/>
      <c r="AG26" s="24"/>
      <c r="AH26" s="24"/>
      <c r="AI26" s="25"/>
      <c r="AJ26" s="34"/>
      <c r="AK26" s="57"/>
      <c r="AL26" s="35"/>
      <c r="AM26" s="28"/>
      <c r="AN26" s="21"/>
      <c r="AO26" s="21"/>
      <c r="AP26" s="55">
        <f t="shared" si="3"/>
        <v>0</v>
      </c>
      <c r="AQ26" s="33"/>
      <c r="AR26" s="24"/>
      <c r="AS26" s="24"/>
      <c r="AT26" s="24"/>
      <c r="AU26" s="25"/>
      <c r="AV26" s="34"/>
      <c r="AW26" s="57"/>
      <c r="AX26" s="35"/>
      <c r="AY26" s="28"/>
      <c r="AZ26" s="21"/>
      <c r="BA26" s="21"/>
      <c r="BB26" s="55">
        <f t="shared" si="4"/>
        <v>0</v>
      </c>
      <c r="BC26" s="33"/>
      <c r="BD26" s="24"/>
      <c r="BE26" s="24"/>
      <c r="BF26" s="24"/>
      <c r="BG26" s="25"/>
      <c r="BH26" s="34"/>
      <c r="BI26" s="57"/>
      <c r="BJ26" s="35"/>
      <c r="BK26" s="30"/>
      <c r="BL26" s="21"/>
      <c r="BM26" s="21"/>
      <c r="BN26" s="55">
        <f t="shared" si="5"/>
        <v>0</v>
      </c>
      <c r="BO26" s="33"/>
      <c r="BP26" s="24"/>
      <c r="BQ26" s="24"/>
      <c r="BR26" s="24"/>
      <c r="BS26" s="25"/>
      <c r="BT26" s="34"/>
      <c r="BU26" s="57"/>
      <c r="BV26" s="35"/>
      <c r="BW26" s="29"/>
      <c r="BX26" s="21"/>
      <c r="BY26" s="21"/>
      <c r="BZ26" s="55">
        <f t="shared" si="6"/>
        <v>0</v>
      </c>
      <c r="CA26" s="33"/>
      <c r="CB26" s="24"/>
      <c r="CC26" s="24"/>
      <c r="CD26" s="24"/>
      <c r="CE26" s="25"/>
      <c r="CF26" s="34"/>
      <c r="CG26" s="57"/>
      <c r="CH26" s="35"/>
      <c r="CI26" s="12"/>
      <c r="CJ26" s="11"/>
    </row>
    <row r="27" spans="1:88" ht="23.4" thickBot="1" x14ac:dyDescent="0.35">
      <c r="A27" s="79"/>
      <c r="B27" s="40"/>
      <c r="C27" s="36"/>
      <c r="D27" s="42"/>
      <c r="E27" s="42"/>
      <c r="F27" s="43">
        <f t="shared" si="0"/>
        <v>0</v>
      </c>
      <c r="G27" s="44"/>
      <c r="H27" s="45"/>
      <c r="I27" s="45"/>
      <c r="J27" s="45"/>
      <c r="K27" s="46"/>
      <c r="L27" s="47"/>
      <c r="M27" s="45"/>
      <c r="N27" s="48"/>
      <c r="O27" s="50"/>
      <c r="P27" s="42"/>
      <c r="Q27" s="42"/>
      <c r="R27" s="43">
        <f t="shared" si="1"/>
        <v>0</v>
      </c>
      <c r="S27" s="44"/>
      <c r="T27" s="45"/>
      <c r="U27" s="45"/>
      <c r="V27" s="45"/>
      <c r="W27" s="46"/>
      <c r="X27" s="47"/>
      <c r="Y27" s="45"/>
      <c r="Z27" s="48"/>
      <c r="AA27" s="50"/>
      <c r="AB27" s="42"/>
      <c r="AC27" s="42"/>
      <c r="AD27" s="43">
        <f t="shared" si="2"/>
        <v>0</v>
      </c>
      <c r="AE27" s="44"/>
      <c r="AF27" s="45"/>
      <c r="AG27" s="45"/>
      <c r="AH27" s="45"/>
      <c r="AI27" s="46"/>
      <c r="AJ27" s="47"/>
      <c r="AK27" s="45"/>
      <c r="AL27" s="48"/>
      <c r="AM27" s="49"/>
      <c r="AN27" s="42"/>
      <c r="AO27" s="42"/>
      <c r="AP27" s="43">
        <f t="shared" si="3"/>
        <v>0</v>
      </c>
      <c r="AQ27" s="44"/>
      <c r="AR27" s="45"/>
      <c r="AS27" s="45"/>
      <c r="AT27" s="45"/>
      <c r="AU27" s="46"/>
      <c r="AV27" s="47"/>
      <c r="AW27" s="45"/>
      <c r="AX27" s="48"/>
      <c r="AY27" s="49"/>
      <c r="AZ27" s="42"/>
      <c r="BA27" s="42"/>
      <c r="BB27" s="43">
        <f t="shared" si="4"/>
        <v>0</v>
      </c>
      <c r="BC27" s="44"/>
      <c r="BD27" s="45"/>
      <c r="BE27" s="45"/>
      <c r="BF27" s="45"/>
      <c r="BG27" s="46"/>
      <c r="BH27" s="47"/>
      <c r="BI27" s="45"/>
      <c r="BJ27" s="48"/>
      <c r="BK27" s="51"/>
      <c r="BL27" s="42"/>
      <c r="BM27" s="42"/>
      <c r="BN27" s="43">
        <f t="shared" si="5"/>
        <v>0</v>
      </c>
      <c r="BO27" s="44"/>
      <c r="BP27" s="45"/>
      <c r="BQ27" s="45"/>
      <c r="BR27" s="45"/>
      <c r="BS27" s="46"/>
      <c r="BT27" s="47"/>
      <c r="BU27" s="45"/>
      <c r="BV27" s="48"/>
      <c r="BW27" s="50"/>
      <c r="BX27" s="42"/>
      <c r="BY27" s="42"/>
      <c r="BZ27" s="43">
        <f t="shared" si="6"/>
        <v>0</v>
      </c>
      <c r="CA27" s="44"/>
      <c r="CB27" s="45"/>
      <c r="CC27" s="45"/>
      <c r="CD27" s="45"/>
      <c r="CE27" s="46"/>
      <c r="CF27" s="47"/>
      <c r="CG27" s="45"/>
      <c r="CH27" s="48"/>
      <c r="CI27" s="12"/>
      <c r="CJ27" s="13"/>
    </row>
    <row r="28" spans="1:88" ht="23.4" thickTop="1" x14ac:dyDescent="0.3">
      <c r="A28" s="79"/>
      <c r="B28" s="52" t="s">
        <v>20</v>
      </c>
      <c r="C28" s="20"/>
      <c r="D28" s="61"/>
      <c r="E28" s="61"/>
      <c r="F28" s="62">
        <v>4.5138888888888888E-2</v>
      </c>
      <c r="G28" s="56" t="e">
        <f>SUM(F28:F33)/COUNT(I28:I33)</f>
        <v>#DIV/0!</v>
      </c>
      <c r="H28" s="63"/>
      <c r="I28" s="63"/>
      <c r="J28" s="63"/>
      <c r="K28" s="64"/>
      <c r="L28" s="59" t="e">
        <f>AVERAGE(J28:K33)</f>
        <v>#DIV/0!</v>
      </c>
      <c r="M28" s="63"/>
      <c r="N28" s="60" t="e">
        <f>AVERAGE(M28:M33)</f>
        <v>#DIV/0!</v>
      </c>
      <c r="O28" s="29"/>
      <c r="P28" s="61"/>
      <c r="Q28" s="61"/>
      <c r="R28" s="62">
        <v>4.5138888888888888E-2</v>
      </c>
      <c r="S28" s="56" t="e">
        <f>SUM(R28:R33)/COUNT(U28:U33)</f>
        <v>#DIV/0!</v>
      </c>
      <c r="T28" s="63"/>
      <c r="U28" s="63"/>
      <c r="V28" s="63"/>
      <c r="W28" s="64"/>
      <c r="X28" s="59" t="e">
        <f>AVERAGE(V28:W33)</f>
        <v>#DIV/0!</v>
      </c>
      <c r="Y28" s="63"/>
      <c r="Z28" s="60" t="e">
        <f>AVERAGE(Y28:Y33)</f>
        <v>#DIV/0!</v>
      </c>
      <c r="AA28" s="29"/>
      <c r="AB28" s="61"/>
      <c r="AC28" s="61"/>
      <c r="AD28" s="62">
        <v>4.5138888888888888E-2</v>
      </c>
      <c r="AE28" s="56" t="e">
        <f>SUM(AD28:AD33)/COUNT(AG28:AG33)</f>
        <v>#DIV/0!</v>
      </c>
      <c r="AF28" s="63"/>
      <c r="AG28" s="63"/>
      <c r="AH28" s="63"/>
      <c r="AI28" s="64"/>
      <c r="AJ28" s="59" t="e">
        <f>AVERAGE(AH28:AI33)</f>
        <v>#DIV/0!</v>
      </c>
      <c r="AK28" s="63"/>
      <c r="AL28" s="60" t="e">
        <f>AVERAGE(AK28:AK33)</f>
        <v>#DIV/0!</v>
      </c>
      <c r="AM28" s="28"/>
      <c r="AN28" s="61"/>
      <c r="AO28" s="61"/>
      <c r="AP28" s="62">
        <v>4.5138888888888888E-2</v>
      </c>
      <c r="AQ28" s="56" t="e">
        <f>SUM(AP28:AP33)/COUNT(AS28:AS33)</f>
        <v>#DIV/0!</v>
      </c>
      <c r="AR28" s="63"/>
      <c r="AS28" s="63"/>
      <c r="AT28" s="63"/>
      <c r="AU28" s="64"/>
      <c r="AV28" s="59" t="e">
        <f>AVERAGE(AT28:AU33)</f>
        <v>#DIV/0!</v>
      </c>
      <c r="AW28" s="63"/>
      <c r="AX28" s="60" t="e">
        <f>AVERAGE(AW28:AW33)</f>
        <v>#DIV/0!</v>
      </c>
      <c r="AY28" s="28"/>
      <c r="AZ28" s="61"/>
      <c r="BA28" s="61"/>
      <c r="BB28" s="62">
        <v>4.5138888888888888E-2</v>
      </c>
      <c r="BC28" s="56" t="e">
        <f>SUM(BB28:BB33)/COUNT(BE28:BE33)</f>
        <v>#DIV/0!</v>
      </c>
      <c r="BD28" s="63"/>
      <c r="BE28" s="63"/>
      <c r="BF28" s="63"/>
      <c r="BG28" s="64"/>
      <c r="BH28" s="59" t="e">
        <f>AVERAGE(BF28:BG33)</f>
        <v>#DIV/0!</v>
      </c>
      <c r="BI28" s="63"/>
      <c r="BJ28" s="60" t="e">
        <f>AVERAGE(BI28:BI33)</f>
        <v>#DIV/0!</v>
      </c>
      <c r="BK28" s="30"/>
      <c r="BL28" s="61"/>
      <c r="BM28" s="61"/>
      <c r="BN28" s="62">
        <v>4.5138888888888888E-2</v>
      </c>
      <c r="BO28" s="56" t="e">
        <f>SUM(BN28:BN33)/COUNT(BQ28:BQ33)</f>
        <v>#DIV/0!</v>
      </c>
      <c r="BP28" s="63"/>
      <c r="BQ28" s="63"/>
      <c r="BR28" s="63"/>
      <c r="BS28" s="64"/>
      <c r="BT28" s="59" t="e">
        <f>AVERAGE(BR28:BS33)</f>
        <v>#DIV/0!</v>
      </c>
      <c r="BU28" s="63"/>
      <c r="BV28" s="60" t="e">
        <f>AVERAGE(BU28:BU33)</f>
        <v>#DIV/0!</v>
      </c>
      <c r="BW28" s="29"/>
      <c r="BX28" s="61"/>
      <c r="BY28" s="61"/>
      <c r="BZ28" s="62">
        <v>4.5138888888888888E-2</v>
      </c>
      <c r="CA28" s="56" t="e">
        <f>SUM(BZ28:BZ33)/COUNT(CC28:CC33)</f>
        <v>#DIV/0!</v>
      </c>
      <c r="CB28" s="63"/>
      <c r="CC28" s="63"/>
      <c r="CD28" s="63"/>
      <c r="CE28" s="64"/>
      <c r="CF28" s="59" t="e">
        <f>AVERAGE(CD28:CE33)</f>
        <v>#DIV/0!</v>
      </c>
      <c r="CG28" s="63"/>
      <c r="CH28" s="60" t="e">
        <f>AVERAGE(CG28:CG33)</f>
        <v>#DIV/0!</v>
      </c>
      <c r="CI28" s="12"/>
      <c r="CJ28" s="9">
        <f>COUNT(I28:I33,U28:U33,AG28:AG33,AS28:AS33,BE28:BE33,BQ28:BQ33,CC28:CC33)</f>
        <v>0</v>
      </c>
    </row>
    <row r="29" spans="1:88" ht="22.8" x14ac:dyDescent="0.3">
      <c r="A29" s="79"/>
      <c r="B29" s="31"/>
      <c r="C29" s="32"/>
      <c r="D29" s="21"/>
      <c r="E29" s="21"/>
      <c r="F29" s="22">
        <f t="shared" si="0"/>
        <v>0</v>
      </c>
      <c r="G29" s="33"/>
      <c r="H29" s="24"/>
      <c r="I29" s="24"/>
      <c r="J29" s="24"/>
      <c r="K29" s="25"/>
      <c r="L29" s="34"/>
      <c r="M29" s="24"/>
      <c r="N29" s="35"/>
      <c r="O29" s="29"/>
      <c r="P29" s="21"/>
      <c r="Q29" s="21"/>
      <c r="R29" s="22">
        <f t="shared" ref="R29:R33" si="7">Q29-P29</f>
        <v>0</v>
      </c>
      <c r="S29" s="33"/>
      <c r="T29" s="24"/>
      <c r="U29" s="24"/>
      <c r="V29" s="24"/>
      <c r="W29" s="25"/>
      <c r="X29" s="34"/>
      <c r="Y29" s="24"/>
      <c r="Z29" s="35"/>
      <c r="AA29" s="29"/>
      <c r="AB29" s="21"/>
      <c r="AC29" s="21"/>
      <c r="AD29" s="22">
        <f t="shared" ref="AD29:AD45" si="8">AC29-AB29</f>
        <v>0</v>
      </c>
      <c r="AE29" s="33"/>
      <c r="AF29" s="24"/>
      <c r="AG29" s="24"/>
      <c r="AH29" s="24"/>
      <c r="AI29" s="25"/>
      <c r="AJ29" s="34"/>
      <c r="AK29" s="24"/>
      <c r="AL29" s="35"/>
      <c r="AM29" s="28"/>
      <c r="AN29" s="21"/>
      <c r="AO29" s="21"/>
      <c r="AP29" s="22">
        <f t="shared" ref="AP29:AP45" si="9">AO29-AN29</f>
        <v>0</v>
      </c>
      <c r="AQ29" s="33"/>
      <c r="AR29" s="24"/>
      <c r="AS29" s="24"/>
      <c r="AT29" s="24"/>
      <c r="AU29" s="25"/>
      <c r="AV29" s="34"/>
      <c r="AW29" s="24"/>
      <c r="AX29" s="35"/>
      <c r="AY29" s="28"/>
      <c r="AZ29" s="21"/>
      <c r="BA29" s="21"/>
      <c r="BB29" s="22">
        <f t="shared" ref="BB29:BB45" si="10">BA29-AZ29</f>
        <v>0</v>
      </c>
      <c r="BC29" s="33"/>
      <c r="BD29" s="24"/>
      <c r="BE29" s="24"/>
      <c r="BF29" s="24"/>
      <c r="BG29" s="25"/>
      <c r="BH29" s="34"/>
      <c r="BI29" s="24"/>
      <c r="BJ29" s="35"/>
      <c r="BK29" s="30"/>
      <c r="BL29" s="21"/>
      <c r="BM29" s="21"/>
      <c r="BN29" s="22">
        <f t="shared" ref="BN29:BN45" si="11">BM29-BL29</f>
        <v>0</v>
      </c>
      <c r="BO29" s="33"/>
      <c r="BP29" s="24"/>
      <c r="BQ29" s="24"/>
      <c r="BR29" s="24"/>
      <c r="BS29" s="25"/>
      <c r="BT29" s="34"/>
      <c r="BU29" s="24"/>
      <c r="BV29" s="35"/>
      <c r="BW29" s="29"/>
      <c r="BX29" s="21"/>
      <c r="BY29" s="21"/>
      <c r="BZ29" s="22">
        <f t="shared" ref="BZ29:BZ45" si="12">BY29-BX29</f>
        <v>0</v>
      </c>
      <c r="CA29" s="33"/>
      <c r="CB29" s="24"/>
      <c r="CC29" s="24"/>
      <c r="CD29" s="24"/>
      <c r="CE29" s="25"/>
      <c r="CF29" s="34"/>
      <c r="CG29" s="24"/>
      <c r="CH29" s="35"/>
      <c r="CI29" s="10" t="e">
        <f>MIN(BC28,BO28,AQ28,AE28,S28,G28,CA28)</f>
        <v>#DIV/0!</v>
      </c>
      <c r="CJ29" s="11"/>
    </row>
    <row r="30" spans="1:88" ht="22.8" x14ac:dyDescent="0.3">
      <c r="A30" s="79"/>
      <c r="B30" s="31"/>
      <c r="C30" s="32"/>
      <c r="D30" s="21"/>
      <c r="E30" s="21"/>
      <c r="F30" s="22">
        <f t="shared" si="0"/>
        <v>0</v>
      </c>
      <c r="G30" s="33"/>
      <c r="H30" s="24"/>
      <c r="I30" s="24"/>
      <c r="J30" s="24"/>
      <c r="K30" s="25"/>
      <c r="L30" s="34"/>
      <c r="M30" s="24"/>
      <c r="N30" s="35"/>
      <c r="O30" s="29"/>
      <c r="P30" s="21"/>
      <c r="Q30" s="21"/>
      <c r="R30" s="22">
        <f t="shared" si="7"/>
        <v>0</v>
      </c>
      <c r="S30" s="33"/>
      <c r="T30" s="24"/>
      <c r="U30" s="24"/>
      <c r="V30" s="24"/>
      <c r="W30" s="25"/>
      <c r="X30" s="34"/>
      <c r="Y30" s="24"/>
      <c r="Z30" s="35"/>
      <c r="AA30" s="29"/>
      <c r="AB30" s="21"/>
      <c r="AC30" s="21"/>
      <c r="AD30" s="22">
        <f t="shared" si="8"/>
        <v>0</v>
      </c>
      <c r="AE30" s="33"/>
      <c r="AF30" s="24"/>
      <c r="AG30" s="24"/>
      <c r="AH30" s="24"/>
      <c r="AI30" s="25"/>
      <c r="AJ30" s="34"/>
      <c r="AK30" s="24"/>
      <c r="AL30" s="35"/>
      <c r="AM30" s="28"/>
      <c r="AN30" s="21"/>
      <c r="AO30" s="21"/>
      <c r="AP30" s="22">
        <f t="shared" si="9"/>
        <v>0</v>
      </c>
      <c r="AQ30" s="33"/>
      <c r="AR30" s="24"/>
      <c r="AS30" s="24"/>
      <c r="AT30" s="24"/>
      <c r="AU30" s="25"/>
      <c r="AV30" s="34"/>
      <c r="AW30" s="24"/>
      <c r="AX30" s="35"/>
      <c r="AY30" s="28"/>
      <c r="AZ30" s="21"/>
      <c r="BA30" s="21"/>
      <c r="BB30" s="22">
        <f t="shared" si="10"/>
        <v>0</v>
      </c>
      <c r="BC30" s="33"/>
      <c r="BD30" s="24"/>
      <c r="BE30" s="24"/>
      <c r="BF30" s="24"/>
      <c r="BG30" s="25"/>
      <c r="BH30" s="34"/>
      <c r="BI30" s="24"/>
      <c r="BJ30" s="35"/>
      <c r="BK30" s="30"/>
      <c r="BL30" s="21"/>
      <c r="BM30" s="21"/>
      <c r="BN30" s="22">
        <f t="shared" si="11"/>
        <v>0</v>
      </c>
      <c r="BO30" s="33"/>
      <c r="BP30" s="24"/>
      <c r="BQ30" s="24"/>
      <c r="BR30" s="24"/>
      <c r="BS30" s="25"/>
      <c r="BT30" s="34"/>
      <c r="BU30" s="24"/>
      <c r="BV30" s="35"/>
      <c r="BW30" s="29"/>
      <c r="BX30" s="21"/>
      <c r="BY30" s="21"/>
      <c r="BZ30" s="22">
        <f t="shared" si="12"/>
        <v>0</v>
      </c>
      <c r="CA30" s="33"/>
      <c r="CB30" s="24"/>
      <c r="CC30" s="24"/>
      <c r="CD30" s="24"/>
      <c r="CE30" s="25"/>
      <c r="CF30" s="34"/>
      <c r="CG30" s="24"/>
      <c r="CH30" s="35"/>
      <c r="CI30" s="10"/>
      <c r="CJ30" s="11"/>
    </row>
    <row r="31" spans="1:88" ht="22.8" x14ac:dyDescent="0.3">
      <c r="A31" s="79"/>
      <c r="B31" s="31"/>
      <c r="C31" s="32"/>
      <c r="D31" s="21"/>
      <c r="E31" s="21"/>
      <c r="F31" s="22">
        <f t="shared" si="0"/>
        <v>0</v>
      </c>
      <c r="G31" s="33"/>
      <c r="H31" s="24"/>
      <c r="I31" s="24"/>
      <c r="J31" s="24"/>
      <c r="K31" s="25"/>
      <c r="L31" s="34"/>
      <c r="M31" s="24"/>
      <c r="N31" s="35"/>
      <c r="O31" s="29"/>
      <c r="P31" s="21"/>
      <c r="Q31" s="21"/>
      <c r="R31" s="22">
        <f t="shared" si="7"/>
        <v>0</v>
      </c>
      <c r="S31" s="33"/>
      <c r="T31" s="24"/>
      <c r="U31" s="24"/>
      <c r="V31" s="24"/>
      <c r="W31" s="25"/>
      <c r="X31" s="34"/>
      <c r="Y31" s="24"/>
      <c r="Z31" s="35"/>
      <c r="AA31" s="29"/>
      <c r="AB31" s="21"/>
      <c r="AC31" s="21"/>
      <c r="AD31" s="22">
        <f t="shared" si="8"/>
        <v>0</v>
      </c>
      <c r="AE31" s="33"/>
      <c r="AF31" s="24"/>
      <c r="AG31" s="24"/>
      <c r="AH31" s="24"/>
      <c r="AI31" s="25"/>
      <c r="AJ31" s="34"/>
      <c r="AK31" s="24"/>
      <c r="AL31" s="35"/>
      <c r="AM31" s="28"/>
      <c r="AN31" s="21"/>
      <c r="AO31" s="21"/>
      <c r="AP31" s="22">
        <f t="shared" si="9"/>
        <v>0</v>
      </c>
      <c r="AQ31" s="33"/>
      <c r="AR31" s="24"/>
      <c r="AS31" s="24"/>
      <c r="AT31" s="24"/>
      <c r="AU31" s="25"/>
      <c r="AV31" s="34"/>
      <c r="AW31" s="24"/>
      <c r="AX31" s="35"/>
      <c r="AY31" s="28"/>
      <c r="AZ31" s="21"/>
      <c r="BA31" s="21"/>
      <c r="BB31" s="22">
        <f t="shared" si="10"/>
        <v>0</v>
      </c>
      <c r="BC31" s="33"/>
      <c r="BD31" s="24"/>
      <c r="BE31" s="24"/>
      <c r="BF31" s="24"/>
      <c r="BG31" s="25"/>
      <c r="BH31" s="34"/>
      <c r="BI31" s="24"/>
      <c r="BJ31" s="35"/>
      <c r="BK31" s="30"/>
      <c r="BL31" s="21"/>
      <c r="BM31" s="21"/>
      <c r="BN31" s="22">
        <f t="shared" si="11"/>
        <v>0</v>
      </c>
      <c r="BO31" s="33"/>
      <c r="BP31" s="24"/>
      <c r="BQ31" s="24"/>
      <c r="BR31" s="24"/>
      <c r="BS31" s="25"/>
      <c r="BT31" s="34"/>
      <c r="BU31" s="24"/>
      <c r="BV31" s="35"/>
      <c r="BW31" s="29"/>
      <c r="BX31" s="21"/>
      <c r="BY31" s="21"/>
      <c r="BZ31" s="22">
        <f t="shared" si="12"/>
        <v>0</v>
      </c>
      <c r="CA31" s="33"/>
      <c r="CB31" s="24"/>
      <c r="CC31" s="24"/>
      <c r="CD31" s="24"/>
      <c r="CE31" s="25"/>
      <c r="CF31" s="34"/>
      <c r="CG31" s="24"/>
      <c r="CH31" s="35"/>
      <c r="CI31" s="12"/>
      <c r="CJ31" s="11"/>
    </row>
    <row r="32" spans="1:88" ht="22.8" x14ac:dyDescent="0.3">
      <c r="A32" s="79"/>
      <c r="B32" s="31"/>
      <c r="C32" s="32"/>
      <c r="D32" s="21"/>
      <c r="E32" s="21"/>
      <c r="F32" s="22">
        <f t="shared" si="0"/>
        <v>0</v>
      </c>
      <c r="G32" s="33"/>
      <c r="H32" s="24"/>
      <c r="I32" s="24"/>
      <c r="J32" s="24"/>
      <c r="K32" s="25"/>
      <c r="L32" s="34"/>
      <c r="M32" s="24"/>
      <c r="N32" s="35"/>
      <c r="O32" s="29"/>
      <c r="P32" s="21"/>
      <c r="Q32" s="21"/>
      <c r="R32" s="22">
        <f t="shared" si="7"/>
        <v>0</v>
      </c>
      <c r="S32" s="33"/>
      <c r="T32" s="24"/>
      <c r="U32" s="24"/>
      <c r="V32" s="24"/>
      <c r="W32" s="25"/>
      <c r="X32" s="34"/>
      <c r="Y32" s="24"/>
      <c r="Z32" s="35"/>
      <c r="AA32" s="29"/>
      <c r="AB32" s="21"/>
      <c r="AC32" s="21"/>
      <c r="AD32" s="22">
        <f t="shared" si="8"/>
        <v>0</v>
      </c>
      <c r="AE32" s="33"/>
      <c r="AF32" s="24"/>
      <c r="AG32" s="24"/>
      <c r="AH32" s="24"/>
      <c r="AI32" s="25"/>
      <c r="AJ32" s="34"/>
      <c r="AK32" s="24"/>
      <c r="AL32" s="35"/>
      <c r="AM32" s="28"/>
      <c r="AN32" s="21"/>
      <c r="AO32" s="21"/>
      <c r="AP32" s="22">
        <f t="shared" si="9"/>
        <v>0</v>
      </c>
      <c r="AQ32" s="33"/>
      <c r="AR32" s="24"/>
      <c r="AS32" s="24"/>
      <c r="AT32" s="24"/>
      <c r="AU32" s="25"/>
      <c r="AV32" s="34"/>
      <c r="AW32" s="24"/>
      <c r="AX32" s="35"/>
      <c r="AY32" s="28"/>
      <c r="AZ32" s="21"/>
      <c r="BA32" s="21"/>
      <c r="BB32" s="22">
        <f t="shared" si="10"/>
        <v>0</v>
      </c>
      <c r="BC32" s="33"/>
      <c r="BD32" s="24"/>
      <c r="BE32" s="24"/>
      <c r="BF32" s="24"/>
      <c r="BG32" s="25"/>
      <c r="BH32" s="34"/>
      <c r="BI32" s="24"/>
      <c r="BJ32" s="35"/>
      <c r="BK32" s="30"/>
      <c r="BL32" s="21"/>
      <c r="BM32" s="21"/>
      <c r="BN32" s="22">
        <f t="shared" si="11"/>
        <v>0</v>
      </c>
      <c r="BO32" s="33"/>
      <c r="BP32" s="24"/>
      <c r="BQ32" s="24"/>
      <c r="BR32" s="24"/>
      <c r="BS32" s="25"/>
      <c r="BT32" s="34"/>
      <c r="BU32" s="24"/>
      <c r="BV32" s="35"/>
      <c r="BW32" s="29"/>
      <c r="BX32" s="21"/>
      <c r="BY32" s="21"/>
      <c r="BZ32" s="22">
        <f t="shared" si="12"/>
        <v>0</v>
      </c>
      <c r="CA32" s="33"/>
      <c r="CB32" s="24"/>
      <c r="CC32" s="24"/>
      <c r="CD32" s="24"/>
      <c r="CE32" s="25"/>
      <c r="CF32" s="34"/>
      <c r="CG32" s="24"/>
      <c r="CH32" s="35"/>
      <c r="CI32" s="12"/>
      <c r="CJ32" s="11"/>
    </row>
    <row r="33" spans="1:88" ht="23.4" thickBot="1" x14ac:dyDescent="0.35">
      <c r="A33" s="79"/>
      <c r="B33" s="31"/>
      <c r="C33" s="41"/>
      <c r="D33" s="21"/>
      <c r="E33" s="21"/>
      <c r="F33" s="22">
        <f t="shared" si="0"/>
        <v>0</v>
      </c>
      <c r="G33" s="37"/>
      <c r="H33" s="24"/>
      <c r="I33" s="24"/>
      <c r="J33" s="24"/>
      <c r="K33" s="25"/>
      <c r="L33" s="38"/>
      <c r="M33" s="24"/>
      <c r="N33" s="39"/>
      <c r="O33" s="29"/>
      <c r="P33" s="21"/>
      <c r="Q33" s="21"/>
      <c r="R33" s="22">
        <f t="shared" si="7"/>
        <v>0</v>
      </c>
      <c r="S33" s="37"/>
      <c r="T33" s="24"/>
      <c r="U33" s="24"/>
      <c r="V33" s="24"/>
      <c r="W33" s="25"/>
      <c r="X33" s="38"/>
      <c r="Y33" s="24"/>
      <c r="Z33" s="39"/>
      <c r="AA33" s="29"/>
      <c r="AB33" s="21"/>
      <c r="AC33" s="21"/>
      <c r="AD33" s="22">
        <f t="shared" si="8"/>
        <v>0</v>
      </c>
      <c r="AE33" s="37"/>
      <c r="AF33" s="24"/>
      <c r="AG33" s="24"/>
      <c r="AH33" s="24"/>
      <c r="AI33" s="25"/>
      <c r="AJ33" s="38"/>
      <c r="AK33" s="24"/>
      <c r="AL33" s="39"/>
      <c r="AM33" s="28"/>
      <c r="AN33" s="21"/>
      <c r="AO33" s="21"/>
      <c r="AP33" s="22">
        <f t="shared" si="9"/>
        <v>0</v>
      </c>
      <c r="AQ33" s="37"/>
      <c r="AR33" s="24"/>
      <c r="AS33" s="24"/>
      <c r="AT33" s="24"/>
      <c r="AU33" s="25"/>
      <c r="AV33" s="38"/>
      <c r="AW33" s="24"/>
      <c r="AX33" s="39"/>
      <c r="AY33" s="28"/>
      <c r="AZ33" s="21"/>
      <c r="BA33" s="21"/>
      <c r="BB33" s="22">
        <f t="shared" si="10"/>
        <v>0</v>
      </c>
      <c r="BC33" s="37"/>
      <c r="BD33" s="24"/>
      <c r="BE33" s="24"/>
      <c r="BF33" s="24"/>
      <c r="BG33" s="25"/>
      <c r="BH33" s="38"/>
      <c r="BI33" s="24"/>
      <c r="BJ33" s="39"/>
      <c r="BK33" s="30"/>
      <c r="BL33" s="21"/>
      <c r="BM33" s="21"/>
      <c r="BN33" s="22">
        <f t="shared" si="11"/>
        <v>0</v>
      </c>
      <c r="BO33" s="37"/>
      <c r="BP33" s="24"/>
      <c r="BQ33" s="24"/>
      <c r="BR33" s="24"/>
      <c r="BS33" s="25"/>
      <c r="BT33" s="38"/>
      <c r="BU33" s="24"/>
      <c r="BV33" s="39"/>
      <c r="BW33" s="29"/>
      <c r="BX33" s="21"/>
      <c r="BY33" s="21"/>
      <c r="BZ33" s="22">
        <f t="shared" si="12"/>
        <v>0</v>
      </c>
      <c r="CA33" s="37"/>
      <c r="CB33" s="24"/>
      <c r="CC33" s="24"/>
      <c r="CD33" s="24"/>
      <c r="CE33" s="25"/>
      <c r="CF33" s="38"/>
      <c r="CG33" s="24"/>
      <c r="CH33" s="39"/>
      <c r="CI33" s="12"/>
      <c r="CJ33" s="13"/>
    </row>
    <row r="34" spans="1:88" ht="23.4" thickTop="1" x14ac:dyDescent="0.3">
      <c r="A34" s="80">
        <v>1</v>
      </c>
      <c r="B34" s="31"/>
      <c r="C34" s="20"/>
      <c r="D34" s="21"/>
      <c r="E34" s="21"/>
      <c r="F34" s="22">
        <f t="shared" si="0"/>
        <v>0</v>
      </c>
      <c r="G34" s="56" t="e">
        <f>SUM(F34:F39)/COUNT(I34:I39)</f>
        <v>#DIV/0!</v>
      </c>
      <c r="H34" s="24"/>
      <c r="I34" s="24"/>
      <c r="J34" s="24"/>
      <c r="K34" s="25"/>
      <c r="L34" s="59" t="e">
        <f>AVERAGE(J34:K39)</f>
        <v>#DIV/0!</v>
      </c>
      <c r="M34" s="24"/>
      <c r="N34" s="60" t="e">
        <f>AVERAGE(M34:M39)</f>
        <v>#DIV/0!</v>
      </c>
      <c r="O34" s="29"/>
      <c r="P34" s="21"/>
      <c r="Q34" s="21"/>
      <c r="R34" s="22">
        <f t="shared" ref="R34:R45" si="13">Q34-P34</f>
        <v>0</v>
      </c>
      <c r="S34" s="56" t="e">
        <f>SUM(R34:R39)/COUNT(U34:U39)</f>
        <v>#DIV/0!</v>
      </c>
      <c r="T34" s="24"/>
      <c r="U34" s="24"/>
      <c r="V34" s="24"/>
      <c r="W34" s="25"/>
      <c r="X34" s="59" t="e">
        <f>AVERAGE(V34:W39)</f>
        <v>#DIV/0!</v>
      </c>
      <c r="Y34" s="24"/>
      <c r="Z34" s="60" t="e">
        <f>AVERAGE(Y34:Y39)</f>
        <v>#DIV/0!</v>
      </c>
      <c r="AA34" s="29"/>
      <c r="AB34" s="21"/>
      <c r="AC34" s="21"/>
      <c r="AD34" s="22">
        <f t="shared" si="8"/>
        <v>0</v>
      </c>
      <c r="AE34" s="56" t="e">
        <f>SUM(AD34:AD39)/COUNT(AG34:AG39)</f>
        <v>#DIV/0!</v>
      </c>
      <c r="AF34" s="24"/>
      <c r="AG34" s="24"/>
      <c r="AH34" s="24"/>
      <c r="AI34" s="25"/>
      <c r="AJ34" s="59" t="e">
        <f>AVERAGE(AH34:AI39)</f>
        <v>#DIV/0!</v>
      </c>
      <c r="AK34" s="24"/>
      <c r="AL34" s="60" t="e">
        <f>AVERAGE(AK34:AK39)</f>
        <v>#DIV/0!</v>
      </c>
      <c r="AM34" s="28"/>
      <c r="AN34" s="21"/>
      <c r="AO34" s="21"/>
      <c r="AP34" s="22">
        <f t="shared" si="9"/>
        <v>0</v>
      </c>
      <c r="AQ34" s="56" t="e">
        <f>SUM(AP34:AP39)/COUNT(AS34:AS39)</f>
        <v>#DIV/0!</v>
      </c>
      <c r="AR34" s="24"/>
      <c r="AS34" s="24"/>
      <c r="AT34" s="24"/>
      <c r="AU34" s="25"/>
      <c r="AV34" s="59" t="e">
        <f>AVERAGE(AT34:AU39)</f>
        <v>#DIV/0!</v>
      </c>
      <c r="AW34" s="24"/>
      <c r="AX34" s="60" t="e">
        <f>AVERAGE(AW34:AW39)</f>
        <v>#DIV/0!</v>
      </c>
      <c r="AY34" s="28"/>
      <c r="AZ34" s="21"/>
      <c r="BA34" s="21"/>
      <c r="BB34" s="22">
        <f t="shared" si="10"/>
        <v>0</v>
      </c>
      <c r="BC34" s="56" t="e">
        <f>SUM(BB34:BB39)/COUNT(BE34:BE39)</f>
        <v>#DIV/0!</v>
      </c>
      <c r="BD34" s="24"/>
      <c r="BE34" s="24"/>
      <c r="BF34" s="24"/>
      <c r="BG34" s="25"/>
      <c r="BH34" s="59" t="e">
        <f>AVERAGE(BF34:BG39)</f>
        <v>#DIV/0!</v>
      </c>
      <c r="BI34" s="24"/>
      <c r="BJ34" s="60" t="e">
        <f>AVERAGE(BI34:BI39)</f>
        <v>#DIV/0!</v>
      </c>
      <c r="BK34" s="30"/>
      <c r="BL34" s="21"/>
      <c r="BM34" s="21"/>
      <c r="BN34" s="22">
        <f t="shared" si="11"/>
        <v>0</v>
      </c>
      <c r="BO34" s="56" t="e">
        <f>SUM(BN34:BN39)/COUNT(BQ34:BQ39)</f>
        <v>#DIV/0!</v>
      </c>
      <c r="BP34" s="24"/>
      <c r="BQ34" s="24"/>
      <c r="BR34" s="24"/>
      <c r="BS34" s="25"/>
      <c r="BT34" s="59" t="e">
        <f>AVERAGE(BR34:BS39)</f>
        <v>#DIV/0!</v>
      </c>
      <c r="BU34" s="24"/>
      <c r="BV34" s="60" t="e">
        <f>AVERAGE(BU34:BU39)</f>
        <v>#DIV/0!</v>
      </c>
      <c r="BW34" s="29"/>
      <c r="BX34" s="21"/>
      <c r="BY34" s="21"/>
      <c r="BZ34" s="22">
        <f t="shared" si="12"/>
        <v>0</v>
      </c>
      <c r="CA34" s="56" t="e">
        <f>SUM(BZ34:BZ39)/COUNT(CC34:CC39)</f>
        <v>#DIV/0!</v>
      </c>
      <c r="CB34" s="24"/>
      <c r="CC34" s="24"/>
      <c r="CD34" s="24"/>
      <c r="CE34" s="25"/>
      <c r="CF34" s="59" t="e">
        <f>AVERAGE(CD34:CE39)</f>
        <v>#DIV/0!</v>
      </c>
      <c r="CG34" s="24"/>
      <c r="CH34" s="60" t="e">
        <f>AVERAGE(CG34:CG39)</f>
        <v>#DIV/0!</v>
      </c>
      <c r="CI34" s="12"/>
      <c r="CJ34" s="9">
        <f>COUNT(I34:I39,U34:U39,AG34:AG39,AS34:AS39,BE34:BE39,BQ34:BQ39,CC34:CC39)</f>
        <v>0</v>
      </c>
    </row>
    <row r="35" spans="1:88" ht="22.8" x14ac:dyDescent="0.3">
      <c r="A35" s="80"/>
      <c r="B35" s="31"/>
      <c r="C35" s="32"/>
      <c r="D35" s="21"/>
      <c r="E35" s="21"/>
      <c r="F35" s="22">
        <f t="shared" si="0"/>
        <v>0</v>
      </c>
      <c r="G35" s="33"/>
      <c r="H35" s="24"/>
      <c r="I35" s="24"/>
      <c r="J35" s="24"/>
      <c r="K35" s="25"/>
      <c r="L35" s="34"/>
      <c r="M35" s="24"/>
      <c r="N35" s="35"/>
      <c r="O35" s="29"/>
      <c r="P35" s="21"/>
      <c r="Q35" s="21"/>
      <c r="R35" s="22">
        <f t="shared" si="13"/>
        <v>0</v>
      </c>
      <c r="S35" s="33"/>
      <c r="T35" s="24"/>
      <c r="U35" s="24"/>
      <c r="V35" s="24"/>
      <c r="W35" s="25"/>
      <c r="X35" s="34"/>
      <c r="Y35" s="24"/>
      <c r="Z35" s="35"/>
      <c r="AA35" s="29"/>
      <c r="AB35" s="21"/>
      <c r="AC35" s="21"/>
      <c r="AD35" s="22">
        <f t="shared" si="8"/>
        <v>0</v>
      </c>
      <c r="AE35" s="33"/>
      <c r="AF35" s="24"/>
      <c r="AG35" s="24"/>
      <c r="AH35" s="24"/>
      <c r="AI35" s="25"/>
      <c r="AJ35" s="34"/>
      <c r="AK35" s="24"/>
      <c r="AL35" s="35"/>
      <c r="AM35" s="28"/>
      <c r="AN35" s="21"/>
      <c r="AO35" s="21"/>
      <c r="AP35" s="22">
        <f t="shared" si="9"/>
        <v>0</v>
      </c>
      <c r="AQ35" s="33"/>
      <c r="AR35" s="24"/>
      <c r="AS35" s="24"/>
      <c r="AT35" s="24"/>
      <c r="AU35" s="25"/>
      <c r="AV35" s="34"/>
      <c r="AW35" s="24"/>
      <c r="AX35" s="35"/>
      <c r="AY35" s="28"/>
      <c r="AZ35" s="21"/>
      <c r="BA35" s="21"/>
      <c r="BB35" s="22">
        <f t="shared" si="10"/>
        <v>0</v>
      </c>
      <c r="BC35" s="33"/>
      <c r="BD35" s="24"/>
      <c r="BE35" s="24"/>
      <c r="BF35" s="24"/>
      <c r="BG35" s="25"/>
      <c r="BH35" s="34"/>
      <c r="BI35" s="24"/>
      <c r="BJ35" s="35"/>
      <c r="BK35" s="30"/>
      <c r="BL35" s="21"/>
      <c r="BM35" s="21"/>
      <c r="BN35" s="22">
        <f t="shared" si="11"/>
        <v>0</v>
      </c>
      <c r="BO35" s="33"/>
      <c r="BP35" s="24"/>
      <c r="BQ35" s="24"/>
      <c r="BR35" s="24"/>
      <c r="BS35" s="25"/>
      <c r="BT35" s="34"/>
      <c r="BU35" s="24"/>
      <c r="BV35" s="35"/>
      <c r="BW35" s="29"/>
      <c r="BX35" s="21"/>
      <c r="BY35" s="21"/>
      <c r="BZ35" s="22">
        <f t="shared" si="12"/>
        <v>0</v>
      </c>
      <c r="CA35" s="33"/>
      <c r="CB35" s="24"/>
      <c r="CC35" s="24"/>
      <c r="CD35" s="24"/>
      <c r="CE35" s="25"/>
      <c r="CF35" s="34"/>
      <c r="CG35" s="24"/>
      <c r="CH35" s="35"/>
      <c r="CI35" s="10" t="e">
        <f>MIN(BC34,BO34,AQ34,AE34,S34,G34,CA34)</f>
        <v>#DIV/0!</v>
      </c>
      <c r="CJ35" s="11"/>
    </row>
    <row r="36" spans="1:88" ht="22.8" x14ac:dyDescent="0.3">
      <c r="A36" s="80"/>
      <c r="B36" s="31"/>
      <c r="C36" s="32"/>
      <c r="D36" s="21"/>
      <c r="E36" s="21"/>
      <c r="F36" s="22">
        <f t="shared" si="0"/>
        <v>0</v>
      </c>
      <c r="G36" s="33"/>
      <c r="H36" s="24"/>
      <c r="I36" s="24"/>
      <c r="J36" s="24"/>
      <c r="K36" s="25"/>
      <c r="L36" s="34"/>
      <c r="M36" s="24"/>
      <c r="N36" s="35"/>
      <c r="O36" s="29"/>
      <c r="P36" s="21"/>
      <c r="Q36" s="21"/>
      <c r="R36" s="22">
        <f t="shared" si="13"/>
        <v>0</v>
      </c>
      <c r="S36" s="33"/>
      <c r="T36" s="24"/>
      <c r="U36" s="24"/>
      <c r="V36" s="24"/>
      <c r="W36" s="25"/>
      <c r="X36" s="34"/>
      <c r="Y36" s="24"/>
      <c r="Z36" s="35"/>
      <c r="AA36" s="29"/>
      <c r="AB36" s="21"/>
      <c r="AC36" s="21"/>
      <c r="AD36" s="22">
        <f t="shared" si="8"/>
        <v>0</v>
      </c>
      <c r="AE36" s="33"/>
      <c r="AF36" s="24"/>
      <c r="AG36" s="24"/>
      <c r="AH36" s="24"/>
      <c r="AI36" s="25"/>
      <c r="AJ36" s="34"/>
      <c r="AK36" s="24"/>
      <c r="AL36" s="35"/>
      <c r="AM36" s="28"/>
      <c r="AN36" s="21"/>
      <c r="AO36" s="21"/>
      <c r="AP36" s="22">
        <f t="shared" si="9"/>
        <v>0</v>
      </c>
      <c r="AQ36" s="33"/>
      <c r="AR36" s="24"/>
      <c r="AS36" s="24"/>
      <c r="AT36" s="24"/>
      <c r="AU36" s="25"/>
      <c r="AV36" s="34"/>
      <c r="AW36" s="24"/>
      <c r="AX36" s="35"/>
      <c r="AY36" s="28"/>
      <c r="AZ36" s="21"/>
      <c r="BA36" s="21"/>
      <c r="BB36" s="22">
        <f t="shared" si="10"/>
        <v>0</v>
      </c>
      <c r="BC36" s="33"/>
      <c r="BD36" s="24"/>
      <c r="BE36" s="24"/>
      <c r="BF36" s="24"/>
      <c r="BG36" s="25"/>
      <c r="BH36" s="34"/>
      <c r="BI36" s="24"/>
      <c r="BJ36" s="35"/>
      <c r="BK36" s="30"/>
      <c r="BL36" s="21"/>
      <c r="BM36" s="21"/>
      <c r="BN36" s="22">
        <f t="shared" si="11"/>
        <v>0</v>
      </c>
      <c r="BO36" s="33"/>
      <c r="BP36" s="24"/>
      <c r="BQ36" s="24"/>
      <c r="BR36" s="24"/>
      <c r="BS36" s="25"/>
      <c r="BT36" s="34"/>
      <c r="BU36" s="24"/>
      <c r="BV36" s="35"/>
      <c r="BW36" s="29"/>
      <c r="BX36" s="21"/>
      <c r="BY36" s="21"/>
      <c r="BZ36" s="22">
        <f t="shared" si="12"/>
        <v>0</v>
      </c>
      <c r="CA36" s="33"/>
      <c r="CB36" s="24"/>
      <c r="CC36" s="24"/>
      <c r="CD36" s="24"/>
      <c r="CE36" s="25"/>
      <c r="CF36" s="34"/>
      <c r="CG36" s="24"/>
      <c r="CH36" s="35"/>
      <c r="CI36" s="10"/>
      <c r="CJ36" s="11"/>
    </row>
    <row r="37" spans="1:88" ht="22.8" x14ac:dyDescent="0.3">
      <c r="A37" s="80"/>
      <c r="B37" s="31"/>
      <c r="C37" s="32"/>
      <c r="D37" s="21"/>
      <c r="E37" s="21"/>
      <c r="F37" s="22">
        <f t="shared" si="0"/>
        <v>0</v>
      </c>
      <c r="G37" s="33"/>
      <c r="H37" s="24"/>
      <c r="I37" s="24"/>
      <c r="J37" s="24"/>
      <c r="K37" s="25"/>
      <c r="L37" s="34"/>
      <c r="M37" s="24"/>
      <c r="N37" s="35"/>
      <c r="O37" s="29"/>
      <c r="P37" s="21"/>
      <c r="Q37" s="21"/>
      <c r="R37" s="22">
        <f t="shared" si="13"/>
        <v>0</v>
      </c>
      <c r="S37" s="33"/>
      <c r="T37" s="24"/>
      <c r="U37" s="24"/>
      <c r="V37" s="24"/>
      <c r="W37" s="25"/>
      <c r="X37" s="34"/>
      <c r="Y37" s="24"/>
      <c r="Z37" s="35"/>
      <c r="AA37" s="29"/>
      <c r="AB37" s="21"/>
      <c r="AC37" s="21"/>
      <c r="AD37" s="22">
        <f t="shared" si="8"/>
        <v>0</v>
      </c>
      <c r="AE37" s="33"/>
      <c r="AF37" s="24"/>
      <c r="AG37" s="24"/>
      <c r="AH37" s="24"/>
      <c r="AI37" s="25"/>
      <c r="AJ37" s="34"/>
      <c r="AK37" s="24"/>
      <c r="AL37" s="35"/>
      <c r="AM37" s="28"/>
      <c r="AN37" s="21"/>
      <c r="AO37" s="21"/>
      <c r="AP37" s="22">
        <f t="shared" si="9"/>
        <v>0</v>
      </c>
      <c r="AQ37" s="33"/>
      <c r="AR37" s="24"/>
      <c r="AS37" s="24"/>
      <c r="AT37" s="24"/>
      <c r="AU37" s="25"/>
      <c r="AV37" s="34"/>
      <c r="AW37" s="24"/>
      <c r="AX37" s="35"/>
      <c r="AY37" s="28"/>
      <c r="AZ37" s="21"/>
      <c r="BA37" s="21"/>
      <c r="BB37" s="22">
        <f t="shared" si="10"/>
        <v>0</v>
      </c>
      <c r="BC37" s="33"/>
      <c r="BD37" s="24"/>
      <c r="BE37" s="24"/>
      <c r="BF37" s="24"/>
      <c r="BG37" s="25"/>
      <c r="BH37" s="34"/>
      <c r="BI37" s="24"/>
      <c r="BJ37" s="35"/>
      <c r="BK37" s="30"/>
      <c r="BL37" s="21"/>
      <c r="BM37" s="21"/>
      <c r="BN37" s="22">
        <f t="shared" si="11"/>
        <v>0</v>
      </c>
      <c r="BO37" s="33"/>
      <c r="BP37" s="24"/>
      <c r="BQ37" s="24"/>
      <c r="BR37" s="24"/>
      <c r="BS37" s="25"/>
      <c r="BT37" s="34"/>
      <c r="BU37" s="24"/>
      <c r="BV37" s="35"/>
      <c r="BW37" s="29"/>
      <c r="BX37" s="21"/>
      <c r="BY37" s="21"/>
      <c r="BZ37" s="22">
        <f t="shared" si="12"/>
        <v>0</v>
      </c>
      <c r="CA37" s="33"/>
      <c r="CB37" s="24"/>
      <c r="CC37" s="24"/>
      <c r="CD37" s="24"/>
      <c r="CE37" s="25"/>
      <c r="CF37" s="34"/>
      <c r="CG37" s="24"/>
      <c r="CH37" s="35"/>
      <c r="CI37" s="12"/>
      <c r="CJ37" s="11"/>
    </row>
    <row r="38" spans="1:88" ht="22.8" x14ac:dyDescent="0.3">
      <c r="A38" s="80"/>
      <c r="B38" s="31"/>
      <c r="C38" s="32"/>
      <c r="D38" s="21"/>
      <c r="E38" s="21"/>
      <c r="F38" s="22">
        <f t="shared" si="0"/>
        <v>0</v>
      </c>
      <c r="G38" s="33"/>
      <c r="H38" s="24"/>
      <c r="I38" s="24"/>
      <c r="J38" s="24"/>
      <c r="K38" s="25"/>
      <c r="L38" s="34"/>
      <c r="M38" s="24"/>
      <c r="N38" s="35"/>
      <c r="O38" s="29"/>
      <c r="P38" s="21"/>
      <c r="Q38" s="21"/>
      <c r="R38" s="22">
        <f t="shared" si="13"/>
        <v>0</v>
      </c>
      <c r="S38" s="33"/>
      <c r="T38" s="24"/>
      <c r="U38" s="24"/>
      <c r="V38" s="24"/>
      <c r="W38" s="25"/>
      <c r="X38" s="34"/>
      <c r="Y38" s="24"/>
      <c r="Z38" s="35"/>
      <c r="AA38" s="29"/>
      <c r="AB38" s="21"/>
      <c r="AC38" s="21"/>
      <c r="AD38" s="22">
        <f t="shared" si="8"/>
        <v>0</v>
      </c>
      <c r="AE38" s="33"/>
      <c r="AF38" s="24"/>
      <c r="AG38" s="24"/>
      <c r="AH38" s="24"/>
      <c r="AI38" s="25"/>
      <c r="AJ38" s="34"/>
      <c r="AK38" s="24"/>
      <c r="AL38" s="35"/>
      <c r="AM38" s="28"/>
      <c r="AN38" s="21"/>
      <c r="AO38" s="21"/>
      <c r="AP38" s="22">
        <f t="shared" si="9"/>
        <v>0</v>
      </c>
      <c r="AQ38" s="33"/>
      <c r="AR38" s="24"/>
      <c r="AS38" s="24"/>
      <c r="AT38" s="24"/>
      <c r="AU38" s="25"/>
      <c r="AV38" s="34"/>
      <c r="AW38" s="24"/>
      <c r="AX38" s="35"/>
      <c r="AY38" s="28"/>
      <c r="AZ38" s="21"/>
      <c r="BA38" s="21"/>
      <c r="BB38" s="22">
        <f t="shared" si="10"/>
        <v>0</v>
      </c>
      <c r="BC38" s="33"/>
      <c r="BD38" s="24"/>
      <c r="BE38" s="24"/>
      <c r="BF38" s="24"/>
      <c r="BG38" s="25"/>
      <c r="BH38" s="34"/>
      <c r="BI38" s="24"/>
      <c r="BJ38" s="35"/>
      <c r="BK38" s="30"/>
      <c r="BL38" s="21"/>
      <c r="BM38" s="21"/>
      <c r="BN38" s="22">
        <f t="shared" si="11"/>
        <v>0</v>
      </c>
      <c r="BO38" s="33"/>
      <c r="BP38" s="24"/>
      <c r="BQ38" s="24"/>
      <c r="BR38" s="24"/>
      <c r="BS38" s="25"/>
      <c r="BT38" s="34"/>
      <c r="BU38" s="24"/>
      <c r="BV38" s="35"/>
      <c r="BW38" s="29"/>
      <c r="BX38" s="21"/>
      <c r="BY38" s="21"/>
      <c r="BZ38" s="22">
        <f t="shared" si="12"/>
        <v>0</v>
      </c>
      <c r="CA38" s="33"/>
      <c r="CB38" s="24"/>
      <c r="CC38" s="24"/>
      <c r="CD38" s="24"/>
      <c r="CE38" s="25"/>
      <c r="CF38" s="34"/>
      <c r="CG38" s="24"/>
      <c r="CH38" s="35"/>
      <c r="CI38" s="12"/>
      <c r="CJ38" s="11"/>
    </row>
    <row r="39" spans="1:88" ht="23.4" thickBot="1" x14ac:dyDescent="0.35">
      <c r="A39" s="80"/>
      <c r="B39" s="40"/>
      <c r="C39" s="41"/>
      <c r="D39" s="21"/>
      <c r="E39" s="21"/>
      <c r="F39" s="22">
        <f t="shared" si="0"/>
        <v>0</v>
      </c>
      <c r="G39" s="37"/>
      <c r="H39" s="24"/>
      <c r="I39" s="24"/>
      <c r="J39" s="24"/>
      <c r="K39" s="25"/>
      <c r="L39" s="38"/>
      <c r="M39" s="24"/>
      <c r="N39" s="39"/>
      <c r="O39" s="29"/>
      <c r="P39" s="21"/>
      <c r="Q39" s="21"/>
      <c r="R39" s="22">
        <f t="shared" si="13"/>
        <v>0</v>
      </c>
      <c r="S39" s="37"/>
      <c r="T39" s="24"/>
      <c r="U39" s="24"/>
      <c r="V39" s="24"/>
      <c r="W39" s="25"/>
      <c r="X39" s="38"/>
      <c r="Y39" s="24"/>
      <c r="Z39" s="39"/>
      <c r="AA39" s="29"/>
      <c r="AB39" s="21"/>
      <c r="AC39" s="21"/>
      <c r="AD39" s="22">
        <f t="shared" si="8"/>
        <v>0</v>
      </c>
      <c r="AE39" s="37"/>
      <c r="AF39" s="24"/>
      <c r="AG39" s="24"/>
      <c r="AH39" s="24"/>
      <c r="AI39" s="25"/>
      <c r="AJ39" s="38"/>
      <c r="AK39" s="24"/>
      <c r="AL39" s="39"/>
      <c r="AM39" s="28"/>
      <c r="AN39" s="21"/>
      <c r="AO39" s="21"/>
      <c r="AP39" s="22">
        <f t="shared" si="9"/>
        <v>0</v>
      </c>
      <c r="AQ39" s="37"/>
      <c r="AR39" s="24"/>
      <c r="AS39" s="24"/>
      <c r="AT39" s="24"/>
      <c r="AU39" s="25"/>
      <c r="AV39" s="38"/>
      <c r="AW39" s="24"/>
      <c r="AX39" s="39"/>
      <c r="AY39" s="28"/>
      <c r="AZ39" s="21"/>
      <c r="BA39" s="21"/>
      <c r="BB39" s="22">
        <f t="shared" si="10"/>
        <v>0</v>
      </c>
      <c r="BC39" s="37"/>
      <c r="BD39" s="24"/>
      <c r="BE39" s="24"/>
      <c r="BF39" s="24"/>
      <c r="BG39" s="25"/>
      <c r="BH39" s="38"/>
      <c r="BI39" s="24"/>
      <c r="BJ39" s="39"/>
      <c r="BK39" s="30"/>
      <c r="BL39" s="21"/>
      <c r="BM39" s="21"/>
      <c r="BN39" s="22">
        <f t="shared" si="11"/>
        <v>0</v>
      </c>
      <c r="BO39" s="37"/>
      <c r="BP39" s="24"/>
      <c r="BQ39" s="24"/>
      <c r="BR39" s="24"/>
      <c r="BS39" s="25"/>
      <c r="BT39" s="38"/>
      <c r="BU39" s="24"/>
      <c r="BV39" s="39"/>
      <c r="BW39" s="29"/>
      <c r="BX39" s="21"/>
      <c r="BY39" s="21"/>
      <c r="BZ39" s="22">
        <f t="shared" si="12"/>
        <v>0</v>
      </c>
      <c r="CA39" s="37"/>
      <c r="CB39" s="24"/>
      <c r="CC39" s="24"/>
      <c r="CD39" s="24"/>
      <c r="CE39" s="25"/>
      <c r="CF39" s="38"/>
      <c r="CG39" s="24"/>
      <c r="CH39" s="39"/>
      <c r="CI39" s="12"/>
      <c r="CJ39" s="13"/>
    </row>
    <row r="40" spans="1:88" ht="23.4" thickTop="1" x14ac:dyDescent="0.3">
      <c r="A40" s="81"/>
      <c r="B40" s="107" t="s">
        <v>21</v>
      </c>
      <c r="C40" s="65"/>
      <c r="D40" s="66"/>
      <c r="E40" s="67"/>
      <c r="F40" s="68">
        <f t="shared" si="0"/>
        <v>0</v>
      </c>
      <c r="G40" s="56" t="e">
        <f>SUM(F40:F45)/COUNT(I40:I45)</f>
        <v>#DIV/0!</v>
      </c>
      <c r="H40" s="69"/>
      <c r="I40" s="69"/>
      <c r="J40" s="69"/>
      <c r="K40" s="70"/>
      <c r="L40" s="59" t="e">
        <f>AVERAGE(J40:K45)</f>
        <v>#DIV/0!</v>
      </c>
      <c r="M40" s="69"/>
      <c r="N40" s="60" t="e">
        <f>AVERAGE(M40:M45)</f>
        <v>#DIV/0!</v>
      </c>
      <c r="O40" s="71"/>
      <c r="P40" s="66"/>
      <c r="Q40" s="67"/>
      <c r="R40" s="68">
        <f t="shared" si="13"/>
        <v>0</v>
      </c>
      <c r="S40" s="56" t="e">
        <f>SUM(R40:R45)/COUNT(U40:U45)</f>
        <v>#DIV/0!</v>
      </c>
      <c r="T40" s="69"/>
      <c r="U40" s="69"/>
      <c r="V40" s="69"/>
      <c r="W40" s="70"/>
      <c r="X40" s="59" t="e">
        <f>AVERAGE(V40:W45)</f>
        <v>#DIV/0!</v>
      </c>
      <c r="Y40" s="69"/>
      <c r="Z40" s="60" t="e">
        <f>AVERAGE(Y40:Y45)</f>
        <v>#DIV/0!</v>
      </c>
      <c r="AA40" s="72"/>
      <c r="AB40" s="66"/>
      <c r="AC40" s="67"/>
      <c r="AD40" s="68">
        <f t="shared" si="8"/>
        <v>0</v>
      </c>
      <c r="AE40" s="56" t="e">
        <f>SUM(AD40:AD45)/COUNT(AG40:AG45)</f>
        <v>#DIV/0!</v>
      </c>
      <c r="AF40" s="69"/>
      <c r="AG40" s="69"/>
      <c r="AH40" s="69"/>
      <c r="AI40" s="70"/>
      <c r="AJ40" s="59" t="e">
        <f>AVERAGE(AH40:AI45)</f>
        <v>#DIV/0!</v>
      </c>
      <c r="AK40" s="69"/>
      <c r="AL40" s="60" t="e">
        <f>AVERAGE(AK40:AK45)</f>
        <v>#DIV/0!</v>
      </c>
      <c r="AM40" s="73"/>
      <c r="AN40" s="66"/>
      <c r="AO40" s="67"/>
      <c r="AP40" s="68">
        <f t="shared" si="9"/>
        <v>0</v>
      </c>
      <c r="AQ40" s="56" t="e">
        <f>SUM(AP40:AP45)/COUNT(AS40:AS45)</f>
        <v>#DIV/0!</v>
      </c>
      <c r="AR40" s="69"/>
      <c r="AS40" s="69"/>
      <c r="AT40" s="69"/>
      <c r="AU40" s="70"/>
      <c r="AV40" s="59" t="e">
        <f>AVERAGE(AT40:AU45)</f>
        <v>#DIV/0!</v>
      </c>
      <c r="AW40" s="69"/>
      <c r="AX40" s="60" t="e">
        <f>AVERAGE(AW40:AW45)</f>
        <v>#DIV/0!</v>
      </c>
      <c r="AY40" s="73"/>
      <c r="AZ40" s="66"/>
      <c r="BA40" s="67"/>
      <c r="BB40" s="68">
        <f t="shared" si="10"/>
        <v>0</v>
      </c>
      <c r="BC40" s="56" t="e">
        <f>SUM(BB40:BB45)/COUNT(BE40:BE45)</f>
        <v>#DIV/0!</v>
      </c>
      <c r="BD40" s="69"/>
      <c r="BE40" s="69"/>
      <c r="BF40" s="69"/>
      <c r="BG40" s="70"/>
      <c r="BH40" s="59" t="e">
        <f>AVERAGE(BF40:BG45)</f>
        <v>#DIV/0!</v>
      </c>
      <c r="BI40" s="69"/>
      <c r="BJ40" s="60" t="e">
        <f>AVERAGE(BI40:BI45)</f>
        <v>#DIV/0!</v>
      </c>
      <c r="BK40" s="71"/>
      <c r="BL40" s="66"/>
      <c r="BM40" s="67"/>
      <c r="BN40" s="68">
        <f t="shared" si="11"/>
        <v>0</v>
      </c>
      <c r="BO40" s="56" t="e">
        <f>SUM(BN40:BN45)/COUNT(BQ40:BQ45)</f>
        <v>#DIV/0!</v>
      </c>
      <c r="BP40" s="69"/>
      <c r="BQ40" s="69"/>
      <c r="BR40" s="69"/>
      <c r="BS40" s="70"/>
      <c r="BT40" s="59" t="e">
        <f>AVERAGE(BR40:BS45)</f>
        <v>#DIV/0!</v>
      </c>
      <c r="BU40" s="69"/>
      <c r="BV40" s="60" t="e">
        <f>AVERAGE(BU40:BU45)</f>
        <v>#DIV/0!</v>
      </c>
      <c r="BW40" s="72"/>
      <c r="BX40" s="66"/>
      <c r="BY40" s="67"/>
      <c r="BZ40" s="68">
        <f t="shared" si="12"/>
        <v>0</v>
      </c>
      <c r="CA40" s="56" t="e">
        <f>SUM(BZ40:BZ45)/COUNT(CC40:CC45)</f>
        <v>#DIV/0!</v>
      </c>
      <c r="CB40" s="69"/>
      <c r="CC40" s="69"/>
      <c r="CD40" s="69"/>
      <c r="CE40" s="70"/>
      <c r="CF40" s="59" t="e">
        <f>AVERAGE(CD40:CE45)</f>
        <v>#DIV/0!</v>
      </c>
      <c r="CG40" s="69"/>
      <c r="CH40" s="60" t="e">
        <f>AVERAGE(CG40:CG45)</f>
        <v>#DIV/0!</v>
      </c>
      <c r="CI40" s="12"/>
      <c r="CJ40" s="9">
        <f>COUNT(I40:I45,U40:U45,AG40:AG45,AS40:AS45,BE40:BE45,BQ40:BQ45,CC40:CC45)</f>
        <v>0</v>
      </c>
    </row>
    <row r="41" spans="1:88" ht="22.8" x14ac:dyDescent="0.3">
      <c r="A41" s="81"/>
      <c r="B41" s="108"/>
      <c r="C41" s="74"/>
      <c r="D41" s="75"/>
      <c r="E41" s="21"/>
      <c r="F41" s="22">
        <f t="shared" si="0"/>
        <v>0</v>
      </c>
      <c r="G41" s="33"/>
      <c r="H41" s="24"/>
      <c r="I41" s="24"/>
      <c r="J41" s="24"/>
      <c r="K41" s="25"/>
      <c r="L41" s="34"/>
      <c r="M41" s="24"/>
      <c r="N41" s="35"/>
      <c r="O41" s="30"/>
      <c r="P41" s="75"/>
      <c r="Q41" s="21"/>
      <c r="R41" s="22">
        <f t="shared" si="13"/>
        <v>0</v>
      </c>
      <c r="S41" s="33"/>
      <c r="T41" s="24"/>
      <c r="U41" s="24"/>
      <c r="V41" s="24"/>
      <c r="W41" s="25"/>
      <c r="X41" s="34"/>
      <c r="Y41" s="24"/>
      <c r="Z41" s="35"/>
      <c r="AA41" s="29"/>
      <c r="AB41" s="75"/>
      <c r="AC41" s="21"/>
      <c r="AD41" s="22">
        <f t="shared" si="8"/>
        <v>0</v>
      </c>
      <c r="AE41" s="33"/>
      <c r="AF41" s="24"/>
      <c r="AG41" s="24"/>
      <c r="AH41" s="24"/>
      <c r="AI41" s="25"/>
      <c r="AJ41" s="34"/>
      <c r="AK41" s="24"/>
      <c r="AL41" s="35"/>
      <c r="AM41" s="28"/>
      <c r="AN41" s="75"/>
      <c r="AO41" s="21"/>
      <c r="AP41" s="22">
        <f t="shared" si="9"/>
        <v>0</v>
      </c>
      <c r="AQ41" s="33"/>
      <c r="AR41" s="24"/>
      <c r="AS41" s="24"/>
      <c r="AT41" s="24"/>
      <c r="AU41" s="25"/>
      <c r="AV41" s="34"/>
      <c r="AW41" s="24"/>
      <c r="AX41" s="35"/>
      <c r="AY41" s="28"/>
      <c r="AZ41" s="75"/>
      <c r="BA41" s="21"/>
      <c r="BB41" s="22">
        <f t="shared" si="10"/>
        <v>0</v>
      </c>
      <c r="BC41" s="33"/>
      <c r="BD41" s="24"/>
      <c r="BE41" s="24"/>
      <c r="BF41" s="24"/>
      <c r="BG41" s="25"/>
      <c r="BH41" s="34"/>
      <c r="BI41" s="24"/>
      <c r="BJ41" s="35"/>
      <c r="BK41" s="30"/>
      <c r="BL41" s="75"/>
      <c r="BM41" s="21"/>
      <c r="BN41" s="22">
        <f t="shared" si="11"/>
        <v>0</v>
      </c>
      <c r="BO41" s="33"/>
      <c r="BP41" s="24"/>
      <c r="BQ41" s="24"/>
      <c r="BR41" s="24"/>
      <c r="BS41" s="25"/>
      <c r="BT41" s="34"/>
      <c r="BU41" s="24"/>
      <c r="BV41" s="35"/>
      <c r="BW41" s="29"/>
      <c r="BX41" s="75"/>
      <c r="BY41" s="21"/>
      <c r="BZ41" s="22">
        <f t="shared" si="12"/>
        <v>0</v>
      </c>
      <c r="CA41" s="33"/>
      <c r="CB41" s="24"/>
      <c r="CC41" s="24"/>
      <c r="CD41" s="24"/>
      <c r="CE41" s="25"/>
      <c r="CF41" s="34"/>
      <c r="CG41" s="24"/>
      <c r="CH41" s="35"/>
      <c r="CI41" s="10" t="e">
        <f>MIN(BC40,BO40,AQ40,AE40,S40,G40,CA40)</f>
        <v>#DIV/0!</v>
      </c>
      <c r="CJ41" s="11"/>
    </row>
    <row r="42" spans="1:88" ht="22.8" x14ac:dyDescent="0.3">
      <c r="A42" s="81"/>
      <c r="B42" s="108"/>
      <c r="C42" s="74"/>
      <c r="D42" s="75"/>
      <c r="E42" s="21"/>
      <c r="F42" s="22">
        <f t="shared" si="0"/>
        <v>0</v>
      </c>
      <c r="G42" s="33"/>
      <c r="H42" s="24"/>
      <c r="I42" s="24"/>
      <c r="J42" s="24"/>
      <c r="K42" s="25"/>
      <c r="L42" s="34"/>
      <c r="M42" s="24"/>
      <c r="N42" s="35"/>
      <c r="O42" s="30"/>
      <c r="P42" s="75"/>
      <c r="Q42" s="21"/>
      <c r="R42" s="22">
        <f t="shared" si="13"/>
        <v>0</v>
      </c>
      <c r="S42" s="33"/>
      <c r="T42" s="24"/>
      <c r="U42" s="24"/>
      <c r="V42" s="24"/>
      <c r="W42" s="25"/>
      <c r="X42" s="34"/>
      <c r="Y42" s="24"/>
      <c r="Z42" s="35"/>
      <c r="AA42" s="29"/>
      <c r="AB42" s="75"/>
      <c r="AC42" s="21"/>
      <c r="AD42" s="22">
        <f t="shared" si="8"/>
        <v>0</v>
      </c>
      <c r="AE42" s="33"/>
      <c r="AF42" s="24"/>
      <c r="AG42" s="24"/>
      <c r="AH42" s="24"/>
      <c r="AI42" s="25"/>
      <c r="AJ42" s="34"/>
      <c r="AK42" s="24"/>
      <c r="AL42" s="35"/>
      <c r="AM42" s="28"/>
      <c r="AN42" s="75"/>
      <c r="AO42" s="21"/>
      <c r="AP42" s="22">
        <f t="shared" si="9"/>
        <v>0</v>
      </c>
      <c r="AQ42" s="33"/>
      <c r="AR42" s="24"/>
      <c r="AS42" s="24"/>
      <c r="AT42" s="24"/>
      <c r="AU42" s="25"/>
      <c r="AV42" s="34"/>
      <c r="AW42" s="24"/>
      <c r="AX42" s="35"/>
      <c r="AY42" s="28"/>
      <c r="AZ42" s="75"/>
      <c r="BA42" s="21"/>
      <c r="BB42" s="22">
        <f t="shared" si="10"/>
        <v>0</v>
      </c>
      <c r="BC42" s="33"/>
      <c r="BD42" s="24"/>
      <c r="BE42" s="24"/>
      <c r="BF42" s="24"/>
      <c r="BG42" s="25"/>
      <c r="BH42" s="34"/>
      <c r="BI42" s="24"/>
      <c r="BJ42" s="35"/>
      <c r="BK42" s="30"/>
      <c r="BL42" s="75"/>
      <c r="BM42" s="21"/>
      <c r="BN42" s="22">
        <f t="shared" si="11"/>
        <v>0</v>
      </c>
      <c r="BO42" s="33"/>
      <c r="BP42" s="24"/>
      <c r="BQ42" s="24"/>
      <c r="BR42" s="24"/>
      <c r="BS42" s="25"/>
      <c r="BT42" s="34"/>
      <c r="BU42" s="24"/>
      <c r="BV42" s="35"/>
      <c r="BW42" s="29"/>
      <c r="BX42" s="75"/>
      <c r="BY42" s="21"/>
      <c r="BZ42" s="22">
        <f t="shared" si="12"/>
        <v>0</v>
      </c>
      <c r="CA42" s="33"/>
      <c r="CB42" s="24"/>
      <c r="CC42" s="24"/>
      <c r="CD42" s="24"/>
      <c r="CE42" s="25"/>
      <c r="CF42" s="34"/>
      <c r="CG42" s="24"/>
      <c r="CH42" s="35"/>
      <c r="CI42" s="14"/>
      <c r="CJ42" s="11"/>
    </row>
    <row r="43" spans="1:88" ht="22.8" x14ac:dyDescent="0.3">
      <c r="A43" s="81"/>
      <c r="B43" s="108"/>
      <c r="C43" s="74"/>
      <c r="D43" s="75"/>
      <c r="E43" s="21"/>
      <c r="F43" s="22">
        <f t="shared" si="0"/>
        <v>0</v>
      </c>
      <c r="G43" s="33"/>
      <c r="H43" s="24"/>
      <c r="I43" s="24"/>
      <c r="J43" s="24"/>
      <c r="K43" s="25"/>
      <c r="L43" s="34"/>
      <c r="M43" s="24"/>
      <c r="N43" s="35"/>
      <c r="O43" s="30"/>
      <c r="P43" s="75"/>
      <c r="Q43" s="21"/>
      <c r="R43" s="22">
        <f t="shared" si="13"/>
        <v>0</v>
      </c>
      <c r="S43" s="33"/>
      <c r="T43" s="24"/>
      <c r="U43" s="24"/>
      <c r="V43" s="24"/>
      <c r="W43" s="25"/>
      <c r="X43" s="34"/>
      <c r="Y43" s="24"/>
      <c r="Z43" s="35"/>
      <c r="AA43" s="29"/>
      <c r="AB43" s="75"/>
      <c r="AC43" s="21"/>
      <c r="AD43" s="22">
        <f t="shared" si="8"/>
        <v>0</v>
      </c>
      <c r="AE43" s="33"/>
      <c r="AF43" s="24"/>
      <c r="AG43" s="24"/>
      <c r="AH43" s="24"/>
      <c r="AI43" s="25"/>
      <c r="AJ43" s="34"/>
      <c r="AK43" s="24"/>
      <c r="AL43" s="35"/>
      <c r="AM43" s="28"/>
      <c r="AN43" s="75"/>
      <c r="AO43" s="21"/>
      <c r="AP43" s="22">
        <f t="shared" si="9"/>
        <v>0</v>
      </c>
      <c r="AQ43" s="33"/>
      <c r="AR43" s="24"/>
      <c r="AS43" s="24"/>
      <c r="AT43" s="24"/>
      <c r="AU43" s="25"/>
      <c r="AV43" s="34"/>
      <c r="AW43" s="24"/>
      <c r="AX43" s="35"/>
      <c r="AY43" s="28"/>
      <c r="AZ43" s="75"/>
      <c r="BA43" s="21"/>
      <c r="BB43" s="22">
        <f t="shared" si="10"/>
        <v>0</v>
      </c>
      <c r="BC43" s="33"/>
      <c r="BD43" s="24"/>
      <c r="BE43" s="24"/>
      <c r="BF43" s="24"/>
      <c r="BG43" s="25"/>
      <c r="BH43" s="34"/>
      <c r="BI43" s="24"/>
      <c r="BJ43" s="35"/>
      <c r="BK43" s="30"/>
      <c r="BL43" s="75"/>
      <c r="BM43" s="21"/>
      <c r="BN43" s="22">
        <f t="shared" si="11"/>
        <v>0</v>
      </c>
      <c r="BO43" s="33"/>
      <c r="BP43" s="24"/>
      <c r="BQ43" s="24"/>
      <c r="BR43" s="24"/>
      <c r="BS43" s="25"/>
      <c r="BT43" s="34"/>
      <c r="BU43" s="24"/>
      <c r="BV43" s="35"/>
      <c r="BW43" s="29"/>
      <c r="BX43" s="75"/>
      <c r="BY43" s="21"/>
      <c r="BZ43" s="22">
        <f t="shared" si="12"/>
        <v>0</v>
      </c>
      <c r="CA43" s="33"/>
      <c r="CB43" s="24"/>
      <c r="CC43" s="24"/>
      <c r="CD43" s="24"/>
      <c r="CE43" s="25"/>
      <c r="CF43" s="34"/>
      <c r="CG43" s="24"/>
      <c r="CH43" s="35"/>
      <c r="CI43" s="5"/>
      <c r="CJ43" s="11"/>
    </row>
    <row r="44" spans="1:88" ht="22.8" x14ac:dyDescent="0.3">
      <c r="A44" s="81"/>
      <c r="B44" s="108"/>
      <c r="C44" s="74"/>
      <c r="D44" s="75"/>
      <c r="E44" s="21"/>
      <c r="F44" s="22">
        <f t="shared" si="0"/>
        <v>0</v>
      </c>
      <c r="G44" s="33"/>
      <c r="H44" s="24"/>
      <c r="I44" s="24"/>
      <c r="J44" s="24"/>
      <c r="K44" s="25"/>
      <c r="L44" s="34"/>
      <c r="M44" s="24"/>
      <c r="N44" s="35"/>
      <c r="O44" s="30"/>
      <c r="P44" s="75"/>
      <c r="Q44" s="21"/>
      <c r="R44" s="22">
        <f t="shared" si="13"/>
        <v>0</v>
      </c>
      <c r="S44" s="33"/>
      <c r="T44" s="24"/>
      <c r="U44" s="24"/>
      <c r="V44" s="24"/>
      <c r="W44" s="25"/>
      <c r="X44" s="34"/>
      <c r="Y44" s="24"/>
      <c r="Z44" s="35"/>
      <c r="AA44" s="29"/>
      <c r="AB44" s="75"/>
      <c r="AC44" s="21"/>
      <c r="AD44" s="22">
        <f t="shared" si="8"/>
        <v>0</v>
      </c>
      <c r="AE44" s="33"/>
      <c r="AF44" s="24"/>
      <c r="AG44" s="24"/>
      <c r="AH44" s="24"/>
      <c r="AI44" s="25"/>
      <c r="AJ44" s="34"/>
      <c r="AK44" s="24"/>
      <c r="AL44" s="35"/>
      <c r="AM44" s="28"/>
      <c r="AN44" s="75"/>
      <c r="AO44" s="21"/>
      <c r="AP44" s="22">
        <f t="shared" si="9"/>
        <v>0</v>
      </c>
      <c r="AQ44" s="33"/>
      <c r="AR44" s="24"/>
      <c r="AS44" s="24"/>
      <c r="AT44" s="24"/>
      <c r="AU44" s="25"/>
      <c r="AV44" s="34"/>
      <c r="AW44" s="24"/>
      <c r="AX44" s="35"/>
      <c r="AY44" s="28"/>
      <c r="AZ44" s="75"/>
      <c r="BA44" s="21"/>
      <c r="BB44" s="22">
        <f t="shared" si="10"/>
        <v>0</v>
      </c>
      <c r="BC44" s="33"/>
      <c r="BD44" s="24"/>
      <c r="BE44" s="24"/>
      <c r="BF44" s="24"/>
      <c r="BG44" s="25"/>
      <c r="BH44" s="34"/>
      <c r="BI44" s="24"/>
      <c r="BJ44" s="35"/>
      <c r="BK44" s="30"/>
      <c r="BL44" s="75"/>
      <c r="BM44" s="21"/>
      <c r="BN44" s="22">
        <f t="shared" si="11"/>
        <v>0</v>
      </c>
      <c r="BO44" s="33"/>
      <c r="BP44" s="24"/>
      <c r="BQ44" s="24"/>
      <c r="BR44" s="24"/>
      <c r="BS44" s="25"/>
      <c r="BT44" s="34"/>
      <c r="BU44" s="24"/>
      <c r="BV44" s="35"/>
      <c r="BW44" s="29"/>
      <c r="BX44" s="75"/>
      <c r="BY44" s="21"/>
      <c r="BZ44" s="22">
        <f t="shared" si="12"/>
        <v>0</v>
      </c>
      <c r="CA44" s="33"/>
      <c r="CB44" s="24"/>
      <c r="CC44" s="24"/>
      <c r="CD44" s="24"/>
      <c r="CE44" s="25"/>
      <c r="CF44" s="34"/>
      <c r="CG44" s="24"/>
      <c r="CH44" s="35"/>
      <c r="CI44" s="5"/>
      <c r="CJ44" s="11"/>
    </row>
    <row r="45" spans="1:88" ht="23.4" thickBot="1" x14ac:dyDescent="0.35">
      <c r="A45" s="81"/>
      <c r="B45" s="108"/>
      <c r="C45" s="76"/>
      <c r="D45" s="77"/>
      <c r="E45" s="42"/>
      <c r="F45" s="43">
        <f t="shared" si="0"/>
        <v>0</v>
      </c>
      <c r="G45" s="37"/>
      <c r="H45" s="45"/>
      <c r="I45" s="45"/>
      <c r="J45" s="45"/>
      <c r="K45" s="46"/>
      <c r="L45" s="38"/>
      <c r="M45" s="45"/>
      <c r="N45" s="39"/>
      <c r="O45" s="51"/>
      <c r="P45" s="77"/>
      <c r="Q45" s="42"/>
      <c r="R45" s="43">
        <f t="shared" si="13"/>
        <v>0</v>
      </c>
      <c r="S45" s="37"/>
      <c r="T45" s="45"/>
      <c r="U45" s="45"/>
      <c r="V45" s="45"/>
      <c r="W45" s="46"/>
      <c r="X45" s="38"/>
      <c r="Y45" s="45"/>
      <c r="Z45" s="39"/>
      <c r="AA45" s="50"/>
      <c r="AB45" s="77"/>
      <c r="AC45" s="42"/>
      <c r="AD45" s="43">
        <f t="shared" si="8"/>
        <v>0</v>
      </c>
      <c r="AE45" s="37"/>
      <c r="AF45" s="45"/>
      <c r="AG45" s="45"/>
      <c r="AH45" s="45"/>
      <c r="AI45" s="46"/>
      <c r="AJ45" s="38"/>
      <c r="AK45" s="45"/>
      <c r="AL45" s="39"/>
      <c r="AM45" s="49"/>
      <c r="AN45" s="77"/>
      <c r="AO45" s="42"/>
      <c r="AP45" s="43">
        <f t="shared" si="9"/>
        <v>0</v>
      </c>
      <c r="AQ45" s="37"/>
      <c r="AR45" s="45"/>
      <c r="AS45" s="45"/>
      <c r="AT45" s="45"/>
      <c r="AU45" s="46"/>
      <c r="AV45" s="38"/>
      <c r="AW45" s="45"/>
      <c r="AX45" s="39"/>
      <c r="AY45" s="49"/>
      <c r="AZ45" s="77"/>
      <c r="BA45" s="42"/>
      <c r="BB45" s="43">
        <f t="shared" si="10"/>
        <v>0</v>
      </c>
      <c r="BC45" s="37"/>
      <c r="BD45" s="45"/>
      <c r="BE45" s="45"/>
      <c r="BF45" s="45"/>
      <c r="BG45" s="46"/>
      <c r="BH45" s="38"/>
      <c r="BI45" s="45"/>
      <c r="BJ45" s="39"/>
      <c r="BK45" s="51"/>
      <c r="BL45" s="77"/>
      <c r="BM45" s="42"/>
      <c r="BN45" s="43">
        <f t="shared" si="11"/>
        <v>0</v>
      </c>
      <c r="BO45" s="37"/>
      <c r="BP45" s="45"/>
      <c r="BQ45" s="45"/>
      <c r="BR45" s="45"/>
      <c r="BS45" s="46"/>
      <c r="BT45" s="38"/>
      <c r="BU45" s="45"/>
      <c r="BV45" s="39"/>
      <c r="BW45" s="50"/>
      <c r="BX45" s="77"/>
      <c r="BY45" s="42"/>
      <c r="BZ45" s="43">
        <f t="shared" si="12"/>
        <v>0</v>
      </c>
      <c r="CA45" s="37"/>
      <c r="CB45" s="45"/>
      <c r="CC45" s="45"/>
      <c r="CD45" s="45"/>
      <c r="CE45" s="46"/>
      <c r="CF45" s="38"/>
      <c r="CG45" s="45"/>
      <c r="CH45" s="39"/>
      <c r="CI45" s="5"/>
      <c r="CJ45" s="13"/>
    </row>
    <row r="46" spans="1:88" ht="23.4" thickTop="1" x14ac:dyDescent="0.3">
      <c r="A46" s="82"/>
      <c r="B46" s="16" t="s">
        <v>0</v>
      </c>
      <c r="C46" s="16">
        <v>1</v>
      </c>
      <c r="D46" s="15"/>
      <c r="E46" s="15"/>
      <c r="F46" s="15"/>
      <c r="G46" s="15"/>
      <c r="H46" s="15"/>
      <c r="I46" s="17">
        <f>COUNT(I4:I45)</f>
        <v>0</v>
      </c>
      <c r="J46" s="15"/>
      <c r="K46" s="15"/>
      <c r="L46" s="15"/>
      <c r="M46" s="15"/>
      <c r="N46" s="15"/>
      <c r="O46" s="30"/>
      <c r="P46" s="15"/>
      <c r="Q46" s="15"/>
      <c r="R46" s="15"/>
      <c r="S46" s="15"/>
      <c r="T46" s="15"/>
      <c r="U46" s="17">
        <f>COUNT(U4:U45)</f>
        <v>0</v>
      </c>
      <c r="V46" s="15"/>
      <c r="W46" s="15"/>
      <c r="X46" s="15"/>
      <c r="Y46" s="15"/>
      <c r="Z46" s="15"/>
      <c r="AA46" s="29"/>
      <c r="AB46" s="15"/>
      <c r="AC46" s="15"/>
      <c r="AD46" s="15"/>
      <c r="AE46" s="15"/>
      <c r="AF46" s="15"/>
      <c r="AG46" s="17">
        <f>COUNT(AG4:AG45)</f>
        <v>0</v>
      </c>
      <c r="AH46" s="15"/>
      <c r="AI46" s="15"/>
      <c r="AJ46" s="15"/>
      <c r="AK46" s="15"/>
      <c r="AL46" s="15"/>
      <c r="AM46" s="28"/>
      <c r="AN46" s="15"/>
      <c r="AO46" s="15"/>
      <c r="AP46" s="15"/>
      <c r="AQ46" s="15"/>
      <c r="AR46" s="15"/>
      <c r="AS46" s="17">
        <f>COUNT(AS4:AS45)</f>
        <v>0</v>
      </c>
      <c r="AT46" s="15"/>
      <c r="AU46" s="15"/>
      <c r="AV46" s="15"/>
      <c r="AW46" s="15"/>
      <c r="AX46" s="15"/>
      <c r="AY46" s="28"/>
      <c r="AZ46" s="15"/>
      <c r="BA46" s="15"/>
      <c r="BB46" s="15"/>
      <c r="BC46" s="15"/>
      <c r="BD46" s="15"/>
      <c r="BE46" s="17">
        <f>COUNT(BE4:BE45)</f>
        <v>0</v>
      </c>
      <c r="BF46" s="15"/>
      <c r="BG46" s="15"/>
      <c r="BH46" s="15"/>
      <c r="BI46" s="15"/>
      <c r="BJ46" s="15"/>
      <c r="BK46" s="30"/>
      <c r="BL46" s="15"/>
      <c r="BM46" s="15"/>
      <c r="BN46" s="15"/>
      <c r="BO46" s="15"/>
      <c r="BP46" s="15"/>
      <c r="BQ46" s="17">
        <f>COUNT(BQ4:BQ45)</f>
        <v>0</v>
      </c>
      <c r="BR46" s="15"/>
      <c r="BS46" s="15"/>
      <c r="BT46" s="15"/>
      <c r="BU46" s="15"/>
      <c r="BV46" s="15"/>
      <c r="BW46" s="29"/>
      <c r="BX46" s="15"/>
      <c r="BY46" s="15"/>
      <c r="BZ46" s="15"/>
      <c r="CA46" s="15"/>
      <c r="CB46" s="15"/>
      <c r="CC46" s="17">
        <f>COUNT(CC4:CC45)</f>
        <v>0</v>
      </c>
      <c r="CD46" s="15"/>
      <c r="CE46" s="15"/>
      <c r="CF46" s="15"/>
      <c r="CG46" s="15"/>
      <c r="CH46" s="15"/>
      <c r="CI46" s="18">
        <f>CC46+BQ46+BE46+AS46+AG46+U46+I46</f>
        <v>0</v>
      </c>
      <c r="CJ46" s="5" t="s">
        <v>22</v>
      </c>
    </row>
    <row r="47" spans="1:88" x14ac:dyDescent="0.3">
      <c r="O47"/>
      <c r="AA47"/>
      <c r="AM47"/>
      <c r="AY47"/>
      <c r="BK47"/>
      <c r="BW47"/>
    </row>
    <row r="48" spans="1:88" x14ac:dyDescent="0.3">
      <c r="O48"/>
      <c r="AA48"/>
      <c r="AM48"/>
      <c r="AY48"/>
      <c r="BK48"/>
      <c r="BW48"/>
    </row>
    <row r="49" spans="15:75" x14ac:dyDescent="0.3">
      <c r="O49"/>
      <c r="AA49"/>
      <c r="AM49"/>
      <c r="AY49"/>
      <c r="BK49"/>
      <c r="BW49"/>
    </row>
    <row r="50" spans="15:75" ht="22.8" customHeight="1" x14ac:dyDescent="0.3">
      <c r="O50"/>
      <c r="AA50"/>
      <c r="AM50"/>
      <c r="AY50"/>
      <c r="BK50"/>
      <c r="BW50"/>
    </row>
    <row r="51" spans="15:75" ht="22.8" customHeight="1" x14ac:dyDescent="0.3">
      <c r="O51"/>
      <c r="AA51"/>
      <c r="AM51"/>
      <c r="AY51"/>
      <c r="BK51"/>
      <c r="BW51"/>
    </row>
    <row r="52" spans="15:75" ht="22.8" customHeight="1" x14ac:dyDescent="0.3">
      <c r="O52"/>
      <c r="AA52"/>
      <c r="AM52"/>
      <c r="AY52"/>
      <c r="BK52"/>
      <c r="BW52"/>
    </row>
    <row r="53" spans="15:75" ht="22.8" customHeight="1" x14ac:dyDescent="0.3">
      <c r="O53"/>
      <c r="AA53"/>
      <c r="AM53"/>
      <c r="AY53"/>
      <c r="BK53"/>
      <c r="BW53"/>
    </row>
    <row r="54" spans="15:75" ht="22.8" customHeight="1" x14ac:dyDescent="0.3">
      <c r="O54"/>
      <c r="AA54"/>
      <c r="AM54"/>
      <c r="AY54"/>
      <c r="BK54"/>
      <c r="BW54"/>
    </row>
    <row r="55" spans="15:75" ht="22.8" customHeight="1" x14ac:dyDescent="0.3">
      <c r="O55"/>
      <c r="AA55"/>
      <c r="AM55"/>
      <c r="AY55"/>
      <c r="BK55"/>
      <c r="BW55"/>
    </row>
    <row r="56" spans="15:75" ht="22.8" customHeight="1" x14ac:dyDescent="0.3">
      <c r="O56"/>
      <c r="AA56"/>
      <c r="AM56"/>
      <c r="AY56"/>
      <c r="BK56"/>
      <c r="BW56"/>
    </row>
    <row r="57" spans="15:75" ht="22.8" customHeight="1" x14ac:dyDescent="0.3">
      <c r="O57"/>
      <c r="AA57"/>
      <c r="AM57"/>
      <c r="AY57"/>
      <c r="BK57"/>
      <c r="BW57"/>
    </row>
    <row r="58" spans="15:75" ht="22.8" customHeight="1" x14ac:dyDescent="0.3">
      <c r="O58"/>
      <c r="AA58"/>
      <c r="AM58"/>
      <c r="AY58"/>
      <c r="BK58"/>
      <c r="BW58"/>
    </row>
    <row r="59" spans="15:75" ht="22.8" customHeight="1" x14ac:dyDescent="0.3">
      <c r="O59"/>
      <c r="AA59"/>
      <c r="AM59"/>
      <c r="AY59"/>
      <c r="BK59"/>
      <c r="BW59"/>
    </row>
    <row r="60" spans="15:75" ht="22.8" customHeight="1" x14ac:dyDescent="0.3">
      <c r="O60"/>
      <c r="AA60"/>
      <c r="AM60"/>
      <c r="AY60"/>
      <c r="BK60"/>
      <c r="BW60"/>
    </row>
    <row r="61" spans="15:75" ht="23.4" customHeight="1" x14ac:dyDescent="0.3">
      <c r="O61"/>
      <c r="AA61"/>
      <c r="AM61"/>
      <c r="AY61"/>
      <c r="BK61"/>
      <c r="BW61"/>
    </row>
    <row r="62" spans="15:75" ht="23.4" customHeight="1" x14ac:dyDescent="0.3">
      <c r="O62"/>
      <c r="AA62"/>
      <c r="AM62"/>
      <c r="AY62"/>
      <c r="BK62"/>
      <c r="BW62"/>
    </row>
    <row r="63" spans="15:75" ht="22.8" customHeight="1" x14ac:dyDescent="0.3">
      <c r="O63"/>
      <c r="AA63"/>
      <c r="AM63"/>
      <c r="AY63"/>
      <c r="BK63"/>
      <c r="BW63"/>
    </row>
    <row r="64" spans="15:75" ht="22.8" customHeight="1" x14ac:dyDescent="0.3">
      <c r="O64"/>
      <c r="AA64"/>
      <c r="AM64"/>
      <c r="AY64"/>
      <c r="BK64"/>
      <c r="BW64"/>
    </row>
    <row r="65" spans="15:75" ht="22.8" customHeight="1" x14ac:dyDescent="0.3">
      <c r="O65"/>
      <c r="AA65"/>
      <c r="AM65"/>
      <c r="AY65"/>
      <c r="BK65"/>
      <c r="BW65"/>
    </row>
    <row r="66" spans="15:75" ht="22.8" customHeight="1" x14ac:dyDescent="0.3">
      <c r="O66"/>
      <c r="AA66"/>
      <c r="AM66"/>
      <c r="AY66"/>
      <c r="BK66"/>
      <c r="BW66"/>
    </row>
    <row r="67" spans="15:75" ht="23.4" customHeight="1" x14ac:dyDescent="0.3">
      <c r="O67"/>
      <c r="AA67"/>
      <c r="AM67"/>
      <c r="AY67"/>
      <c r="BK67"/>
      <c r="BW67"/>
    </row>
    <row r="68" spans="15:75" ht="23.4" customHeight="1" x14ac:dyDescent="0.3">
      <c r="O68"/>
      <c r="AA68"/>
      <c r="AM68"/>
      <c r="AY68"/>
      <c r="BK68"/>
      <c r="BW68"/>
    </row>
    <row r="69" spans="15:75" ht="22.8" customHeight="1" x14ac:dyDescent="0.3">
      <c r="O69"/>
      <c r="AA69"/>
      <c r="AM69"/>
      <c r="AY69"/>
      <c r="BK69"/>
      <c r="BW69"/>
    </row>
    <row r="70" spans="15:75" ht="22.8" customHeight="1" x14ac:dyDescent="0.3">
      <c r="O70"/>
      <c r="AA70"/>
      <c r="AM70"/>
      <c r="AY70"/>
      <c r="BK70"/>
      <c r="BW70"/>
    </row>
    <row r="71" spans="15:75" ht="22.8" customHeight="1" x14ac:dyDescent="0.3">
      <c r="O71"/>
      <c r="AA71"/>
      <c r="AM71"/>
      <c r="AY71"/>
      <c r="BK71"/>
      <c r="BW71"/>
    </row>
    <row r="72" spans="15:75" ht="22.8" customHeight="1" x14ac:dyDescent="0.3">
      <c r="O72"/>
      <c r="AA72"/>
      <c r="AM72"/>
      <c r="AY72"/>
      <c r="BK72"/>
      <c r="BW72"/>
    </row>
    <row r="73" spans="15:75" ht="23.4" customHeight="1" x14ac:dyDescent="0.3">
      <c r="O73"/>
      <c r="AA73"/>
      <c r="AM73"/>
      <c r="AY73"/>
      <c r="BK73"/>
      <c r="BW73"/>
    </row>
    <row r="74" spans="15:75" ht="23.4" customHeight="1" x14ac:dyDescent="0.3">
      <c r="O74"/>
      <c r="AA74"/>
      <c r="AM74"/>
      <c r="AY74"/>
      <c r="BK74"/>
      <c r="BW74"/>
    </row>
    <row r="75" spans="15:75" ht="22.8" customHeight="1" x14ac:dyDescent="0.3">
      <c r="O75"/>
      <c r="AA75"/>
      <c r="AM75"/>
      <c r="AY75"/>
      <c r="BK75"/>
      <c r="BW75"/>
    </row>
    <row r="76" spans="15:75" ht="22.8" customHeight="1" x14ac:dyDescent="0.3">
      <c r="O76"/>
      <c r="AA76"/>
      <c r="AM76"/>
      <c r="AY76"/>
      <c r="BK76"/>
      <c r="BW76"/>
    </row>
    <row r="77" spans="15:75" ht="22.8" customHeight="1" x14ac:dyDescent="0.3">
      <c r="O77"/>
      <c r="AA77"/>
      <c r="AM77"/>
      <c r="AY77"/>
      <c r="BK77"/>
      <c r="BW77"/>
    </row>
    <row r="78" spans="15:75" ht="22.8" customHeight="1" x14ac:dyDescent="0.3">
      <c r="O78"/>
      <c r="AA78"/>
      <c r="AM78"/>
      <c r="AY78"/>
      <c r="BK78"/>
      <c r="BW78"/>
    </row>
    <row r="79" spans="15:75" ht="23.4" customHeight="1" x14ac:dyDescent="0.3">
      <c r="O79"/>
      <c r="AA79"/>
      <c r="AM79"/>
      <c r="AY79"/>
      <c r="BK79"/>
      <c r="BW79"/>
    </row>
    <row r="80" spans="15:75" ht="23.4" customHeight="1" x14ac:dyDescent="0.3">
      <c r="O80"/>
      <c r="AA80"/>
      <c r="AM80"/>
      <c r="AY80"/>
      <c r="BK80"/>
      <c r="BW80"/>
    </row>
    <row r="81" spans="15:75" ht="22.8" customHeight="1" x14ac:dyDescent="0.3">
      <c r="O81"/>
      <c r="AA81"/>
      <c r="AM81"/>
      <c r="AY81"/>
      <c r="BK81"/>
      <c r="BW81"/>
    </row>
    <row r="82" spans="15:75" ht="22.8" customHeight="1" x14ac:dyDescent="0.3">
      <c r="O82"/>
      <c r="AA82"/>
      <c r="AM82"/>
      <c r="AY82"/>
      <c r="BK82"/>
      <c r="BW82"/>
    </row>
    <row r="83" spans="15:75" ht="22.8" customHeight="1" x14ac:dyDescent="0.3">
      <c r="O83"/>
      <c r="AA83"/>
      <c r="AM83"/>
      <c r="AY83"/>
      <c r="BK83"/>
      <c r="BW83"/>
    </row>
    <row r="84" spans="15:75" ht="22.8" customHeight="1" x14ac:dyDescent="0.3">
      <c r="O84"/>
      <c r="AA84"/>
      <c r="AM84"/>
      <c r="AY84"/>
      <c r="BK84"/>
      <c r="BW84"/>
    </row>
    <row r="85" spans="15:75" ht="23.4" customHeight="1" x14ac:dyDescent="0.3">
      <c r="O85"/>
      <c r="AA85"/>
      <c r="AM85"/>
      <c r="AY85"/>
      <c r="BK85"/>
      <c r="BW85"/>
    </row>
    <row r="86" spans="15:75" ht="23.4" customHeight="1" x14ac:dyDescent="0.3">
      <c r="O86"/>
      <c r="AA86"/>
      <c r="AM86"/>
      <c r="AY86"/>
      <c r="BK86"/>
      <c r="BW86"/>
    </row>
    <row r="87" spans="15:75" ht="22.8" customHeight="1" x14ac:dyDescent="0.3">
      <c r="O87"/>
      <c r="AA87"/>
      <c r="AM87"/>
      <c r="AY87"/>
      <c r="BK87"/>
      <c r="BW87"/>
    </row>
    <row r="88" spans="15:75" ht="22.8" customHeight="1" x14ac:dyDescent="0.3">
      <c r="O88"/>
      <c r="AA88"/>
      <c r="AM88"/>
      <c r="AY88"/>
      <c r="BK88"/>
      <c r="BW88"/>
    </row>
    <row r="89" spans="15:75" ht="22.8" customHeight="1" x14ac:dyDescent="0.3">
      <c r="O89"/>
      <c r="AA89"/>
      <c r="AM89"/>
      <c r="AY89"/>
      <c r="BK89"/>
      <c r="BW89"/>
    </row>
    <row r="90" spans="15:75" ht="22.8" customHeight="1" x14ac:dyDescent="0.3">
      <c r="O90"/>
      <c r="AA90"/>
      <c r="AM90"/>
      <c r="AY90"/>
      <c r="BK90"/>
      <c r="BW90"/>
    </row>
    <row r="91" spans="15:75" ht="23.4" customHeight="1" x14ac:dyDescent="0.3">
      <c r="O91"/>
      <c r="AA91"/>
      <c r="AM91"/>
      <c r="AY91"/>
      <c r="BK91"/>
      <c r="BW91"/>
    </row>
    <row r="92" spans="15:75" x14ac:dyDescent="0.3">
      <c r="O92"/>
      <c r="AA92"/>
      <c r="AM92"/>
      <c r="AY92"/>
      <c r="BK92"/>
      <c r="BW92"/>
    </row>
    <row r="93" spans="15:75" x14ac:dyDescent="0.3">
      <c r="O93"/>
      <c r="AA93"/>
      <c r="AM93"/>
      <c r="AY93"/>
      <c r="BK93"/>
      <c r="BW93"/>
    </row>
    <row r="94" spans="15:75" x14ac:dyDescent="0.3">
      <c r="O94"/>
      <c r="AA94"/>
      <c r="AM94"/>
      <c r="AY94"/>
      <c r="BK94"/>
      <c r="BW94"/>
    </row>
    <row r="95" spans="15:75" x14ac:dyDescent="0.3">
      <c r="O95"/>
      <c r="AA95"/>
      <c r="AM95"/>
      <c r="AY95"/>
      <c r="BK95"/>
      <c r="BW95"/>
    </row>
    <row r="96" spans="15:75" ht="22.8" customHeight="1" x14ac:dyDescent="0.3">
      <c r="O96"/>
      <c r="AA96"/>
      <c r="AM96"/>
      <c r="AY96"/>
      <c r="BK96"/>
      <c r="BW96"/>
    </row>
    <row r="97" spans="15:75" ht="22.8" customHeight="1" x14ac:dyDescent="0.3">
      <c r="O97"/>
      <c r="AA97"/>
      <c r="AM97"/>
      <c r="AY97"/>
      <c r="BK97"/>
      <c r="BW97"/>
    </row>
    <row r="98" spans="15:75" ht="22.8" customHeight="1" x14ac:dyDescent="0.3">
      <c r="O98"/>
      <c r="AA98"/>
      <c r="AM98"/>
      <c r="AY98"/>
      <c r="BK98"/>
      <c r="BW98"/>
    </row>
    <row r="99" spans="15:75" ht="22.8" customHeight="1" x14ac:dyDescent="0.3">
      <c r="O99"/>
      <c r="AA99"/>
      <c r="AM99"/>
      <c r="AY99"/>
      <c r="BK99"/>
      <c r="BW99"/>
    </row>
    <row r="100" spans="15:75" ht="22.8" customHeight="1" x14ac:dyDescent="0.3">
      <c r="O100"/>
      <c r="AA100"/>
      <c r="AM100"/>
      <c r="AY100"/>
      <c r="BK100"/>
      <c r="BW100"/>
    </row>
    <row r="101" spans="15:75" ht="22.8" customHeight="1" x14ac:dyDescent="0.3">
      <c r="O101"/>
      <c r="AA101"/>
      <c r="AM101"/>
      <c r="AY101"/>
      <c r="BK101"/>
      <c r="BW101"/>
    </row>
    <row r="102" spans="15:75" ht="22.8" customHeight="1" x14ac:dyDescent="0.3">
      <c r="O102"/>
      <c r="AA102"/>
      <c r="AM102"/>
      <c r="AY102"/>
      <c r="BK102"/>
      <c r="BW102"/>
    </row>
    <row r="103" spans="15:75" ht="22.8" customHeight="1" x14ac:dyDescent="0.3">
      <c r="O103"/>
      <c r="AA103"/>
      <c r="AM103"/>
      <c r="AY103"/>
      <c r="BK103"/>
      <c r="BW103"/>
    </row>
    <row r="104" spans="15:75" ht="22.8" customHeight="1" x14ac:dyDescent="0.3">
      <c r="O104"/>
      <c r="AA104"/>
      <c r="AM104"/>
      <c r="AY104"/>
      <c r="BK104"/>
      <c r="BW104"/>
    </row>
    <row r="105" spans="15:75" ht="22.8" customHeight="1" x14ac:dyDescent="0.3">
      <c r="O105"/>
      <c r="AA105"/>
      <c r="AM105"/>
      <c r="AY105"/>
      <c r="BK105"/>
      <c r="BW105"/>
    </row>
    <row r="106" spans="15:75" ht="22.8" customHeight="1" x14ac:dyDescent="0.3">
      <c r="O106"/>
      <c r="AA106"/>
      <c r="AM106"/>
      <c r="AY106"/>
      <c r="BK106"/>
      <c r="BW106"/>
    </row>
    <row r="107" spans="15:75" ht="23.4" customHeight="1" x14ac:dyDescent="0.3">
      <c r="O107"/>
      <c r="AA107"/>
      <c r="AM107"/>
      <c r="AY107"/>
      <c r="BK107"/>
      <c r="BW107"/>
    </row>
    <row r="108" spans="15:75" ht="23.4" customHeight="1" x14ac:dyDescent="0.3">
      <c r="O108"/>
      <c r="AA108"/>
      <c r="AM108"/>
      <c r="AY108"/>
      <c r="BK108"/>
      <c r="BW108"/>
    </row>
    <row r="109" spans="15:75" ht="22.8" customHeight="1" x14ac:dyDescent="0.3">
      <c r="O109"/>
      <c r="AA109"/>
      <c r="AM109"/>
      <c r="AY109"/>
      <c r="BK109"/>
      <c r="BW109"/>
    </row>
    <row r="110" spans="15:75" ht="22.8" customHeight="1" x14ac:dyDescent="0.3">
      <c r="O110"/>
      <c r="AA110"/>
      <c r="AM110"/>
      <c r="AY110"/>
      <c r="BK110"/>
      <c r="BW110"/>
    </row>
    <row r="111" spans="15:75" ht="22.8" customHeight="1" x14ac:dyDescent="0.3">
      <c r="O111"/>
      <c r="AA111"/>
      <c r="AM111"/>
      <c r="AY111"/>
      <c r="BK111"/>
      <c r="BW111"/>
    </row>
    <row r="112" spans="15:75" ht="22.8" customHeight="1" x14ac:dyDescent="0.3">
      <c r="O112"/>
      <c r="AA112"/>
      <c r="AM112"/>
      <c r="AY112"/>
      <c r="BK112"/>
      <c r="BW112"/>
    </row>
    <row r="113" spans="15:75" ht="22.8" customHeight="1" x14ac:dyDescent="0.3">
      <c r="O113"/>
      <c r="AA113"/>
      <c r="AM113"/>
      <c r="AY113"/>
      <c r="BK113"/>
      <c r="BW113"/>
    </row>
    <row r="114" spans="15:75" ht="22.8" customHeight="1" x14ac:dyDescent="0.3">
      <c r="O114"/>
      <c r="AA114"/>
      <c r="AM114"/>
      <c r="AY114"/>
      <c r="BK114"/>
      <c r="BW114"/>
    </row>
    <row r="115" spans="15:75" ht="22.8" customHeight="1" x14ac:dyDescent="0.3">
      <c r="O115"/>
      <c r="AA115"/>
      <c r="AM115"/>
      <c r="AY115"/>
      <c r="BK115"/>
      <c r="BW115"/>
    </row>
    <row r="116" spans="15:75" ht="22.8" customHeight="1" x14ac:dyDescent="0.3">
      <c r="O116"/>
      <c r="AA116"/>
      <c r="AM116"/>
      <c r="AY116"/>
      <c r="BK116"/>
      <c r="BW116"/>
    </row>
    <row r="117" spans="15:75" ht="22.8" customHeight="1" x14ac:dyDescent="0.3">
      <c r="O117"/>
      <c r="AA117"/>
      <c r="AM117"/>
      <c r="AY117"/>
      <c r="BK117"/>
      <c r="BW117"/>
    </row>
    <row r="118" spans="15:75" ht="22.8" customHeight="1" x14ac:dyDescent="0.3">
      <c r="O118"/>
      <c r="AA118"/>
      <c r="AM118"/>
      <c r="AY118"/>
      <c r="BK118"/>
      <c r="BW118"/>
    </row>
    <row r="119" spans="15:75" ht="23.4" customHeight="1" x14ac:dyDescent="0.3">
      <c r="O119"/>
      <c r="AA119"/>
      <c r="AM119"/>
      <c r="AY119"/>
      <c r="BK119"/>
      <c r="BW119"/>
    </row>
    <row r="120" spans="15:75" ht="23.4" customHeight="1" x14ac:dyDescent="0.3">
      <c r="O120"/>
      <c r="AA120"/>
      <c r="AM120"/>
      <c r="AY120"/>
      <c r="BK120"/>
      <c r="BW120"/>
    </row>
    <row r="121" spans="15:75" ht="22.8" customHeight="1" x14ac:dyDescent="0.3">
      <c r="O121"/>
      <c r="AA121"/>
      <c r="AM121"/>
      <c r="AY121"/>
      <c r="BK121"/>
      <c r="BW121"/>
    </row>
    <row r="122" spans="15:75" ht="22.8" customHeight="1" x14ac:dyDescent="0.3">
      <c r="O122"/>
      <c r="AA122"/>
      <c r="AM122"/>
      <c r="AY122"/>
      <c r="BK122"/>
      <c r="BW122"/>
    </row>
    <row r="123" spans="15:75" ht="22.8" customHeight="1" x14ac:dyDescent="0.3">
      <c r="O123"/>
      <c r="AA123"/>
      <c r="AM123"/>
      <c r="AY123"/>
      <c r="BK123"/>
      <c r="BW123"/>
    </row>
    <row r="124" spans="15:75" ht="22.8" customHeight="1" x14ac:dyDescent="0.3">
      <c r="O124"/>
      <c r="AA124"/>
      <c r="AM124"/>
      <c r="AY124"/>
      <c r="BK124"/>
      <c r="BW124"/>
    </row>
    <row r="125" spans="15:75" ht="22.8" customHeight="1" x14ac:dyDescent="0.3">
      <c r="O125"/>
      <c r="AA125"/>
      <c r="AM125"/>
      <c r="AY125"/>
      <c r="BK125"/>
      <c r="BW125"/>
    </row>
    <row r="126" spans="15:75" ht="22.8" customHeight="1" x14ac:dyDescent="0.3">
      <c r="O126"/>
      <c r="AA126"/>
      <c r="AM126"/>
      <c r="AY126"/>
      <c r="BK126"/>
      <c r="BW126"/>
    </row>
    <row r="127" spans="15:75" ht="22.8" customHeight="1" x14ac:dyDescent="0.3">
      <c r="O127"/>
      <c r="AA127"/>
      <c r="AM127"/>
      <c r="AY127"/>
      <c r="BK127"/>
      <c r="BW127"/>
    </row>
    <row r="128" spans="15:75" ht="22.8" customHeight="1" x14ac:dyDescent="0.3">
      <c r="O128"/>
      <c r="AA128"/>
      <c r="AM128"/>
      <c r="AY128"/>
      <c r="BK128"/>
      <c r="BW128"/>
    </row>
    <row r="129" spans="15:75" ht="22.8" customHeight="1" x14ac:dyDescent="0.3">
      <c r="O129"/>
      <c r="AA129"/>
      <c r="AM129"/>
      <c r="AY129"/>
      <c r="BK129"/>
      <c r="BW129"/>
    </row>
    <row r="130" spans="15:75" ht="22.8" customHeight="1" x14ac:dyDescent="0.3">
      <c r="O130"/>
      <c r="AA130"/>
      <c r="AM130"/>
      <c r="AY130"/>
      <c r="BK130"/>
      <c r="BW130"/>
    </row>
    <row r="131" spans="15:75" ht="23.4" customHeight="1" x14ac:dyDescent="0.3">
      <c r="O131"/>
      <c r="AA131"/>
      <c r="AM131"/>
      <c r="AY131"/>
      <c r="BK131"/>
      <c r="BW131"/>
    </row>
    <row r="132" spans="15:75" ht="23.4" customHeight="1" x14ac:dyDescent="0.3">
      <c r="O132"/>
      <c r="AA132"/>
      <c r="AM132"/>
      <c r="AY132"/>
      <c r="BK132"/>
      <c r="BW132"/>
    </row>
    <row r="133" spans="15:75" ht="22.8" customHeight="1" x14ac:dyDescent="0.3">
      <c r="O133"/>
      <c r="AA133"/>
      <c r="AM133"/>
      <c r="AY133"/>
      <c r="BK133"/>
      <c r="BW133"/>
    </row>
    <row r="134" spans="15:75" ht="22.8" customHeight="1" x14ac:dyDescent="0.3">
      <c r="O134"/>
      <c r="AA134"/>
      <c r="AM134"/>
      <c r="AY134"/>
      <c r="BK134"/>
      <c r="BW134"/>
    </row>
    <row r="135" spans="15:75" ht="22.8" customHeight="1" x14ac:dyDescent="0.3">
      <c r="O135"/>
      <c r="AA135"/>
      <c r="AM135"/>
      <c r="AY135"/>
      <c r="BK135"/>
      <c r="BW135"/>
    </row>
    <row r="136" spans="15:75" ht="22.8" customHeight="1" x14ac:dyDescent="0.3">
      <c r="O136"/>
      <c r="AA136"/>
      <c r="AM136"/>
      <c r="AY136"/>
      <c r="BK136"/>
      <c r="BW136"/>
    </row>
    <row r="137" spans="15:75" ht="23.4" customHeight="1" x14ac:dyDescent="0.3">
      <c r="O137"/>
      <c r="AA137"/>
      <c r="AM137"/>
      <c r="AY137"/>
      <c r="BK137"/>
      <c r="BW137"/>
    </row>
    <row r="138" spans="15:75" x14ac:dyDescent="0.3">
      <c r="O138"/>
      <c r="AA138"/>
      <c r="AM138"/>
      <c r="AY138"/>
      <c r="BK138"/>
      <c r="BW138"/>
    </row>
  </sheetData>
  <mergeCells count="181">
    <mergeCell ref="BV40:BV45"/>
    <mergeCell ref="CA40:CA45"/>
    <mergeCell ref="CF40:CF45"/>
    <mergeCell ref="CH40:CH45"/>
    <mergeCell ref="CJ40:CJ45"/>
    <mergeCell ref="AX40:AX45"/>
    <mergeCell ref="BC40:BC45"/>
    <mergeCell ref="BH40:BH45"/>
    <mergeCell ref="BJ40:BJ45"/>
    <mergeCell ref="BO40:BO45"/>
    <mergeCell ref="BT40:BT45"/>
    <mergeCell ref="Z40:Z45"/>
    <mergeCell ref="AE40:AE45"/>
    <mergeCell ref="AJ40:AJ45"/>
    <mergeCell ref="AL40:AL45"/>
    <mergeCell ref="AQ40:AQ45"/>
    <mergeCell ref="AV40:AV45"/>
    <mergeCell ref="CF34:CF39"/>
    <mergeCell ref="CH34:CH39"/>
    <mergeCell ref="CJ34:CJ39"/>
    <mergeCell ref="B40:B45"/>
    <mergeCell ref="C40:C45"/>
    <mergeCell ref="G40:G45"/>
    <mergeCell ref="L40:L45"/>
    <mergeCell ref="N40:N45"/>
    <mergeCell ref="S40:S45"/>
    <mergeCell ref="X40:X45"/>
    <mergeCell ref="BH34:BH39"/>
    <mergeCell ref="BJ34:BJ39"/>
    <mergeCell ref="BO34:BO39"/>
    <mergeCell ref="BT34:BT39"/>
    <mergeCell ref="BV34:BV39"/>
    <mergeCell ref="CA34:CA39"/>
    <mergeCell ref="AJ34:AJ39"/>
    <mergeCell ref="AL34:AL39"/>
    <mergeCell ref="AQ34:AQ39"/>
    <mergeCell ref="AV34:AV39"/>
    <mergeCell ref="AX34:AX39"/>
    <mergeCell ref="BC34:BC39"/>
    <mergeCell ref="CJ28:CJ33"/>
    <mergeCell ref="A34:A39"/>
    <mergeCell ref="C34:C39"/>
    <mergeCell ref="G34:G39"/>
    <mergeCell ref="L34:L39"/>
    <mergeCell ref="N34:N39"/>
    <mergeCell ref="S34:S39"/>
    <mergeCell ref="X34:X39"/>
    <mergeCell ref="Z34:Z39"/>
    <mergeCell ref="AE34:AE39"/>
    <mergeCell ref="BO28:BO33"/>
    <mergeCell ref="BT28:BT33"/>
    <mergeCell ref="BV28:BV33"/>
    <mergeCell ref="CA28:CA33"/>
    <mergeCell ref="CF28:CF33"/>
    <mergeCell ref="CH28:CH33"/>
    <mergeCell ref="AQ28:AQ33"/>
    <mergeCell ref="AV28:AV33"/>
    <mergeCell ref="AX28:AX33"/>
    <mergeCell ref="BC28:BC33"/>
    <mergeCell ref="BH28:BH33"/>
    <mergeCell ref="BJ28:BJ33"/>
    <mergeCell ref="S28:S33"/>
    <mergeCell ref="X28:X33"/>
    <mergeCell ref="Z28:Z33"/>
    <mergeCell ref="AE28:AE33"/>
    <mergeCell ref="AJ28:AJ33"/>
    <mergeCell ref="AL28:AL33"/>
    <mergeCell ref="BV22:BV27"/>
    <mergeCell ref="CA22:CA27"/>
    <mergeCell ref="CF22:CF27"/>
    <mergeCell ref="CH22:CH27"/>
    <mergeCell ref="CJ22:CJ27"/>
    <mergeCell ref="B28:B39"/>
    <mergeCell ref="C28:C33"/>
    <mergeCell ref="G28:G33"/>
    <mergeCell ref="L28:L33"/>
    <mergeCell ref="N28:N33"/>
    <mergeCell ref="AX22:AX27"/>
    <mergeCell ref="BC22:BC27"/>
    <mergeCell ref="BH22:BH27"/>
    <mergeCell ref="BJ22:BJ27"/>
    <mergeCell ref="BO22:BO27"/>
    <mergeCell ref="BT22:BT27"/>
    <mergeCell ref="Z22:Z27"/>
    <mergeCell ref="AE22:AE27"/>
    <mergeCell ref="AJ22:AJ27"/>
    <mergeCell ref="AL22:AL27"/>
    <mergeCell ref="AQ22:AQ27"/>
    <mergeCell ref="AV22:AV27"/>
    <mergeCell ref="CA16:CA21"/>
    <mergeCell ref="CF16:CF21"/>
    <mergeCell ref="CH16:CH21"/>
    <mergeCell ref="CJ16:CJ21"/>
    <mergeCell ref="C22:C27"/>
    <mergeCell ref="G22:G27"/>
    <mergeCell ref="L22:L27"/>
    <mergeCell ref="N22:N27"/>
    <mergeCell ref="S22:S27"/>
    <mergeCell ref="X22:X27"/>
    <mergeCell ref="BC16:BC21"/>
    <mergeCell ref="BH16:BH21"/>
    <mergeCell ref="BJ16:BJ21"/>
    <mergeCell ref="BO16:BO21"/>
    <mergeCell ref="BT16:BT21"/>
    <mergeCell ref="BV16:BV21"/>
    <mergeCell ref="AE16:AE21"/>
    <mergeCell ref="AJ16:AJ21"/>
    <mergeCell ref="AL16:AL21"/>
    <mergeCell ref="AQ16:AQ21"/>
    <mergeCell ref="AV16:AV21"/>
    <mergeCell ref="AX16:AX21"/>
    <mergeCell ref="CF10:CF15"/>
    <mergeCell ref="CH10:CH15"/>
    <mergeCell ref="CJ10:CJ15"/>
    <mergeCell ref="B16:B27"/>
    <mergeCell ref="C16:C21"/>
    <mergeCell ref="G16:G21"/>
    <mergeCell ref="L16:L21"/>
    <mergeCell ref="N16:N21"/>
    <mergeCell ref="S16:S21"/>
    <mergeCell ref="X16:X21"/>
    <mergeCell ref="BH10:BH15"/>
    <mergeCell ref="BJ10:BJ15"/>
    <mergeCell ref="BO10:BO15"/>
    <mergeCell ref="BT10:BT15"/>
    <mergeCell ref="BV10:BV15"/>
    <mergeCell ref="CA10:CA15"/>
    <mergeCell ref="AJ10:AJ15"/>
    <mergeCell ref="AL10:AL15"/>
    <mergeCell ref="AQ10:AQ15"/>
    <mergeCell ref="AV10:AV15"/>
    <mergeCell ref="AX10:AX15"/>
    <mergeCell ref="BC10:BC15"/>
    <mergeCell ref="CF4:CF9"/>
    <mergeCell ref="CH4:CH9"/>
    <mergeCell ref="CJ4:CJ9"/>
    <mergeCell ref="C10:C15"/>
    <mergeCell ref="G10:G15"/>
    <mergeCell ref="L10:L15"/>
    <mergeCell ref="N10:N15"/>
    <mergeCell ref="S10:S15"/>
    <mergeCell ref="X10:X15"/>
    <mergeCell ref="Z10:Z15"/>
    <mergeCell ref="BH4:BH9"/>
    <mergeCell ref="BJ4:BJ9"/>
    <mergeCell ref="BO4:BO9"/>
    <mergeCell ref="BT4:BT9"/>
    <mergeCell ref="BV4:BV9"/>
    <mergeCell ref="CA4:CA9"/>
    <mergeCell ref="AJ4:AJ9"/>
    <mergeCell ref="AL4:AL9"/>
    <mergeCell ref="AQ4:AQ9"/>
    <mergeCell ref="AV4:AV9"/>
    <mergeCell ref="AX4:AX9"/>
    <mergeCell ref="BC4:BC9"/>
    <mergeCell ref="BP2:BV2"/>
    <mergeCell ref="BX2:CA2"/>
    <mergeCell ref="CB2:CH2"/>
    <mergeCell ref="B4:B15"/>
    <mergeCell ref="C4:C9"/>
    <mergeCell ref="G4:G9"/>
    <mergeCell ref="L4:L9"/>
    <mergeCell ref="N4:N9"/>
    <mergeCell ref="S4:S9"/>
    <mergeCell ref="X4:X9"/>
    <mergeCell ref="AF2:AL2"/>
    <mergeCell ref="AN2:AQ2"/>
    <mergeCell ref="AR2:AX2"/>
    <mergeCell ref="AZ2:BC2"/>
    <mergeCell ref="BD2:BJ2"/>
    <mergeCell ref="BL2:BO2"/>
    <mergeCell ref="A2:A33"/>
    <mergeCell ref="D2:G2"/>
    <mergeCell ref="H2:N2"/>
    <mergeCell ref="P2:S2"/>
    <mergeCell ref="T2:Z2"/>
    <mergeCell ref="AB2:AE2"/>
    <mergeCell ref="Z4:Z9"/>
    <mergeCell ref="AE4:AE9"/>
    <mergeCell ref="AE10:AE15"/>
    <mergeCell ref="Z16:Z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2026-03-23T15:33:45Z</dcterms:created>
  <dcterms:modified xsi:type="dcterms:W3CDTF">2026-03-23T15:51:50Z</dcterms:modified>
</cp:coreProperties>
</file>