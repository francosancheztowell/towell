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8_{FD670D09-4D05-498B-960C-D3B5C77D7C51}" xr6:coauthVersionLast="47" xr6:coauthVersionMax="47" xr10:uidLastSave="{00000000-0000-0000-0000-000000000000}"/>
  <bookViews>
    <workbookView xWindow="-108" yWindow="-108" windowWidth="23256" windowHeight="12456" xr2:uid="{84822909-0E0F-4184-8C59-826A1580A2C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Z3" i="1"/>
  <c r="Y3" i="1"/>
  <c r="X3" i="1"/>
  <c r="W3" i="1"/>
  <c r="W9" i="1" s="1"/>
  <c r="T3" i="1"/>
  <c r="S3" i="1"/>
  <c r="O3" i="1"/>
  <c r="N3" i="1"/>
  <c r="J3" i="1"/>
  <c r="I3" i="1"/>
  <c r="E3" i="1"/>
  <c r="D3" i="1"/>
  <c r="A2" i="1"/>
  <c r="AA1" i="1"/>
  <c r="AA5" i="1" s="1"/>
  <c r="Z1" i="1"/>
  <c r="Z5" i="1" s="1"/>
  <c r="Y1" i="1"/>
  <c r="Y5" i="1" s="1"/>
  <c r="W1" i="1"/>
  <c r="W5" i="1" s="1"/>
  <c r="Y4" i="1" l="1"/>
  <c r="AA4" i="1"/>
  <c r="X4" i="1"/>
  <c r="Z4" i="1"/>
  <c r="X8" i="1"/>
  <c r="W4" i="1"/>
  <c r="Y8" i="1"/>
  <c r="X1" i="1"/>
  <c r="X5" i="1" s="1"/>
  <c r="W8" i="1"/>
  <c r="Z8" i="1"/>
  <c r="AA8" i="1"/>
  <c r="W11" i="1" l="1"/>
  <c r="W12" i="1"/>
  <c r="AA12" i="1" l="1"/>
  <c r="W13" i="1"/>
  <c r="AA21" i="1" l="1"/>
  <c r="AA20" i="1"/>
  <c r="AA19" i="1"/>
  <c r="AA27" i="1"/>
  <c r="AA15" i="1"/>
  <c r="AA24" i="1"/>
  <c r="AA23" i="1"/>
  <c r="AA18" i="1"/>
  <c r="AA26" i="1"/>
  <c r="AA14" i="1"/>
  <c r="AA25" i="1"/>
  <c r="AA13" i="1"/>
  <c r="AA17" i="1"/>
  <c r="AA16" i="1"/>
  <c r="AA22" i="1"/>
</calcChain>
</file>

<file path=xl/sharedStrings.xml><?xml version="1.0" encoding="utf-8"?>
<sst xmlns="http://schemas.openxmlformats.org/spreadsheetml/2006/main" count="71" uniqueCount="33">
  <si>
    <t>Semana</t>
  </si>
  <si>
    <t>HRS.</t>
  </si>
  <si>
    <t>Kg</t>
  </si>
  <si>
    <t>MC1</t>
  </si>
  <si>
    <t>MC2</t>
  </si>
  <si>
    <t>MC3</t>
  </si>
  <si>
    <t>KM</t>
  </si>
  <si>
    <t>LU</t>
  </si>
  <si>
    <t>DANIEL</t>
  </si>
  <si>
    <t>J CARLOS</t>
  </si>
  <si>
    <t>ROBERTO</t>
  </si>
  <si>
    <t>MIGUEL</t>
  </si>
  <si>
    <t>PEDRO</t>
  </si>
  <si>
    <t>CARLOS G</t>
  </si>
  <si>
    <t>OP.</t>
  </si>
  <si>
    <t>TOT. MTS.</t>
  </si>
  <si>
    <t>ORDEN</t>
  </si>
  <si>
    <t>JULIO</t>
  </si>
  <si>
    <t>P. NETO</t>
  </si>
  <si>
    <t>METROS</t>
  </si>
  <si>
    <t>OPE.</t>
  </si>
  <si>
    <t>EFIC.</t>
  </si>
  <si>
    <t>PC</t>
  </si>
  <si>
    <t>RB</t>
  </si>
  <si>
    <t>MS</t>
  </si>
  <si>
    <t>JL</t>
  </si>
  <si>
    <t>DP</t>
  </si>
  <si>
    <t>Frac</t>
  </si>
  <si>
    <t>Prom</t>
  </si>
  <si>
    <t>Hrs</t>
  </si>
  <si>
    <t>Valor Mayor</t>
  </si>
  <si>
    <t>Valor menor</t>
  </si>
  <si>
    <t>Intervalo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</si>
</sst>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rgb="FF0070C0"/>
      <name val="Aptos Narrow"/>
      <family val="2"/>
      <scheme val="minor"/>
    </font>
    <font>
      <sz val="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4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 wrapText="1"/>
    </xf>
    <xf numFmtId="164" fontId="6" fillId="0" borderId="0" xfId="0" applyNumberFormat="1" applyFont="1" applyAlignment="1">
      <alignment wrapText="1"/>
    </xf>
    <xf numFmtId="0" fontId="0" fillId="0" borderId="0" xfId="0" applyAlignment="1">
      <alignment horizontal="right"/>
    </xf>
    <xf numFmtId="0" fontId="3" fillId="3" borderId="1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64" fontId="7" fillId="4" borderId="0" xfId="0" applyNumberFormat="1" applyFont="1" applyFill="1" applyAlignment="1">
      <alignment horizontal="center"/>
    </xf>
    <xf numFmtId="0" fontId="3" fillId="0" borderId="3" xfId="0" applyFont="1" applyBorder="1"/>
    <xf numFmtId="0" fontId="0" fillId="0" borderId="1" xfId="0" applyBorder="1" applyAlignment="1">
      <alignment horizontal="center"/>
    </xf>
    <xf numFmtId="0" fontId="8" fillId="0" borderId="0" xfId="0" applyFont="1"/>
    <xf numFmtId="164" fontId="0" fillId="0" borderId="4" xfId="0" applyNumberFormat="1" applyBorder="1" applyAlignment="1">
      <alignment horizontal="center"/>
    </xf>
    <xf numFmtId="0" fontId="0" fillId="0" borderId="5" xfId="0" applyBorder="1"/>
    <xf numFmtId="0" fontId="3" fillId="5" borderId="5" xfId="0" applyFont="1" applyFill="1" applyBorder="1" applyAlignment="1">
      <alignment horizontal="right"/>
    </xf>
    <xf numFmtId="0" fontId="3" fillId="6" borderId="5" xfId="0" applyFont="1" applyFill="1" applyBorder="1" applyAlignment="1">
      <alignment horizontal="right"/>
    </xf>
    <xf numFmtId="0" fontId="0" fillId="0" borderId="6" xfId="0" applyBorder="1"/>
    <xf numFmtId="9" fontId="3" fillId="7" borderId="1" xfId="1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0" fillId="2" borderId="0" xfId="0" applyFill="1" applyAlignment="1">
      <alignment horizontal="right"/>
    </xf>
    <xf numFmtId="0" fontId="0" fillId="0" borderId="0" xfId="0" applyAlignment="1">
      <alignment horizontal="center"/>
    </xf>
    <xf numFmtId="4" fontId="0" fillId="2" borderId="0" xfId="0" applyNumberFormat="1" applyFill="1"/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E1D9-77A1-4CB3-B1C2-95FCDA87661D}">
  <dimension ref="A1:AD44"/>
  <sheetViews>
    <sheetView tabSelected="1" topLeftCell="Q48" workbookViewId="0">
      <selection activeCell="A3" sqref="A3:C3"/>
    </sheetView>
  </sheetViews>
  <sheetFormatPr baseColWidth="10" defaultRowHeight="14.4" x14ac:dyDescent="0.3"/>
  <cols>
    <col min="2" max="2" width="7.77734375" customWidth="1"/>
    <col min="3" max="3" width="6.21875" customWidth="1"/>
  </cols>
  <sheetData>
    <row r="1" spans="1:30" ht="18" x14ac:dyDescent="0.35">
      <c r="A1" s="1">
        <v>3</v>
      </c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5">
        <f>W3/(W7*10625)*100</f>
        <v>0</v>
      </c>
      <c r="X1" s="5">
        <f>X3/(X7*10625)*100</f>
        <v>0</v>
      </c>
      <c r="Y1" s="5">
        <f t="shared" ref="Y1:AA1" si="0">Y3/(Y7*10625)*100</f>
        <v>0</v>
      </c>
      <c r="Z1" s="5">
        <f t="shared" si="0"/>
        <v>0</v>
      </c>
      <c r="AA1" s="5">
        <f t="shared" si="0"/>
        <v>0</v>
      </c>
      <c r="AB1" s="5"/>
      <c r="AC1" s="6" t="s">
        <v>1</v>
      </c>
      <c r="AD1" s="3"/>
    </row>
    <row r="2" spans="1:30" ht="15" thickBot="1" x14ac:dyDescent="0.35">
      <c r="A2" s="7">
        <f>D3+I3+N3</f>
        <v>3111.3</v>
      </c>
      <c r="B2" s="8" t="s">
        <v>2</v>
      </c>
      <c r="C2" s="9"/>
      <c r="D2" s="3" t="s">
        <v>3</v>
      </c>
      <c r="I2" s="3" t="s">
        <v>4</v>
      </c>
      <c r="N2" s="3" t="s">
        <v>5</v>
      </c>
      <c r="S2" s="3" t="s">
        <v>6</v>
      </c>
      <c r="V2" s="10" t="s">
        <v>7</v>
      </c>
      <c r="W2" s="11" t="s">
        <v>8</v>
      </c>
      <c r="X2" s="11" t="s">
        <v>9</v>
      </c>
      <c r="Y2" s="11" t="s">
        <v>10</v>
      </c>
      <c r="Z2" s="11" t="s">
        <v>11</v>
      </c>
      <c r="AA2" s="11" t="s">
        <v>12</v>
      </c>
      <c r="AB2" s="11" t="s">
        <v>13</v>
      </c>
      <c r="AC2" s="12" t="s">
        <v>14</v>
      </c>
    </row>
    <row r="3" spans="1:30" ht="15" thickBot="1" x14ac:dyDescent="0.35">
      <c r="A3" s="13">
        <v>46034</v>
      </c>
      <c r="B3" s="13"/>
      <c r="C3" s="13"/>
      <c r="D3" s="14">
        <f>SUM(D5:D44)</f>
        <v>539.40000000000009</v>
      </c>
      <c r="E3" s="14">
        <f>SUM(E5:E44)</f>
        <v>22000</v>
      </c>
      <c r="I3" s="14">
        <f>SUM(I5:I44)</f>
        <v>498.49999999999994</v>
      </c>
      <c r="J3" s="14">
        <f>SUM(J5:J44)</f>
        <v>29500</v>
      </c>
      <c r="N3" s="14">
        <f>SUM(N5:N44)</f>
        <v>2073.4</v>
      </c>
      <c r="O3" s="14">
        <f>SUM(O5:O44)</f>
        <v>70000</v>
      </c>
      <c r="S3" s="14">
        <f>SUM(S5:S44)</f>
        <v>685.6</v>
      </c>
      <c r="T3" s="14">
        <f>SUM(T5:T44)</f>
        <v>36000</v>
      </c>
      <c r="V3" s="10"/>
      <c r="W3" s="15">
        <f>SUMIF(AH5:AH124,"DP",AG5:AG124)</f>
        <v>0</v>
      </c>
      <c r="X3" s="15">
        <f>SUMIF(AH5:AH144,"JL",AG5:AG144)</f>
        <v>0</v>
      </c>
      <c r="Y3" s="15">
        <f>SUMIF(AH5:AH124,"RB",AG5:AG124)</f>
        <v>0</v>
      </c>
      <c r="Z3" s="15">
        <f>SUMIF(AH5:AH124,"MS",AG5:AG124)</f>
        <v>0</v>
      </c>
      <c r="AA3" s="15">
        <f>SUMIF(AH5:AH124,"PC",AG5:AG124)</f>
        <v>0</v>
      </c>
      <c r="AB3" s="15"/>
      <c r="AC3" s="6" t="s">
        <v>15</v>
      </c>
    </row>
    <row r="4" spans="1:30" ht="15" thickBot="1" x14ac:dyDescent="0.35">
      <c r="A4" s="16"/>
      <c r="B4" s="17" t="s">
        <v>16</v>
      </c>
      <c r="C4" s="18" t="s">
        <v>17</v>
      </c>
      <c r="D4" s="19" t="s">
        <v>18</v>
      </c>
      <c r="E4" s="20" t="s">
        <v>19</v>
      </c>
      <c r="F4" s="21" t="s">
        <v>20</v>
      </c>
      <c r="G4" s="17" t="s">
        <v>16</v>
      </c>
      <c r="H4" s="18" t="s">
        <v>17</v>
      </c>
      <c r="I4" s="19" t="s">
        <v>18</v>
      </c>
      <c r="J4" s="20" t="s">
        <v>19</v>
      </c>
      <c r="K4" s="21" t="s">
        <v>20</v>
      </c>
      <c r="L4" s="17" t="s">
        <v>16</v>
      </c>
      <c r="M4" s="18" t="s">
        <v>17</v>
      </c>
      <c r="N4" s="19" t="s">
        <v>18</v>
      </c>
      <c r="O4" s="20" t="s">
        <v>19</v>
      </c>
      <c r="P4" s="21" t="s">
        <v>20</v>
      </c>
      <c r="Q4" s="17" t="s">
        <v>16</v>
      </c>
      <c r="R4" s="18" t="s">
        <v>17</v>
      </c>
      <c r="S4" s="19" t="s">
        <v>18</v>
      </c>
      <c r="T4" s="20" t="s">
        <v>19</v>
      </c>
      <c r="U4" s="21" t="s">
        <v>20</v>
      </c>
      <c r="V4" s="10"/>
      <c r="W4" s="22" t="e">
        <f>(W3/W5)</f>
        <v>#DIV/0!</v>
      </c>
      <c r="X4" s="22" t="e">
        <f>(X3/X5)</f>
        <v>#DIV/0!</v>
      </c>
      <c r="Y4" s="22" t="e">
        <f t="shared" ref="Y4:AA4" si="1">(Y3/Y5)</f>
        <v>#DIV/0!</v>
      </c>
      <c r="Z4" s="22" t="e">
        <f t="shared" si="1"/>
        <v>#DIV/0!</v>
      </c>
      <c r="AA4" s="22" t="e">
        <f t="shared" si="1"/>
        <v>#DIV/0!</v>
      </c>
      <c r="AB4" s="22"/>
      <c r="AC4" s="6" t="s">
        <v>21</v>
      </c>
    </row>
    <row r="5" spans="1:30" x14ac:dyDescent="0.3">
      <c r="A5" s="16">
        <v>1</v>
      </c>
      <c r="B5" s="23">
        <v>4074</v>
      </c>
      <c r="C5" s="24">
        <v>45</v>
      </c>
      <c r="D5" s="24">
        <v>271.8</v>
      </c>
      <c r="E5" s="24">
        <v>11000</v>
      </c>
      <c r="F5" s="25" t="s">
        <v>22</v>
      </c>
      <c r="G5" s="23">
        <v>4076</v>
      </c>
      <c r="H5" s="24">
        <v>28</v>
      </c>
      <c r="I5" s="24">
        <v>187.4</v>
      </c>
      <c r="J5" s="24">
        <v>10000</v>
      </c>
      <c r="K5" s="25" t="s">
        <v>23</v>
      </c>
      <c r="L5" s="23">
        <v>4071</v>
      </c>
      <c r="M5" s="24">
        <v>72</v>
      </c>
      <c r="N5" s="24">
        <v>295.10000000000002</v>
      </c>
      <c r="O5" s="24">
        <v>10000</v>
      </c>
      <c r="P5" s="25" t="s">
        <v>24</v>
      </c>
      <c r="Q5" s="23">
        <v>4093</v>
      </c>
      <c r="R5" s="24">
        <v>20</v>
      </c>
      <c r="S5" s="24">
        <v>99.2</v>
      </c>
      <c r="T5" s="24">
        <v>5000</v>
      </c>
      <c r="U5" s="25" t="s">
        <v>25</v>
      </c>
      <c r="V5" s="10"/>
      <c r="W5" s="26">
        <f t="shared" ref="W5:AA5" si="2">10625*W1</f>
        <v>0</v>
      </c>
      <c r="X5" s="26">
        <f t="shared" si="2"/>
        <v>0</v>
      </c>
      <c r="Y5" s="26">
        <f t="shared" si="2"/>
        <v>0</v>
      </c>
      <c r="Z5" s="26">
        <f t="shared" si="2"/>
        <v>0</v>
      </c>
      <c r="AA5" s="26">
        <f t="shared" si="2"/>
        <v>0</v>
      </c>
      <c r="AB5" s="26"/>
    </row>
    <row r="6" spans="1:30" x14ac:dyDescent="0.3">
      <c r="A6" s="16">
        <v>2</v>
      </c>
      <c r="B6" s="27">
        <v>4074</v>
      </c>
      <c r="C6" s="28">
        <v>74</v>
      </c>
      <c r="D6" s="28">
        <v>267.60000000000002</v>
      </c>
      <c r="E6" s="28">
        <v>11000</v>
      </c>
      <c r="F6" s="29" t="s">
        <v>22</v>
      </c>
      <c r="G6" s="27">
        <v>4090</v>
      </c>
      <c r="H6" s="28">
        <v>91</v>
      </c>
      <c r="I6" s="28">
        <v>67.099999999999994</v>
      </c>
      <c r="J6" s="28">
        <v>5000</v>
      </c>
      <c r="K6" s="29" t="s">
        <v>23</v>
      </c>
      <c r="L6" s="27">
        <v>4071</v>
      </c>
      <c r="M6" s="28">
        <v>61</v>
      </c>
      <c r="N6" s="28">
        <v>298.10000000000002</v>
      </c>
      <c r="O6" s="28">
        <v>10000</v>
      </c>
      <c r="P6" s="29" t="s">
        <v>24</v>
      </c>
      <c r="Q6" s="27">
        <v>4093</v>
      </c>
      <c r="R6" s="28">
        <v>37</v>
      </c>
      <c r="S6" s="28">
        <v>97.2</v>
      </c>
      <c r="T6" s="28">
        <v>5000</v>
      </c>
      <c r="U6" s="29" t="s">
        <v>25</v>
      </c>
      <c r="V6" s="30"/>
      <c r="Z6" s="31"/>
      <c r="AA6" s="31"/>
    </row>
    <row r="7" spans="1:30" x14ac:dyDescent="0.3">
      <c r="A7" s="16">
        <v>3</v>
      </c>
      <c r="B7" s="27"/>
      <c r="C7" s="28"/>
      <c r="D7" s="28"/>
      <c r="E7" s="28"/>
      <c r="F7" s="29"/>
      <c r="G7" s="27">
        <v>4090</v>
      </c>
      <c r="H7" s="28">
        <v>77</v>
      </c>
      <c r="I7" s="28">
        <v>67.7</v>
      </c>
      <c r="J7" s="28">
        <v>5000</v>
      </c>
      <c r="K7" s="29" t="s">
        <v>26</v>
      </c>
      <c r="L7" s="27">
        <v>4071</v>
      </c>
      <c r="M7" s="28">
        <v>71</v>
      </c>
      <c r="N7" s="28">
        <v>295.60000000000002</v>
      </c>
      <c r="O7" s="28">
        <v>10000</v>
      </c>
      <c r="P7" s="29" t="s">
        <v>24</v>
      </c>
      <c r="Q7" s="27">
        <v>4093</v>
      </c>
      <c r="R7" s="28">
        <v>30</v>
      </c>
      <c r="S7" s="28">
        <v>95</v>
      </c>
      <c r="T7" s="28">
        <v>5000</v>
      </c>
      <c r="U7" s="29" t="s">
        <v>25</v>
      </c>
      <c r="V7" s="10"/>
      <c r="W7" s="31">
        <v>75</v>
      </c>
      <c r="X7" s="31">
        <v>83</v>
      </c>
      <c r="Y7" s="31">
        <v>76</v>
      </c>
      <c r="Z7" s="31">
        <v>84</v>
      </c>
      <c r="AA7" s="31">
        <v>90</v>
      </c>
      <c r="AB7" s="31"/>
    </row>
    <row r="8" spans="1:30" x14ac:dyDescent="0.3">
      <c r="A8" s="16">
        <v>4</v>
      </c>
      <c r="B8" s="27"/>
      <c r="C8" s="28"/>
      <c r="D8" s="28"/>
      <c r="E8" s="28"/>
      <c r="F8" s="29"/>
      <c r="G8" s="27">
        <v>4090</v>
      </c>
      <c r="H8" s="28">
        <v>80</v>
      </c>
      <c r="I8" s="28">
        <v>69.900000000000006</v>
      </c>
      <c r="J8" s="28">
        <v>5000</v>
      </c>
      <c r="K8" s="29" t="s">
        <v>26</v>
      </c>
      <c r="L8" s="27">
        <v>4071</v>
      </c>
      <c r="M8" s="28">
        <v>75</v>
      </c>
      <c r="N8" s="28"/>
      <c r="O8" s="28">
        <v>8000</v>
      </c>
      <c r="P8" s="29" t="s">
        <v>24</v>
      </c>
      <c r="Q8" s="27">
        <v>4093</v>
      </c>
      <c r="R8" s="28">
        <v>33</v>
      </c>
      <c r="S8" s="28">
        <v>94.3</v>
      </c>
      <c r="T8" s="28">
        <v>5000</v>
      </c>
      <c r="U8" s="29" t="s">
        <v>25</v>
      </c>
      <c r="V8" s="10" t="s">
        <v>27</v>
      </c>
      <c r="W8" s="32" t="e">
        <f t="shared" ref="W8:AA8" si="3">(W3/$W9/W10*8)</f>
        <v>#DIV/0!</v>
      </c>
      <c r="X8" s="32" t="e">
        <f t="shared" si="3"/>
        <v>#DIV/0!</v>
      </c>
      <c r="Y8" s="32" t="e">
        <f t="shared" si="3"/>
        <v>#DIV/0!</v>
      </c>
      <c r="Z8" s="32" t="e">
        <f t="shared" si="3"/>
        <v>#DIV/0!</v>
      </c>
      <c r="AA8" s="32" t="e">
        <f t="shared" si="3"/>
        <v>#DIV/0!</v>
      </c>
      <c r="AB8" s="32"/>
    </row>
    <row r="9" spans="1:30" x14ac:dyDescent="0.3">
      <c r="A9" s="16">
        <v>5</v>
      </c>
      <c r="B9" s="27"/>
      <c r="C9" s="28"/>
      <c r="D9" s="28"/>
      <c r="E9" s="28"/>
      <c r="F9" s="29"/>
      <c r="G9" s="27">
        <v>4091</v>
      </c>
      <c r="H9" s="28">
        <v>64</v>
      </c>
      <c r="I9" s="28">
        <v>17</v>
      </c>
      <c r="J9" s="28">
        <v>750</v>
      </c>
      <c r="K9" s="29" t="s">
        <v>26</v>
      </c>
      <c r="L9" s="27">
        <v>4071</v>
      </c>
      <c r="M9" s="28">
        <v>46</v>
      </c>
      <c r="N9" s="28">
        <v>294.89999999999998</v>
      </c>
      <c r="O9" s="28">
        <v>10000</v>
      </c>
      <c r="P9" s="29" t="s">
        <v>22</v>
      </c>
      <c r="Q9" s="27">
        <v>4094</v>
      </c>
      <c r="R9" s="28">
        <v>21</v>
      </c>
      <c r="S9" s="28">
        <v>73.3</v>
      </c>
      <c r="T9" s="28">
        <v>4000</v>
      </c>
      <c r="U9" s="29" t="s">
        <v>25</v>
      </c>
      <c r="V9" s="10" t="s">
        <v>28</v>
      </c>
      <c r="W9" s="31">
        <f>SUM(W3:AB3)/6</f>
        <v>0</v>
      </c>
      <c r="X9" s="31"/>
      <c r="Y9" s="31"/>
      <c r="Z9" s="31"/>
      <c r="AA9" s="31"/>
      <c r="AB9" s="31"/>
    </row>
    <row r="10" spans="1:30" x14ac:dyDescent="0.3">
      <c r="A10" s="16">
        <v>6</v>
      </c>
      <c r="B10" s="27"/>
      <c r="C10" s="28"/>
      <c r="D10" s="28"/>
      <c r="E10" s="28"/>
      <c r="F10" s="29"/>
      <c r="G10" s="27">
        <v>4091</v>
      </c>
      <c r="H10" s="28">
        <v>27</v>
      </c>
      <c r="I10" s="28">
        <v>17.899999999999999</v>
      </c>
      <c r="J10" s="28">
        <v>750</v>
      </c>
      <c r="K10" s="29" t="s">
        <v>26</v>
      </c>
      <c r="L10" s="27">
        <v>4071</v>
      </c>
      <c r="M10" s="28">
        <v>35</v>
      </c>
      <c r="N10" s="28">
        <v>296.8</v>
      </c>
      <c r="O10" s="28">
        <v>10000</v>
      </c>
      <c r="P10" s="29" t="s">
        <v>22</v>
      </c>
      <c r="Q10" s="27">
        <v>4094</v>
      </c>
      <c r="R10" s="28">
        <v>44</v>
      </c>
      <c r="S10" s="28">
        <v>77.5</v>
      </c>
      <c r="T10" s="28">
        <v>4000</v>
      </c>
      <c r="U10" s="29" t="s">
        <v>25</v>
      </c>
      <c r="V10" s="10" t="s">
        <v>29</v>
      </c>
      <c r="W10" s="31">
        <v>8</v>
      </c>
      <c r="X10" s="31">
        <v>8</v>
      </c>
      <c r="Y10" s="31">
        <v>8</v>
      </c>
      <c r="Z10" s="31">
        <v>8</v>
      </c>
      <c r="AA10" s="31">
        <v>8</v>
      </c>
      <c r="AB10" s="31"/>
    </row>
    <row r="11" spans="1:30" x14ac:dyDescent="0.3">
      <c r="A11" s="16">
        <v>7</v>
      </c>
      <c r="B11" s="27"/>
      <c r="C11" s="28"/>
      <c r="D11" s="28"/>
      <c r="E11" s="28"/>
      <c r="F11" s="29"/>
      <c r="G11" s="27">
        <v>4091</v>
      </c>
      <c r="H11" s="28">
        <v>99</v>
      </c>
      <c r="I11" s="28">
        <v>17</v>
      </c>
      <c r="J11" s="28">
        <v>750</v>
      </c>
      <c r="K11" s="29" t="s">
        <v>26</v>
      </c>
      <c r="L11" s="27">
        <v>4071</v>
      </c>
      <c r="M11" s="28">
        <v>11</v>
      </c>
      <c r="N11" s="28">
        <v>295.39999999999998</v>
      </c>
      <c r="O11" s="28">
        <v>10000</v>
      </c>
      <c r="P11" s="29" t="s">
        <v>22</v>
      </c>
      <c r="Q11" s="27">
        <v>4094</v>
      </c>
      <c r="R11" s="28">
        <v>28</v>
      </c>
      <c r="S11" s="28">
        <v>74.5</v>
      </c>
      <c r="T11" s="28">
        <v>4000</v>
      </c>
      <c r="U11" s="29" t="s">
        <v>25</v>
      </c>
      <c r="V11" s="10"/>
      <c r="W11" s="32" t="e">
        <f>MAX(W8:AB8)</f>
        <v>#DIV/0!</v>
      </c>
      <c r="X11" t="s">
        <v>30</v>
      </c>
      <c r="Z11" s="31"/>
      <c r="AA11" s="31"/>
    </row>
    <row r="12" spans="1:30" x14ac:dyDescent="0.3">
      <c r="A12" s="16">
        <v>8</v>
      </c>
      <c r="B12" s="27"/>
      <c r="C12" s="28"/>
      <c r="D12" s="28"/>
      <c r="E12" s="28"/>
      <c r="F12" s="29"/>
      <c r="G12" s="27">
        <v>4091</v>
      </c>
      <c r="H12" s="28">
        <v>12</v>
      </c>
      <c r="I12" s="28">
        <v>19.899999999999999</v>
      </c>
      <c r="J12" s="28">
        <v>750</v>
      </c>
      <c r="K12" s="29" t="s">
        <v>26</v>
      </c>
      <c r="L12" s="27">
        <v>4071</v>
      </c>
      <c r="M12" s="28"/>
      <c r="N12" s="28">
        <v>297.5</v>
      </c>
      <c r="O12" s="28">
        <v>2000</v>
      </c>
      <c r="P12" s="29" t="s">
        <v>22</v>
      </c>
      <c r="Q12" s="27">
        <v>4094</v>
      </c>
      <c r="R12" s="28">
        <v>22</v>
      </c>
      <c r="S12" s="28">
        <v>74.599999999999994</v>
      </c>
      <c r="T12" s="28">
        <v>4000</v>
      </c>
      <c r="U12" s="29" t="s">
        <v>25</v>
      </c>
      <c r="V12" s="10"/>
      <c r="W12" s="32" t="e">
        <f>MIN(W8:AB8)</f>
        <v>#DIV/0!</v>
      </c>
      <c r="X12" t="s">
        <v>31</v>
      </c>
      <c r="Z12" s="31"/>
      <c r="AA12" s="33" t="e">
        <f>+W11</f>
        <v>#DIV/0!</v>
      </c>
      <c r="AB12" s="31">
        <v>90</v>
      </c>
    </row>
    <row r="13" spans="1:30" x14ac:dyDescent="0.3">
      <c r="A13" s="16">
        <v>9</v>
      </c>
      <c r="B13" s="27"/>
      <c r="C13" s="28"/>
      <c r="D13" s="28"/>
      <c r="E13" s="28"/>
      <c r="F13" s="29"/>
      <c r="G13" s="27">
        <v>4091</v>
      </c>
      <c r="H13" s="28">
        <v>38</v>
      </c>
      <c r="I13" s="28">
        <v>17.399999999999999</v>
      </c>
      <c r="J13" s="28">
        <v>750</v>
      </c>
      <c r="K13" s="29" t="s">
        <v>22</v>
      </c>
      <c r="L13" s="27"/>
      <c r="M13" s="28"/>
      <c r="N13" s="28"/>
      <c r="O13" s="28"/>
      <c r="P13" s="29"/>
      <c r="Q13" s="27"/>
      <c r="R13" s="28"/>
      <c r="S13" s="28"/>
      <c r="T13" s="28"/>
      <c r="U13" s="29"/>
      <c r="V13" s="10"/>
      <c r="W13" s="5" t="e">
        <f>(W11-W12)/16</f>
        <v>#DIV/0!</v>
      </c>
      <c r="X13" t="s">
        <v>32</v>
      </c>
      <c r="Z13" s="31"/>
      <c r="AA13" s="33" t="e">
        <f>+AA12-(W13*1)</f>
        <v>#DIV/0!</v>
      </c>
      <c r="AB13" s="31">
        <v>89</v>
      </c>
    </row>
    <row r="14" spans="1:30" x14ac:dyDescent="0.3">
      <c r="A14" s="16">
        <v>10</v>
      </c>
      <c r="B14" s="27"/>
      <c r="C14" s="28"/>
      <c r="D14" s="28"/>
      <c r="E14" s="28"/>
      <c r="F14" s="29"/>
      <c r="G14" s="27">
        <v>4091</v>
      </c>
      <c r="H14" s="28">
        <v>79</v>
      </c>
      <c r="I14" s="28">
        <v>17.2</v>
      </c>
      <c r="J14" s="28">
        <v>750</v>
      </c>
      <c r="K14" s="29" t="s">
        <v>22</v>
      </c>
      <c r="L14" s="27"/>
      <c r="M14" s="28"/>
      <c r="N14" s="28"/>
      <c r="O14" s="28"/>
      <c r="P14" s="29"/>
      <c r="Q14" s="27"/>
      <c r="R14" s="28"/>
      <c r="S14" s="28"/>
      <c r="T14" s="28"/>
      <c r="U14" s="29"/>
      <c r="V14" s="10"/>
      <c r="Z14" s="31"/>
      <c r="AA14" s="33" t="e">
        <f>+AA12-(W13*2)</f>
        <v>#DIV/0!</v>
      </c>
      <c r="AB14" s="31">
        <v>88</v>
      </c>
    </row>
    <row r="15" spans="1:30" x14ac:dyDescent="0.3">
      <c r="A15" s="16">
        <v>11</v>
      </c>
      <c r="B15" s="27"/>
      <c r="C15" s="28"/>
      <c r="D15" s="28"/>
      <c r="E15" s="28"/>
      <c r="F15" s="29"/>
      <c r="G15" s="27"/>
      <c r="H15" s="28"/>
      <c r="I15" s="28"/>
      <c r="J15" s="28"/>
      <c r="K15" s="29"/>
      <c r="L15" s="27"/>
      <c r="M15" s="28"/>
      <c r="N15" s="28"/>
      <c r="O15" s="28"/>
      <c r="P15" s="29"/>
      <c r="Q15" s="27"/>
      <c r="R15" s="28"/>
      <c r="S15" s="28"/>
      <c r="T15" s="28"/>
      <c r="U15" s="29"/>
      <c r="V15" s="10"/>
      <c r="Z15" s="31"/>
      <c r="AA15" s="33" t="e">
        <f>+AA12-(W13*3)</f>
        <v>#DIV/0!</v>
      </c>
      <c r="AB15" s="31">
        <v>87</v>
      </c>
    </row>
    <row r="16" spans="1:30" x14ac:dyDescent="0.3">
      <c r="A16" s="16">
        <v>12</v>
      </c>
      <c r="B16" s="27"/>
      <c r="C16" s="28"/>
      <c r="D16" s="28"/>
      <c r="E16" s="28"/>
      <c r="F16" s="29"/>
      <c r="G16" s="27"/>
      <c r="H16" s="28"/>
      <c r="I16" s="28"/>
      <c r="J16" s="28"/>
      <c r="K16" s="29"/>
      <c r="L16" s="27"/>
      <c r="M16" s="28"/>
      <c r="N16" s="28"/>
      <c r="O16" s="28"/>
      <c r="P16" s="29"/>
      <c r="Q16" s="27"/>
      <c r="R16" s="28"/>
      <c r="S16" s="28"/>
      <c r="T16" s="28"/>
      <c r="U16" s="29"/>
      <c r="V16" s="10"/>
      <c r="Z16" s="31"/>
      <c r="AA16" s="33" t="e">
        <f>+AA12-(W13*4)</f>
        <v>#DIV/0!</v>
      </c>
      <c r="AB16" s="31">
        <v>86</v>
      </c>
    </row>
    <row r="17" spans="1:28" x14ac:dyDescent="0.3">
      <c r="A17" s="16">
        <v>13</v>
      </c>
      <c r="B17" s="27"/>
      <c r="C17" s="28"/>
      <c r="D17" s="28"/>
      <c r="E17" s="28"/>
      <c r="F17" s="29"/>
      <c r="G17" s="27"/>
      <c r="H17" s="28"/>
      <c r="I17" s="28"/>
      <c r="J17" s="28"/>
      <c r="K17" s="29"/>
      <c r="L17" s="27"/>
      <c r="M17" s="28"/>
      <c r="N17" s="28"/>
      <c r="O17" s="28"/>
      <c r="P17" s="29"/>
      <c r="Q17" s="27"/>
      <c r="R17" s="28"/>
      <c r="S17" s="28"/>
      <c r="T17" s="28"/>
      <c r="U17" s="29"/>
      <c r="V17" s="10"/>
      <c r="Y17" s="10"/>
      <c r="Z17" s="31"/>
      <c r="AA17" s="33" t="e">
        <f>+AA12-(W13*5)</f>
        <v>#DIV/0!</v>
      </c>
      <c r="AB17" s="31">
        <v>85</v>
      </c>
    </row>
    <row r="18" spans="1:28" x14ac:dyDescent="0.3">
      <c r="A18" s="16">
        <v>14</v>
      </c>
      <c r="B18" s="27"/>
      <c r="C18" s="28"/>
      <c r="D18" s="28"/>
      <c r="E18" s="28"/>
      <c r="F18" s="29"/>
      <c r="G18" s="27"/>
      <c r="H18" s="28"/>
      <c r="I18" s="28"/>
      <c r="J18" s="28"/>
      <c r="K18" s="29"/>
      <c r="L18" s="27"/>
      <c r="M18" s="28"/>
      <c r="N18" s="28"/>
      <c r="O18" s="28"/>
      <c r="P18" s="29"/>
      <c r="Q18" s="27"/>
      <c r="R18" s="28"/>
      <c r="S18" s="28"/>
      <c r="T18" s="28"/>
      <c r="U18" s="29"/>
      <c r="V18" s="10"/>
      <c r="Y18" s="10"/>
      <c r="Z18" s="31"/>
      <c r="AA18" s="33" t="e">
        <f>+AA12-(W13*6)</f>
        <v>#DIV/0!</v>
      </c>
      <c r="AB18" s="31">
        <v>84</v>
      </c>
    </row>
    <row r="19" spans="1:28" x14ac:dyDescent="0.3">
      <c r="A19" s="16">
        <v>15</v>
      </c>
      <c r="B19" s="27"/>
      <c r="C19" s="28"/>
      <c r="D19" s="28"/>
      <c r="E19" s="28"/>
      <c r="F19" s="29"/>
      <c r="G19" s="27"/>
      <c r="H19" s="28"/>
      <c r="I19" s="28"/>
      <c r="J19" s="28"/>
      <c r="K19" s="29"/>
      <c r="L19" s="27"/>
      <c r="M19" s="28"/>
      <c r="N19" s="28"/>
      <c r="O19" s="28"/>
      <c r="P19" s="29"/>
      <c r="Q19" s="27"/>
      <c r="R19" s="28"/>
      <c r="S19" s="28"/>
      <c r="T19" s="28"/>
      <c r="U19" s="29"/>
      <c r="V19" s="10"/>
      <c r="Z19" s="31"/>
      <c r="AA19" s="33" t="e">
        <f>+AA12-(W13*7)</f>
        <v>#DIV/0!</v>
      </c>
      <c r="AB19" s="31">
        <v>83</v>
      </c>
    </row>
    <row r="20" spans="1:28" x14ac:dyDescent="0.3">
      <c r="A20" s="16">
        <v>16</v>
      </c>
      <c r="B20" s="27"/>
      <c r="C20" s="28"/>
      <c r="D20" s="28"/>
      <c r="E20" s="28"/>
      <c r="F20" s="29"/>
      <c r="G20" s="27"/>
      <c r="H20" s="28"/>
      <c r="I20" s="28"/>
      <c r="J20" s="28"/>
      <c r="K20" s="29"/>
      <c r="L20" s="27"/>
      <c r="M20" s="28"/>
      <c r="N20" s="28"/>
      <c r="O20" s="28"/>
      <c r="P20" s="29"/>
      <c r="Q20" s="27"/>
      <c r="R20" s="28"/>
      <c r="S20" s="28"/>
      <c r="T20" s="28"/>
      <c r="U20" s="29"/>
      <c r="V20" s="10"/>
      <c r="Z20" s="31"/>
      <c r="AA20" s="33" t="e">
        <f>+AA12-(W13*8)</f>
        <v>#DIV/0!</v>
      </c>
      <c r="AB20" s="31">
        <v>82</v>
      </c>
    </row>
    <row r="21" spans="1:28" x14ac:dyDescent="0.3">
      <c r="A21" s="16">
        <v>17</v>
      </c>
      <c r="B21" s="27"/>
      <c r="C21" s="28"/>
      <c r="D21" s="28"/>
      <c r="E21" s="28"/>
      <c r="F21" s="29"/>
      <c r="G21" s="27"/>
      <c r="H21" s="28"/>
      <c r="I21" s="28"/>
      <c r="J21" s="28"/>
      <c r="K21" s="29"/>
      <c r="L21" s="27"/>
      <c r="M21" s="28"/>
      <c r="N21" s="28"/>
      <c r="O21" s="28"/>
      <c r="P21" s="29"/>
      <c r="Q21" s="27"/>
      <c r="R21" s="28"/>
      <c r="S21" s="28"/>
      <c r="T21" s="28"/>
      <c r="U21" s="29"/>
      <c r="V21" s="10"/>
      <c r="Z21" s="31"/>
      <c r="AA21" s="33" t="e">
        <f>+AA12-(W13*9)</f>
        <v>#DIV/0!</v>
      </c>
      <c r="AB21" s="31">
        <v>81</v>
      </c>
    </row>
    <row r="22" spans="1:28" x14ac:dyDescent="0.3">
      <c r="A22" s="16">
        <v>18</v>
      </c>
      <c r="B22" s="27"/>
      <c r="C22" s="28"/>
      <c r="D22" s="28"/>
      <c r="E22" s="28"/>
      <c r="F22" s="29"/>
      <c r="G22" s="27"/>
      <c r="H22" s="28"/>
      <c r="I22" s="28"/>
      <c r="J22" s="28"/>
      <c r="K22" s="29"/>
      <c r="L22" s="27"/>
      <c r="M22" s="28"/>
      <c r="N22" s="28"/>
      <c r="O22" s="28"/>
      <c r="P22" s="29"/>
      <c r="Q22" s="27"/>
      <c r="R22" s="28"/>
      <c r="S22" s="28"/>
      <c r="T22" s="28"/>
      <c r="U22" s="29"/>
      <c r="V22" s="10"/>
      <c r="Z22" s="31"/>
      <c r="AA22" s="33" t="e">
        <f>+AA12-(W13*10)</f>
        <v>#DIV/0!</v>
      </c>
      <c r="AB22" s="31">
        <v>80</v>
      </c>
    </row>
    <row r="23" spans="1:28" x14ac:dyDescent="0.3">
      <c r="A23" s="16">
        <v>19</v>
      </c>
      <c r="B23" s="27"/>
      <c r="C23" s="28"/>
      <c r="D23" s="28"/>
      <c r="E23" s="28"/>
      <c r="F23" s="29"/>
      <c r="G23" s="27"/>
      <c r="H23" s="28"/>
      <c r="I23" s="28"/>
      <c r="J23" s="28"/>
      <c r="K23" s="29"/>
      <c r="L23" s="27"/>
      <c r="M23" s="28"/>
      <c r="N23" s="28"/>
      <c r="O23" s="28"/>
      <c r="P23" s="29"/>
      <c r="Q23" s="27"/>
      <c r="R23" s="28"/>
      <c r="S23" s="28"/>
      <c r="T23" s="28"/>
      <c r="U23" s="29"/>
      <c r="V23" s="10"/>
      <c r="Z23" s="31"/>
      <c r="AA23" s="33" t="e">
        <f>+AA12-(W13*12)</f>
        <v>#DIV/0!</v>
      </c>
      <c r="AB23" s="31">
        <v>79</v>
      </c>
    </row>
    <row r="24" spans="1:28" x14ac:dyDescent="0.3">
      <c r="A24" s="16">
        <v>20</v>
      </c>
      <c r="B24" s="27"/>
      <c r="C24" s="28"/>
      <c r="D24" s="28"/>
      <c r="E24" s="28"/>
      <c r="F24" s="29"/>
      <c r="G24" s="27"/>
      <c r="H24" s="28"/>
      <c r="I24" s="28"/>
      <c r="J24" s="28"/>
      <c r="K24" s="29"/>
      <c r="L24" s="27"/>
      <c r="M24" s="28"/>
      <c r="N24" s="28"/>
      <c r="O24" s="28"/>
      <c r="P24" s="29"/>
      <c r="Q24" s="27"/>
      <c r="R24" s="28"/>
      <c r="S24" s="28"/>
      <c r="T24" s="28"/>
      <c r="U24" s="29"/>
      <c r="V24" s="10"/>
      <c r="W24" s="5"/>
      <c r="X24" s="5"/>
      <c r="Y24" s="5"/>
      <c r="Z24" s="31"/>
      <c r="AA24" s="33" t="e">
        <f>+AA12-(W13*13)</f>
        <v>#DIV/0!</v>
      </c>
      <c r="AB24" s="31">
        <v>78</v>
      </c>
    </row>
    <row r="25" spans="1:28" x14ac:dyDescent="0.3">
      <c r="A25" s="16">
        <v>21</v>
      </c>
      <c r="B25" s="27"/>
      <c r="C25" s="28"/>
      <c r="D25" s="28"/>
      <c r="E25" s="28"/>
      <c r="F25" s="29"/>
      <c r="G25" s="27"/>
      <c r="H25" s="28"/>
      <c r="I25" s="28"/>
      <c r="J25" s="28"/>
      <c r="K25" s="29"/>
      <c r="L25" s="27"/>
      <c r="M25" s="28"/>
      <c r="N25" s="28"/>
      <c r="O25" s="28"/>
      <c r="P25" s="29"/>
      <c r="Q25" s="27"/>
      <c r="R25" s="28"/>
      <c r="S25" s="28"/>
      <c r="T25" s="28"/>
      <c r="U25" s="29"/>
      <c r="V25" s="10"/>
      <c r="Z25" s="31"/>
      <c r="AA25" s="33" t="e">
        <f>+AA12-(W13*14)</f>
        <v>#DIV/0!</v>
      </c>
      <c r="AB25" s="31">
        <v>77</v>
      </c>
    </row>
    <row r="26" spans="1:28" x14ac:dyDescent="0.3">
      <c r="A26" s="16">
        <v>22</v>
      </c>
      <c r="B26" s="27"/>
      <c r="C26" s="28"/>
      <c r="D26" s="28"/>
      <c r="E26" s="28"/>
      <c r="F26" s="29"/>
      <c r="G26" s="27"/>
      <c r="H26" s="28"/>
      <c r="I26" s="28"/>
      <c r="J26" s="28"/>
      <c r="K26" s="29"/>
      <c r="L26" s="27"/>
      <c r="M26" s="28"/>
      <c r="N26" s="28"/>
      <c r="O26" s="28"/>
      <c r="P26" s="29"/>
      <c r="Q26" s="27"/>
      <c r="R26" s="28"/>
      <c r="S26" s="28"/>
      <c r="T26" s="28"/>
      <c r="U26" s="29"/>
      <c r="V26" s="10"/>
      <c r="W26" s="5"/>
      <c r="Z26" s="31"/>
      <c r="AA26" s="33" t="e">
        <f>+AA12-(W13*15)</f>
        <v>#DIV/0!</v>
      </c>
      <c r="AB26" s="31">
        <v>76</v>
      </c>
    </row>
    <row r="27" spans="1:28" x14ac:dyDescent="0.3">
      <c r="A27" s="16">
        <v>23</v>
      </c>
      <c r="B27" s="27"/>
      <c r="C27" s="28"/>
      <c r="D27" s="28"/>
      <c r="E27" s="28"/>
      <c r="F27" s="29"/>
      <c r="G27" s="27"/>
      <c r="H27" s="28"/>
      <c r="I27" s="28"/>
      <c r="J27" s="28"/>
      <c r="K27" s="29"/>
      <c r="L27" s="27"/>
      <c r="M27" s="28"/>
      <c r="N27" s="28"/>
      <c r="O27" s="28"/>
      <c r="P27" s="29"/>
      <c r="Q27" s="27"/>
      <c r="R27" s="28"/>
      <c r="S27" s="28"/>
      <c r="T27" s="28"/>
      <c r="U27" s="29"/>
      <c r="V27" s="10"/>
      <c r="W27" s="5"/>
      <c r="Z27" s="31"/>
      <c r="AA27" s="33" t="e">
        <f>+AA12-(W13*16)</f>
        <v>#DIV/0!</v>
      </c>
      <c r="AB27" s="31">
        <v>75</v>
      </c>
    </row>
    <row r="28" spans="1:28" x14ac:dyDescent="0.3">
      <c r="A28" s="16">
        <v>24</v>
      </c>
      <c r="B28" s="27"/>
      <c r="C28" s="28"/>
      <c r="D28" s="28"/>
      <c r="E28" s="28"/>
      <c r="F28" s="29"/>
      <c r="G28" s="27"/>
      <c r="H28" s="28"/>
      <c r="I28" s="28"/>
      <c r="J28" s="28"/>
      <c r="K28" s="29"/>
      <c r="L28" s="27"/>
      <c r="M28" s="28"/>
      <c r="N28" s="28"/>
      <c r="O28" s="28"/>
      <c r="P28" s="29"/>
      <c r="Q28" s="27"/>
      <c r="R28" s="28"/>
      <c r="S28" s="28"/>
      <c r="T28" s="28"/>
      <c r="U28" s="29"/>
      <c r="V28" s="10"/>
      <c r="W28" s="5"/>
      <c r="Z28" s="31"/>
      <c r="AA28" s="31"/>
    </row>
    <row r="29" spans="1:28" x14ac:dyDescent="0.3">
      <c r="A29" s="16">
        <v>25</v>
      </c>
      <c r="B29" s="27"/>
      <c r="C29" s="28"/>
      <c r="D29" s="28"/>
      <c r="E29" s="28"/>
      <c r="F29" s="29"/>
      <c r="G29" s="27"/>
      <c r="H29" s="28"/>
      <c r="I29" s="28"/>
      <c r="J29" s="28"/>
      <c r="K29" s="29"/>
      <c r="L29" s="27"/>
      <c r="M29" s="28"/>
      <c r="N29" s="28"/>
      <c r="O29" s="28"/>
      <c r="P29" s="29"/>
      <c r="Q29" s="27"/>
      <c r="R29" s="28"/>
      <c r="S29" s="28"/>
      <c r="T29" s="28"/>
      <c r="U29" s="29"/>
      <c r="V29" s="10"/>
      <c r="W29" s="5"/>
      <c r="Z29" s="31"/>
      <c r="AA29" s="31"/>
    </row>
    <row r="30" spans="1:28" x14ac:dyDescent="0.3">
      <c r="A30" s="16">
        <v>26</v>
      </c>
      <c r="B30" s="27"/>
      <c r="C30" s="28"/>
      <c r="D30" s="28"/>
      <c r="E30" s="28"/>
      <c r="F30" s="29"/>
      <c r="G30" s="27"/>
      <c r="H30" s="28"/>
      <c r="I30" s="28"/>
      <c r="J30" s="28"/>
      <c r="K30" s="29"/>
      <c r="L30" s="27"/>
      <c r="M30" s="28"/>
      <c r="N30" s="28"/>
      <c r="O30" s="28"/>
      <c r="P30" s="29"/>
      <c r="Q30" s="27"/>
      <c r="R30" s="28"/>
      <c r="S30" s="28"/>
      <c r="T30" s="28"/>
      <c r="U30" s="29"/>
      <c r="V30" s="10"/>
      <c r="Z30" s="31"/>
      <c r="AA30" s="31"/>
    </row>
    <row r="31" spans="1:28" x14ac:dyDescent="0.3">
      <c r="A31" s="16">
        <v>27</v>
      </c>
      <c r="B31" s="27"/>
      <c r="C31" s="28"/>
      <c r="D31" s="28"/>
      <c r="E31" s="28"/>
      <c r="F31" s="29"/>
      <c r="G31" s="27"/>
      <c r="H31" s="28"/>
      <c r="I31" s="28"/>
      <c r="J31" s="28"/>
      <c r="K31" s="29"/>
      <c r="L31" s="27"/>
      <c r="M31" s="28"/>
      <c r="N31" s="28"/>
      <c r="O31" s="28"/>
      <c r="P31" s="29"/>
      <c r="Q31" s="27"/>
      <c r="R31" s="28"/>
      <c r="S31" s="28"/>
      <c r="T31" s="28"/>
      <c r="U31" s="29"/>
      <c r="V31" s="10"/>
      <c r="Z31" s="31"/>
      <c r="AA31" s="31"/>
    </row>
    <row r="32" spans="1:28" x14ac:dyDescent="0.3">
      <c r="A32" s="16">
        <v>28</v>
      </c>
      <c r="B32" s="27"/>
      <c r="C32" s="28"/>
      <c r="D32" s="28"/>
      <c r="E32" s="28"/>
      <c r="F32" s="29"/>
      <c r="G32" s="27"/>
      <c r="H32" s="28"/>
      <c r="I32" s="28"/>
      <c r="J32" s="28"/>
      <c r="K32" s="29"/>
      <c r="L32" s="27"/>
      <c r="M32" s="28"/>
      <c r="N32" s="28"/>
      <c r="O32" s="28"/>
      <c r="P32" s="29"/>
      <c r="Q32" s="27"/>
      <c r="R32" s="28"/>
      <c r="S32" s="28"/>
      <c r="T32" s="28"/>
      <c r="U32" s="29"/>
      <c r="V32" s="10"/>
      <c r="Z32" s="31"/>
      <c r="AA32" s="31"/>
    </row>
    <row r="33" spans="1:27" x14ac:dyDescent="0.3">
      <c r="A33" s="16">
        <v>29</v>
      </c>
      <c r="B33" s="27"/>
      <c r="C33" s="28"/>
      <c r="D33" s="28"/>
      <c r="E33" s="28"/>
      <c r="F33" s="29"/>
      <c r="G33" s="27"/>
      <c r="H33" s="28"/>
      <c r="I33" s="28"/>
      <c r="J33" s="28"/>
      <c r="K33" s="29"/>
      <c r="L33" s="27"/>
      <c r="M33" s="28"/>
      <c r="N33" s="28"/>
      <c r="O33" s="28"/>
      <c r="P33" s="29"/>
      <c r="Q33" s="27"/>
      <c r="R33" s="28"/>
      <c r="S33" s="28"/>
      <c r="T33" s="28"/>
      <c r="U33" s="29"/>
      <c r="V33" s="10"/>
      <c r="Y33" s="10"/>
      <c r="Z33" s="31"/>
      <c r="AA33" s="31"/>
    </row>
    <row r="34" spans="1:27" x14ac:dyDescent="0.3">
      <c r="A34" s="16">
        <v>30</v>
      </c>
      <c r="B34" s="27"/>
      <c r="C34" s="28"/>
      <c r="D34" s="28"/>
      <c r="E34" s="28"/>
      <c r="F34" s="29"/>
      <c r="G34" s="27"/>
      <c r="H34" s="28"/>
      <c r="I34" s="28"/>
      <c r="J34" s="28"/>
      <c r="K34" s="29"/>
      <c r="L34" s="27"/>
      <c r="M34" s="28"/>
      <c r="N34" s="28"/>
      <c r="O34" s="28"/>
      <c r="P34" s="29"/>
      <c r="Q34" s="27"/>
      <c r="R34" s="28"/>
      <c r="S34" s="28"/>
      <c r="T34" s="28"/>
      <c r="U34" s="29"/>
      <c r="V34" s="10"/>
      <c r="Y34" s="10"/>
      <c r="Z34" s="34"/>
      <c r="AA34" s="34"/>
    </row>
    <row r="35" spans="1:27" x14ac:dyDescent="0.3">
      <c r="A35" s="16">
        <v>31</v>
      </c>
      <c r="B35" s="27"/>
      <c r="C35" s="28"/>
      <c r="D35" s="28"/>
      <c r="E35" s="28"/>
      <c r="F35" s="29"/>
      <c r="G35" s="27"/>
      <c r="H35" s="28"/>
      <c r="I35" s="28"/>
      <c r="J35" s="28"/>
      <c r="K35" s="29"/>
      <c r="L35" s="27"/>
      <c r="M35" s="28"/>
      <c r="N35" s="28"/>
      <c r="O35" s="28"/>
      <c r="P35" s="29"/>
      <c r="Q35" s="27"/>
      <c r="R35" s="28"/>
      <c r="S35" s="28"/>
      <c r="T35" s="28"/>
      <c r="U35" s="29"/>
      <c r="V35" s="10"/>
      <c r="Z35" s="31"/>
      <c r="AA35" s="31"/>
    </row>
    <row r="36" spans="1:27" x14ac:dyDescent="0.3">
      <c r="A36" s="16">
        <v>32</v>
      </c>
      <c r="B36" s="27"/>
      <c r="C36" s="28"/>
      <c r="D36" s="28"/>
      <c r="E36" s="28"/>
      <c r="F36" s="29"/>
      <c r="G36" s="27"/>
      <c r="H36" s="28"/>
      <c r="I36" s="28"/>
      <c r="J36" s="28"/>
      <c r="K36" s="29"/>
      <c r="L36" s="27"/>
      <c r="M36" s="28"/>
      <c r="N36" s="28"/>
      <c r="O36" s="28"/>
      <c r="P36" s="29"/>
      <c r="Q36" s="27"/>
      <c r="R36" s="28"/>
      <c r="S36" s="28"/>
      <c r="T36" s="28"/>
      <c r="U36" s="29"/>
      <c r="V36" s="10"/>
      <c r="Z36" s="31"/>
      <c r="AA36" s="31"/>
    </row>
    <row r="37" spans="1:27" x14ac:dyDescent="0.3">
      <c r="A37" s="16">
        <v>33</v>
      </c>
      <c r="B37" s="27"/>
      <c r="C37" s="28"/>
      <c r="D37" s="28"/>
      <c r="E37" s="28"/>
      <c r="F37" s="29"/>
      <c r="G37" s="27"/>
      <c r="H37" s="28"/>
      <c r="I37" s="28"/>
      <c r="J37" s="28"/>
      <c r="K37" s="29"/>
      <c r="L37" s="27"/>
      <c r="M37" s="28"/>
      <c r="N37" s="28"/>
      <c r="O37" s="28"/>
      <c r="P37" s="29"/>
      <c r="Q37" s="27"/>
      <c r="R37" s="28"/>
      <c r="S37" s="28"/>
      <c r="T37" s="28"/>
      <c r="U37" s="29"/>
      <c r="V37" s="10"/>
      <c r="Z37" s="31"/>
      <c r="AA37" s="31"/>
    </row>
    <row r="38" spans="1:27" x14ac:dyDescent="0.3">
      <c r="A38" s="16">
        <v>34</v>
      </c>
      <c r="B38" s="27"/>
      <c r="C38" s="28"/>
      <c r="D38" s="28"/>
      <c r="E38" s="28"/>
      <c r="F38" s="29"/>
      <c r="G38" s="27"/>
      <c r="H38" s="28"/>
      <c r="I38" s="28"/>
      <c r="J38" s="28"/>
      <c r="K38" s="29"/>
      <c r="L38" s="27"/>
      <c r="M38" s="28"/>
      <c r="N38" s="28"/>
      <c r="O38" s="28"/>
      <c r="P38" s="29"/>
      <c r="Q38" s="27"/>
      <c r="R38" s="28"/>
      <c r="S38" s="28"/>
      <c r="T38" s="28"/>
      <c r="U38" s="29"/>
      <c r="V38" s="10"/>
      <c r="Z38" s="31"/>
      <c r="AA38" s="31"/>
    </row>
    <row r="39" spans="1:27" x14ac:dyDescent="0.3">
      <c r="A39" s="16">
        <v>35</v>
      </c>
      <c r="B39" s="27"/>
      <c r="C39" s="28"/>
      <c r="D39" s="28"/>
      <c r="E39" s="28"/>
      <c r="F39" s="29"/>
      <c r="G39" s="27"/>
      <c r="H39" s="28"/>
      <c r="I39" s="28"/>
      <c r="J39" s="28"/>
      <c r="K39" s="29"/>
      <c r="L39" s="27"/>
      <c r="M39" s="28"/>
      <c r="N39" s="28"/>
      <c r="O39" s="28"/>
      <c r="P39" s="29"/>
      <c r="Q39" s="27"/>
      <c r="R39" s="28"/>
      <c r="S39" s="28"/>
      <c r="T39" s="28"/>
      <c r="U39" s="29"/>
      <c r="V39" s="10"/>
      <c r="Z39" s="31"/>
      <c r="AA39" s="31"/>
    </row>
    <row r="40" spans="1:27" x14ac:dyDescent="0.3">
      <c r="A40" s="16">
        <v>36</v>
      </c>
      <c r="B40" s="27"/>
      <c r="C40" s="28"/>
      <c r="D40" s="28"/>
      <c r="E40" s="28"/>
      <c r="F40" s="29"/>
      <c r="G40" s="27"/>
      <c r="H40" s="28"/>
      <c r="I40" s="28"/>
      <c r="J40" s="28"/>
      <c r="K40" s="29"/>
      <c r="L40" s="27"/>
      <c r="M40" s="28"/>
      <c r="N40" s="28"/>
      <c r="O40" s="28"/>
      <c r="P40" s="29"/>
      <c r="Q40" s="27"/>
      <c r="R40" s="28"/>
      <c r="S40" s="28"/>
      <c r="T40" s="28"/>
      <c r="U40" s="29"/>
      <c r="V40" s="10"/>
      <c r="Z40" s="31"/>
      <c r="AA40" s="31"/>
    </row>
    <row r="41" spans="1:27" x14ac:dyDescent="0.3">
      <c r="A41" s="16">
        <v>37</v>
      </c>
      <c r="B41" s="27"/>
      <c r="C41" s="28"/>
      <c r="D41" s="28"/>
      <c r="E41" s="28"/>
      <c r="F41" s="29"/>
      <c r="G41" s="27"/>
      <c r="H41" s="28"/>
      <c r="I41" s="28"/>
      <c r="J41" s="28"/>
      <c r="K41" s="29"/>
      <c r="L41" s="27"/>
      <c r="M41" s="28"/>
      <c r="N41" s="28"/>
      <c r="O41" s="28"/>
      <c r="P41" s="29"/>
      <c r="Q41" s="27"/>
      <c r="R41" s="28"/>
      <c r="S41" s="28"/>
      <c r="T41" s="28"/>
      <c r="U41" s="29"/>
      <c r="V41" s="10"/>
      <c r="Z41" s="31"/>
      <c r="AA41" s="31"/>
    </row>
    <row r="42" spans="1:27" x14ac:dyDescent="0.3">
      <c r="A42" s="16">
        <v>38</v>
      </c>
      <c r="B42" s="27"/>
      <c r="C42" s="28"/>
      <c r="D42" s="28"/>
      <c r="E42" s="28"/>
      <c r="F42" s="29"/>
      <c r="G42" s="27"/>
      <c r="H42" s="28"/>
      <c r="I42" s="28"/>
      <c r="J42" s="28"/>
      <c r="K42" s="29"/>
      <c r="L42" s="27"/>
      <c r="M42" s="28"/>
      <c r="N42" s="28"/>
      <c r="O42" s="28"/>
      <c r="P42" s="29"/>
      <c r="Q42" s="27"/>
      <c r="R42" s="28"/>
      <c r="S42" s="28"/>
      <c r="T42" s="28"/>
      <c r="U42" s="29"/>
      <c r="V42" s="10"/>
      <c r="Z42" s="31"/>
      <c r="AA42" s="31"/>
    </row>
    <row r="43" spans="1:27" x14ac:dyDescent="0.3">
      <c r="A43" s="16">
        <v>39</v>
      </c>
      <c r="B43" s="27"/>
      <c r="C43" s="28"/>
      <c r="D43" s="28"/>
      <c r="E43" s="28"/>
      <c r="F43" s="29"/>
      <c r="G43" s="27"/>
      <c r="H43" s="28"/>
      <c r="I43" s="28"/>
      <c r="J43" s="28"/>
      <c r="K43" s="29"/>
      <c r="L43" s="27"/>
      <c r="M43" s="28"/>
      <c r="N43" s="28"/>
      <c r="O43" s="28"/>
      <c r="P43" s="29"/>
      <c r="Q43" s="27"/>
      <c r="R43" s="28"/>
      <c r="S43" s="28"/>
      <c r="T43" s="28"/>
      <c r="U43" s="29"/>
      <c r="V43" s="10"/>
      <c r="Z43" s="31"/>
      <c r="AA43" s="31"/>
    </row>
    <row r="44" spans="1:27" ht="15" thickBot="1" x14ac:dyDescent="0.35">
      <c r="A44" s="16">
        <v>40</v>
      </c>
      <c r="B44" s="35"/>
      <c r="C44" s="36"/>
      <c r="D44" s="36"/>
      <c r="E44" s="36"/>
      <c r="F44" s="37"/>
      <c r="G44" s="35"/>
      <c r="H44" s="36"/>
      <c r="I44" s="36"/>
      <c r="J44" s="36"/>
      <c r="K44" s="37"/>
      <c r="L44" s="35"/>
      <c r="M44" s="36"/>
      <c r="N44" s="36"/>
      <c r="O44" s="36"/>
      <c r="P44" s="37"/>
      <c r="Q44" s="35"/>
      <c r="R44" s="36"/>
      <c r="S44" s="36"/>
      <c r="T44" s="36"/>
      <c r="U44" s="37"/>
      <c r="V44" s="10"/>
      <c r="Z44" s="31"/>
      <c r="AA44" s="31"/>
    </row>
  </sheetData>
  <mergeCells count="1">
    <mergeCell ref="A3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2026-02-09T17:50:22Z</dcterms:created>
  <dcterms:modified xsi:type="dcterms:W3CDTF">2026-02-09T17:51:04Z</dcterms:modified>
</cp:coreProperties>
</file>