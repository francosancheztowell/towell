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owell\resources\templates\"/>
    </mc:Choice>
  </mc:AlternateContent>
  <xr:revisionPtr revIDLastSave="0" documentId="13_ncr:1_{6F748E7F-932C-4DB4-BDAC-398DEF54B49A}" xr6:coauthVersionLast="47" xr6:coauthVersionMax="47" xr10:uidLastSave="{00000000-0000-0000-0000-000000000000}"/>
  <bookViews>
    <workbookView xWindow="-120" yWindow="-120" windowWidth="29040" windowHeight="15720" activeTab="2" xr2:uid="{84822909-0E0F-4184-8C59-826A1580A2CB}"/>
  </bookViews>
  <sheets>
    <sheet name="Hoja1" sheetId="1" r:id="rId1"/>
    <sheet name="Hoja2" sheetId="2" r:id="rId2"/>
    <sheet name="Hoja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3" l="1"/>
  <c r="D62" i="3" s="1"/>
  <c r="G73" i="3"/>
  <c r="G74" i="3" s="1"/>
  <c r="F73" i="3"/>
  <c r="F74" i="3" s="1"/>
  <c r="E73" i="3"/>
  <c r="E74" i="3" s="1"/>
  <c r="D73" i="3"/>
  <c r="D74" i="3" s="1"/>
  <c r="C73" i="3"/>
  <c r="C74" i="3" s="1"/>
  <c r="B73" i="3"/>
  <c r="B74" i="3" s="1"/>
  <c r="G72" i="3"/>
  <c r="F72" i="3"/>
  <c r="E72" i="3"/>
  <c r="D72" i="3"/>
  <c r="C72" i="3"/>
  <c r="B72" i="3"/>
  <c r="G69" i="3"/>
  <c r="G70" i="3" s="1"/>
  <c r="F69" i="3"/>
  <c r="F70" i="3" s="1"/>
  <c r="E69" i="3"/>
  <c r="E70" i="3" s="1"/>
  <c r="D69" i="3"/>
  <c r="D70" i="3" s="1"/>
  <c r="C69" i="3"/>
  <c r="C70" i="3" s="1"/>
  <c r="B69" i="3"/>
  <c r="B70" i="3" s="1"/>
  <c r="G68" i="3"/>
  <c r="F68" i="3"/>
  <c r="E68" i="3"/>
  <c r="D68" i="3"/>
  <c r="C68" i="3"/>
  <c r="B68" i="3"/>
  <c r="G65" i="3"/>
  <c r="G66" i="3" s="1"/>
  <c r="F65" i="3"/>
  <c r="F66" i="3" s="1"/>
  <c r="E65" i="3"/>
  <c r="E66" i="3" s="1"/>
  <c r="D65" i="3"/>
  <c r="D66" i="3" s="1"/>
  <c r="C65" i="3"/>
  <c r="C66" i="3" s="1"/>
  <c r="B65" i="3"/>
  <c r="B66" i="3" s="1"/>
  <c r="G61" i="3"/>
  <c r="G62" i="3" s="1"/>
  <c r="F61" i="3"/>
  <c r="F62" i="3" s="1"/>
  <c r="E61" i="3"/>
  <c r="E62" i="3" s="1"/>
  <c r="C61" i="3"/>
  <c r="C62" i="3" s="1"/>
  <c r="B61" i="3"/>
  <c r="B62" i="3" s="1"/>
  <c r="J267" i="2"/>
  <c r="I267" i="2"/>
  <c r="E267" i="2"/>
  <c r="D267" i="2"/>
  <c r="J223" i="2"/>
  <c r="I223" i="2"/>
  <c r="E223" i="2"/>
  <c r="D223" i="2"/>
  <c r="J179" i="2"/>
  <c r="I179" i="2"/>
  <c r="E179" i="2"/>
  <c r="D179" i="2"/>
  <c r="J135" i="2"/>
  <c r="I135" i="2"/>
  <c r="E135" i="2"/>
  <c r="D135" i="2"/>
  <c r="J91" i="2"/>
  <c r="I91" i="2"/>
  <c r="E91" i="2"/>
  <c r="D91" i="2"/>
  <c r="J47" i="2"/>
  <c r="I47" i="2"/>
  <c r="E47" i="2"/>
  <c r="D47" i="2"/>
  <c r="J3" i="2"/>
  <c r="I3" i="2"/>
  <c r="E3" i="2"/>
  <c r="D3" i="2"/>
  <c r="A3" i="2"/>
  <c r="A47" i="2" s="1"/>
  <c r="A91" i="2" s="1"/>
  <c r="A135" i="2" s="1"/>
  <c r="A179" i="2" s="1"/>
  <c r="A223" i="2" s="1"/>
  <c r="A267" i="2" s="1"/>
  <c r="A2" i="2"/>
  <c r="A1" i="2"/>
  <c r="T3" i="1"/>
  <c r="S3" i="1"/>
  <c r="O3" i="1"/>
  <c r="N3" i="1"/>
  <c r="J3" i="1"/>
  <c r="I3" i="1"/>
  <c r="E3" i="1"/>
  <c r="D3" i="1"/>
  <c r="A134" i="2" l="1"/>
  <c r="A266" i="2"/>
  <c r="A2" i="1"/>
  <c r="A178" i="2"/>
  <c r="A90" i="2"/>
  <c r="A222" i="2"/>
  <c r="A46" i="2"/>
</calcChain>
</file>

<file path=xl/sharedStrings.xml><?xml version="1.0" encoding="utf-8"?>
<sst xmlns="http://schemas.openxmlformats.org/spreadsheetml/2006/main" count="339" uniqueCount="129">
  <si>
    <t>Semana</t>
  </si>
  <si>
    <t>Kg</t>
  </si>
  <si>
    <t>MC1</t>
  </si>
  <si>
    <t>MC2</t>
  </si>
  <si>
    <t>MC3</t>
  </si>
  <si>
    <t>KM</t>
  </si>
  <si>
    <t>ORDEN</t>
  </si>
  <si>
    <t>JULIO</t>
  </si>
  <si>
    <t>P. NETO</t>
  </si>
  <si>
    <t>METROS</t>
  </si>
  <si>
    <t>OPE.</t>
  </si>
  <si>
    <t>PC</t>
  </si>
  <si>
    <t>RB</t>
  </si>
  <si>
    <t>MS</t>
  </si>
  <si>
    <t>JL</t>
  </si>
  <si>
    <t>DP</t>
  </si>
  <si>
    <t>WP2</t>
  </si>
  <si>
    <t>WP3</t>
  </si>
  <si>
    <t>IV583</t>
  </si>
  <si>
    <t>UE</t>
  </si>
  <si>
    <t>S472</t>
  </si>
  <si>
    <t>EL</t>
  </si>
  <si>
    <t>IV588</t>
  </si>
  <si>
    <t>S533</t>
  </si>
  <si>
    <t>FC</t>
  </si>
  <si>
    <t>S437</t>
  </si>
  <si>
    <t>JR</t>
  </si>
  <si>
    <t>ZJ406</t>
  </si>
  <si>
    <t>S445</t>
  </si>
  <si>
    <t>S356</t>
  </si>
  <si>
    <t>S453</t>
  </si>
  <si>
    <t>J575</t>
  </si>
  <si>
    <t>S497</t>
  </si>
  <si>
    <t>IN741</t>
  </si>
  <si>
    <t>S513</t>
  </si>
  <si>
    <t>S467</t>
  </si>
  <si>
    <t>IN725</t>
  </si>
  <si>
    <t>S449</t>
  </si>
  <si>
    <t>IN709</t>
  </si>
  <si>
    <t>S471</t>
  </si>
  <si>
    <t>ZJ404</t>
  </si>
  <si>
    <t>IN700</t>
  </si>
  <si>
    <t>S523</t>
  </si>
  <si>
    <t>ZJ424</t>
  </si>
  <si>
    <t>S503</t>
  </si>
  <si>
    <t>IN735</t>
  </si>
  <si>
    <t>S455</t>
  </si>
  <si>
    <t>IN727</t>
  </si>
  <si>
    <t>ZJ413</t>
  </si>
  <si>
    <t>S534</t>
  </si>
  <si>
    <t>J418</t>
  </si>
  <si>
    <t>S524</t>
  </si>
  <si>
    <t>IV604</t>
  </si>
  <si>
    <t>S485</t>
  </si>
  <si>
    <t>IV584</t>
  </si>
  <si>
    <t>S429</t>
  </si>
  <si>
    <t>IV593</t>
  </si>
  <si>
    <t>IV581</t>
  </si>
  <si>
    <t>IN701</t>
  </si>
  <si>
    <t>IV590</t>
  </si>
  <si>
    <t>IN733</t>
  </si>
  <si>
    <t>S498</t>
  </si>
  <si>
    <t>S506</t>
  </si>
  <si>
    <t>S528</t>
  </si>
  <si>
    <t>S535</t>
  </si>
  <si>
    <t>S359</t>
  </si>
  <si>
    <t>IN729</t>
  </si>
  <si>
    <t>IV601</t>
  </si>
  <si>
    <t>S527</t>
  </si>
  <si>
    <t>IN737</t>
  </si>
  <si>
    <t>S525</t>
  </si>
  <si>
    <t>S468</t>
  </si>
  <si>
    <t>S332</t>
  </si>
  <si>
    <t>CLAVE</t>
  </si>
  <si>
    <t>PENALIZACIÓN</t>
  </si>
  <si>
    <r>
      <t xml:space="preserve">DEFECTO </t>
    </r>
    <r>
      <rPr>
        <b/>
        <sz val="11"/>
        <color rgb="FF0070C0"/>
        <rFont val="Aptos Narrow"/>
        <family val="2"/>
        <scheme val="minor"/>
      </rPr>
      <t>URDIDO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1"/>
        <color rgb="FF7030A0"/>
        <rFont val="Aptos Narrow"/>
        <family val="2"/>
        <scheme val="minor"/>
      </rPr>
      <t>ENGOMADO</t>
    </r>
  </si>
  <si>
    <t>5´S</t>
  </si>
  <si>
    <t>Seguridad</t>
  </si>
  <si>
    <t>RHC / PHC</t>
  </si>
  <si>
    <t>HILOS CRUZADOS</t>
  </si>
  <si>
    <t>RHS / PHS</t>
  </si>
  <si>
    <t>HILOS SUELTOS</t>
  </si>
  <si>
    <t>EPP</t>
  </si>
  <si>
    <t>RHCE / PHCE</t>
  </si>
  <si>
    <t>HILOS COLGANDO/ENTERRADOS</t>
  </si>
  <si>
    <t>Basura</t>
  </si>
  <si>
    <t>DANIEL</t>
  </si>
  <si>
    <t>J CARLOS</t>
  </si>
  <si>
    <t>ROBERTO</t>
  </si>
  <si>
    <t>MIGUEL</t>
  </si>
  <si>
    <t>PEDRO</t>
  </si>
  <si>
    <t>EDUARDO</t>
  </si>
  <si>
    <t>JESUS</t>
  </si>
  <si>
    <t>UBALDO</t>
  </si>
  <si>
    <t>FRANCISCO</t>
  </si>
  <si>
    <t>CARLOS</t>
  </si>
  <si>
    <t>RAFAEL</t>
  </si>
  <si>
    <t>N/D/M/MA</t>
  </si>
  <si>
    <t>NUDO MAL/DESPERDICIO HILO/MOTAS/MANCHADO</t>
  </si>
  <si>
    <t>Rack/Ventilador</t>
  </si>
  <si>
    <t>Amonestación</t>
  </si>
  <si>
    <t>J / HP / HD</t>
  </si>
  <si>
    <r>
      <t>JULIO CON BORRA/</t>
    </r>
    <r>
      <rPr>
        <b/>
        <sz val="11"/>
        <color rgb="FF7030A0"/>
        <rFont val="Aptos Narrow"/>
        <family val="2"/>
        <scheme val="minor"/>
      </rPr>
      <t>HILOS PEGADOS</t>
    </r>
    <r>
      <rPr>
        <sz val="11"/>
        <color theme="1"/>
        <rFont val="Aptos Narrow"/>
        <family val="2"/>
        <scheme val="minor"/>
      </rPr>
      <t>/DÉBIL</t>
    </r>
  </si>
  <si>
    <t>Pasillo</t>
  </si>
  <si>
    <t>MI</t>
  </si>
  <si>
    <t>MAL IDENTIFICADO</t>
  </si>
  <si>
    <t>Máquina</t>
  </si>
  <si>
    <t>Calidad</t>
  </si>
  <si>
    <t>DM / TL</t>
  </si>
  <si>
    <r>
      <rPr>
        <b/>
        <sz val="11"/>
        <color rgb="FF0070C0"/>
        <rFont val="Aptos Narrow"/>
        <family val="2"/>
        <scheme val="minor"/>
      </rPr>
      <t>DIFERENCIA METRAJE</t>
    </r>
    <r>
      <rPr>
        <sz val="11"/>
        <color theme="1"/>
        <rFont val="Aptos Narrow"/>
        <family val="2"/>
        <scheme val="minor"/>
      </rPr>
      <t>/</t>
    </r>
    <r>
      <rPr>
        <b/>
        <sz val="11"/>
        <color rgb="FF7030A0"/>
        <rFont val="Aptos Narrow"/>
        <family val="2"/>
        <scheme val="minor"/>
      </rPr>
      <t>TELA LACIA</t>
    </r>
  </si>
  <si>
    <t>Olla/Canoa</t>
  </si>
  <si>
    <t>FH / G</t>
  </si>
  <si>
    <t>FALTANTE HILOS / GOLPEADA</t>
  </si>
  <si>
    <t>Fuga Aceite</t>
  </si>
  <si>
    <t>TF/Z/E</t>
  </si>
  <si>
    <t>TELA FLOJA/ZANJAS/ENCIMADA</t>
  </si>
  <si>
    <t>DT</t>
  </si>
  <si>
    <t>DIFERENTE TONO NO AUTORIZADO</t>
  </si>
  <si>
    <t>Accidente</t>
  </si>
  <si>
    <t>FECHA</t>
  </si>
  <si>
    <t>URD/ENG</t>
  </si>
  <si>
    <t>JULIOS</t>
  </si>
  <si>
    <t>DEFECTO</t>
  </si>
  <si>
    <t>PENALIZAR</t>
  </si>
  <si>
    <t>URD</t>
  </si>
  <si>
    <t>RHS</t>
  </si>
  <si>
    <t>RODRIGO</t>
  </si>
  <si>
    <t>Penalizar</t>
  </si>
  <si>
    <t>Seguridad 5`s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</si>
</sst>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1" fillId="0" borderId="3" xfId="0" applyFont="1" applyBorder="1"/>
    <xf numFmtId="0" fontId="6" fillId="0" borderId="0" xfId="0" applyFont="1"/>
    <xf numFmtId="164" fontId="0" fillId="0" borderId="4" xfId="0" applyNumberFormat="1" applyBorder="1" applyAlignment="1">
      <alignment horizontal="center"/>
    </xf>
    <xf numFmtId="0" fontId="0" fillId="0" borderId="5" xfId="0" applyBorder="1"/>
    <xf numFmtId="0" fontId="1" fillId="4" borderId="5" xfId="0" applyFont="1" applyFill="1" applyBorder="1" applyAlignment="1">
      <alignment horizontal="right"/>
    </xf>
    <xf numFmtId="0" fontId="1" fillId="5" borderId="5" xfId="0" applyFont="1" applyFill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0" fillId="7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12" borderId="0" xfId="0" applyFont="1" applyFill="1" applyAlignment="1">
      <alignment horizontal="right"/>
    </xf>
    <xf numFmtId="0" fontId="1" fillId="13" borderId="1" xfId="0" applyFont="1" applyFill="1" applyBorder="1" applyAlignment="1">
      <alignment horizontal="center"/>
    </xf>
    <xf numFmtId="0" fontId="1" fillId="1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13</xdr:row>
      <xdr:rowOff>9525</xdr:rowOff>
    </xdr:from>
    <xdr:to>
      <xdr:col>0</xdr:col>
      <xdr:colOff>514350</xdr:colOff>
      <xdr:row>37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CCF8661-7F95-4D51-BDD9-D176CED6169F}"/>
            </a:ext>
          </a:extLst>
        </xdr:cNvPr>
        <xdr:cNvSpPr/>
      </xdr:nvSpPr>
      <xdr:spPr>
        <a:xfrm>
          <a:off x="95250" y="2619375"/>
          <a:ext cx="419100" cy="4762500"/>
        </a:xfrm>
        <a:prstGeom prst="rect">
          <a:avLst/>
        </a:prstGeom>
        <a:solidFill>
          <a:srgbClr val="FF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DEFECTOS DE CALIDAD</a:t>
          </a:r>
        </a:p>
      </xdr:txBody>
    </xdr:sp>
    <xdr:clientData/>
  </xdr:twoCellAnchor>
  <xdr:twoCellAnchor>
    <xdr:from>
      <xdr:col>0</xdr:col>
      <xdr:colOff>95250</xdr:colOff>
      <xdr:row>38</xdr:row>
      <xdr:rowOff>0</xdr:rowOff>
    </xdr:from>
    <xdr:to>
      <xdr:col>0</xdr:col>
      <xdr:colOff>514350</xdr:colOff>
      <xdr:row>57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E120FED-2A73-43FC-A3EF-A404734F96FE}"/>
            </a:ext>
          </a:extLst>
        </xdr:cNvPr>
        <xdr:cNvSpPr/>
      </xdr:nvSpPr>
      <xdr:spPr>
        <a:xfrm>
          <a:off x="95250" y="7391400"/>
          <a:ext cx="419100" cy="3838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SEGURIDAD    Y    5`S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.11\produccion\PRODUCCION\INDICADORES\2026\EFICIENCIAS%202026\EFIC-CA%20UR-ENG%202026\03-0EE%20URD-ENG-2025.xlsm" TargetMode="External"/><Relationship Id="rId1" Type="http://schemas.openxmlformats.org/officeDocument/2006/relationships/externalLinkPath" Target="file:///\\192.168.2.11\produccion\PRODUCCION\INDICADORES\2026\EFICIENCIAS%202026\EFIC-CA%20UR-ENG%202026\03-0EE%20URD-ENG-2025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fsanchez/AppData/Local/Microsoft/Windows/INetCache/Content.Outlook/CD01VNVO/49-0EE%20URD-ENG-2025.xlsm" TargetMode="External"/><Relationship Id="rId2" Type="http://schemas.openxmlformats.org/officeDocument/2006/relationships/externalLinkPath" Target="file:///C:\Users\fsanchez\AppData\Local\Microsoft\Windows\INetCache\Content.Outlook\CD01VNVO\49-0EE%20URD-ENG-2025.xlsm" TargetMode="External"/><Relationship Id="rId1" Type="http://schemas.openxmlformats.org/officeDocument/2006/relationships/externalLinkPath" Target="/Users/fsanchez/AppData/Local/Microsoft/Windows/INetCache/Content.Outlook/CD01VNVO/49-0EE%20URD-ENG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RDIDO"/>
      <sheetName val="ENGOMADO"/>
      <sheetName val="URDIDO-ENGOMADO"/>
    </sheetNames>
    <sheetDataSet>
      <sheetData sheetId="0">
        <row r="1">
          <cell r="A1">
            <v>3</v>
          </cell>
        </row>
        <row r="3">
          <cell r="A3">
            <v>46034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RDIDO"/>
      <sheetName val="ENGOMADO"/>
      <sheetName val="URDIDO-ENGOMADO"/>
    </sheetNames>
    <sheetDataSet>
      <sheetData sheetId="0"/>
      <sheetData sheetId="1"/>
      <sheetData sheetId="2">
        <row r="4">
          <cell r="AO4" t="str">
            <v>DANIEL</v>
          </cell>
          <cell r="AP4" t="str">
            <v>J CARLOS</v>
          </cell>
          <cell r="AQ4" t="str">
            <v>ROBERTO</v>
          </cell>
          <cell r="AR4" t="str">
            <v>MIGUEL</v>
          </cell>
          <cell r="AS4" t="str">
            <v>PEDRO</v>
          </cell>
          <cell r="AT4" t="str">
            <v>CARLOS G</v>
          </cell>
          <cell r="AX4" t="str">
            <v>EDUARDO</v>
          </cell>
          <cell r="AY4" t="str">
            <v>JESUS</v>
          </cell>
          <cell r="AZ4" t="str">
            <v>UBALDO</v>
          </cell>
          <cell r="BA4" t="str">
            <v>FRANCISCO</v>
          </cell>
        </row>
        <row r="5">
          <cell r="AN5" t="str">
            <v>Eficiencia</v>
          </cell>
          <cell r="AO5">
            <v>80.833333333333343</v>
          </cell>
          <cell r="AP5">
            <v>78.750000000000014</v>
          </cell>
          <cell r="AQ5">
            <v>83.500000000000014</v>
          </cell>
          <cell r="AR5">
            <v>76.999999999999986</v>
          </cell>
          <cell r="AS5">
            <v>87.333333333333343</v>
          </cell>
          <cell r="AT5">
            <v>78.166666666666657</v>
          </cell>
          <cell r="AW5" t="str">
            <v>Eficiencia</v>
          </cell>
          <cell r="AX5">
            <v>84.833333333333343</v>
          </cell>
          <cell r="AY5">
            <v>77.833333333333329</v>
          </cell>
          <cell r="AZ5">
            <v>85.833333333333329</v>
          </cell>
          <cell r="BA5">
            <v>82.333333333333329</v>
          </cell>
        </row>
        <row r="7">
          <cell r="AN7" t="str">
            <v>Calidad</v>
          </cell>
          <cell r="AO7">
            <v>96.5</v>
          </cell>
          <cell r="AP7">
            <v>100</v>
          </cell>
          <cell r="AQ7">
            <v>97</v>
          </cell>
          <cell r="AR7">
            <v>100</v>
          </cell>
          <cell r="AS7">
            <v>100</v>
          </cell>
          <cell r="AT7">
            <v>100</v>
          </cell>
          <cell r="AW7" t="str">
            <v>Calidad</v>
          </cell>
          <cell r="AX7">
            <v>94.5</v>
          </cell>
          <cell r="AY7">
            <v>100</v>
          </cell>
          <cell r="AZ7">
            <v>97</v>
          </cell>
          <cell r="BA7">
            <v>100</v>
          </cell>
        </row>
        <row r="8">
          <cell r="AN8" t="str">
            <v>5´S , Seguridad</v>
          </cell>
          <cell r="AO8">
            <v>100</v>
          </cell>
          <cell r="AP8">
            <v>100</v>
          </cell>
          <cell r="AQ8">
            <v>100</v>
          </cell>
          <cell r="AR8">
            <v>100</v>
          </cell>
          <cell r="AS8">
            <v>100</v>
          </cell>
          <cell r="AT8">
            <v>100</v>
          </cell>
          <cell r="AW8" t="str">
            <v>5´S , Seguridad</v>
          </cell>
          <cell r="AX8">
            <v>100</v>
          </cell>
          <cell r="AY8">
            <v>100</v>
          </cell>
          <cell r="AZ8">
            <v>100</v>
          </cell>
          <cell r="BA8">
            <v>100</v>
          </cell>
        </row>
        <row r="11">
          <cell r="AN11" t="str">
            <v>MERMA</v>
          </cell>
          <cell r="AO11">
            <v>98.747601797809992</v>
          </cell>
          <cell r="AP11">
            <v>100</v>
          </cell>
          <cell r="AQ11">
            <v>98.803978164802558</v>
          </cell>
          <cell r="AR11">
            <v>98.564599227792201</v>
          </cell>
          <cell r="AS11">
            <v>99.298656552808126</v>
          </cell>
          <cell r="AT11">
            <v>99.180777590931072</v>
          </cell>
          <cell r="AW11" t="str">
            <v>MERMA</v>
          </cell>
          <cell r="AX11">
            <v>98.171564537610678</v>
          </cell>
          <cell r="AY11">
            <v>98.349090491987894</v>
          </cell>
          <cell r="AZ11">
            <v>98.332646253643574</v>
          </cell>
          <cell r="BA11">
            <v>98.416725254706492</v>
          </cell>
        </row>
        <row r="12">
          <cell r="AN12" t="str">
            <v>OEE</v>
          </cell>
          <cell r="AO12">
            <v>77.027243885700045</v>
          </cell>
          <cell r="AP12">
            <v>78.750000000000028</v>
          </cell>
          <cell r="AQ12">
            <v>80.026282114581846</v>
          </cell>
          <cell r="AR12">
            <v>75.894741405399984</v>
          </cell>
          <cell r="AS12">
            <v>86.720826722785773</v>
          </cell>
          <cell r="AT12">
            <v>77.526307816911114</v>
          </cell>
          <cell r="AW12" t="str">
            <v>OEE</v>
          </cell>
          <cell r="AX12">
            <v>78.701689000689043</v>
          </cell>
          <cell r="AY12">
            <v>76.54837543293057</v>
          </cell>
          <cell r="AZ12">
            <v>81.870122393346065</v>
          </cell>
          <cell r="BA12">
            <v>81.029770459708331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E1D9-77A1-4CB3-B1C2-95FCDA87661D}">
  <dimension ref="A1:AB44"/>
  <sheetViews>
    <sheetView workbookViewId="0">
      <selection activeCell="F2" sqref="F2"/>
    </sheetView>
  </sheetViews>
  <sheetFormatPr baseColWidth="10" defaultRowHeight="15" x14ac:dyDescent="0.25"/>
  <cols>
    <col min="2" max="2" width="7.7109375" customWidth="1"/>
    <col min="3" max="3" width="6.28515625" customWidth="1"/>
  </cols>
  <sheetData>
    <row r="1" spans="1:23" ht="18.75" x14ac:dyDescent="0.3">
      <c r="A1" s="1">
        <v>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5"/>
      <c r="W1" s="3"/>
    </row>
    <row r="2" spans="1:23" ht="15.75" thickBot="1" x14ac:dyDescent="0.3">
      <c r="A2" s="6">
        <f>D3+I3+N3</f>
        <v>3111.3</v>
      </c>
      <c r="B2" s="7" t="s">
        <v>1</v>
      </c>
      <c r="C2" s="8"/>
      <c r="D2" s="3" t="s">
        <v>2</v>
      </c>
      <c r="I2" s="3" t="s">
        <v>3</v>
      </c>
      <c r="N2" s="3" t="s">
        <v>4</v>
      </c>
      <c r="S2" s="3" t="s">
        <v>5</v>
      </c>
      <c r="V2" s="10"/>
    </row>
    <row r="3" spans="1:23" ht="15.75" thickBot="1" x14ac:dyDescent="0.3">
      <c r="A3" s="31">
        <v>46034</v>
      </c>
      <c r="B3" s="31"/>
      <c r="C3" s="31"/>
      <c r="D3" s="11">
        <f>SUM(D5:D44)</f>
        <v>539.40000000000009</v>
      </c>
      <c r="E3" s="11">
        <f>SUM(E5:E44)</f>
        <v>22000</v>
      </c>
      <c r="I3" s="11">
        <f>SUM(I5:I44)</f>
        <v>498.49999999999994</v>
      </c>
      <c r="J3" s="11">
        <f>SUM(J5:J44)</f>
        <v>29500</v>
      </c>
      <c r="N3" s="11">
        <f>SUM(N5:N44)</f>
        <v>2073.4</v>
      </c>
      <c r="O3" s="11">
        <f>SUM(O5:O44)</f>
        <v>70000</v>
      </c>
      <c r="S3" s="11">
        <f>SUM(S5:S44)</f>
        <v>685.6</v>
      </c>
      <c r="T3" s="11">
        <f>SUM(T5:T44)</f>
        <v>36000</v>
      </c>
      <c r="V3" s="5"/>
    </row>
    <row r="4" spans="1:23" ht="15.75" thickBot="1" x14ac:dyDescent="0.3">
      <c r="A4" s="12"/>
      <c r="B4" s="13" t="s">
        <v>6</v>
      </c>
      <c r="C4" s="14" t="s">
        <v>7</v>
      </c>
      <c r="D4" s="15" t="s">
        <v>8</v>
      </c>
      <c r="E4" s="16" t="s">
        <v>9</v>
      </c>
      <c r="F4" s="17" t="s">
        <v>10</v>
      </c>
      <c r="G4" s="13" t="s">
        <v>6</v>
      </c>
      <c r="H4" s="14" t="s">
        <v>7</v>
      </c>
      <c r="I4" s="15" t="s">
        <v>8</v>
      </c>
      <c r="J4" s="16" t="s">
        <v>9</v>
      </c>
      <c r="K4" s="17" t="s">
        <v>10</v>
      </c>
      <c r="L4" s="13" t="s">
        <v>6</v>
      </c>
      <c r="M4" s="14" t="s">
        <v>7</v>
      </c>
      <c r="N4" s="15" t="s">
        <v>8</v>
      </c>
      <c r="O4" s="16" t="s">
        <v>9</v>
      </c>
      <c r="P4" s="17" t="s">
        <v>10</v>
      </c>
      <c r="Q4" s="13" t="s">
        <v>6</v>
      </c>
      <c r="R4" s="14" t="s">
        <v>7</v>
      </c>
      <c r="S4" s="15" t="s">
        <v>8</v>
      </c>
      <c r="T4" s="16" t="s">
        <v>9</v>
      </c>
      <c r="U4" s="17" t="s">
        <v>10</v>
      </c>
      <c r="V4" s="5"/>
    </row>
    <row r="5" spans="1:23" x14ac:dyDescent="0.25">
      <c r="A5" s="12">
        <v>1</v>
      </c>
      <c r="B5" s="18">
        <v>4074</v>
      </c>
      <c r="C5" s="19">
        <v>45</v>
      </c>
      <c r="D5" s="19">
        <v>271.8</v>
      </c>
      <c r="E5" s="19">
        <v>11000</v>
      </c>
      <c r="F5" s="20" t="s">
        <v>11</v>
      </c>
      <c r="G5" s="18">
        <v>4076</v>
      </c>
      <c r="H5" s="19">
        <v>28</v>
      </c>
      <c r="I5" s="19">
        <v>187.4</v>
      </c>
      <c r="J5" s="19">
        <v>10000</v>
      </c>
      <c r="K5" s="20" t="s">
        <v>12</v>
      </c>
      <c r="L5" s="18">
        <v>4071</v>
      </c>
      <c r="M5" s="19">
        <v>72</v>
      </c>
      <c r="N5" s="19">
        <v>295.10000000000002</v>
      </c>
      <c r="O5" s="19">
        <v>10000</v>
      </c>
      <c r="P5" s="20" t="s">
        <v>13</v>
      </c>
      <c r="Q5" s="18">
        <v>4093</v>
      </c>
      <c r="R5" s="19">
        <v>20</v>
      </c>
      <c r="S5" s="19">
        <v>99.2</v>
      </c>
      <c r="T5" s="19">
        <v>5000</v>
      </c>
      <c r="U5" s="20" t="s">
        <v>14</v>
      </c>
    </row>
    <row r="6" spans="1:23" x14ac:dyDescent="0.25">
      <c r="A6" s="12">
        <v>2</v>
      </c>
      <c r="B6" s="21">
        <v>4074</v>
      </c>
      <c r="C6" s="22">
        <v>74</v>
      </c>
      <c r="D6" s="22">
        <v>267.60000000000002</v>
      </c>
      <c r="E6" s="22">
        <v>11000</v>
      </c>
      <c r="F6" s="23" t="s">
        <v>11</v>
      </c>
      <c r="G6" s="21">
        <v>4090</v>
      </c>
      <c r="H6" s="22">
        <v>91</v>
      </c>
      <c r="I6" s="22">
        <v>67.099999999999994</v>
      </c>
      <c r="J6" s="22">
        <v>5000</v>
      </c>
      <c r="K6" s="23" t="s">
        <v>12</v>
      </c>
      <c r="L6" s="21">
        <v>4071</v>
      </c>
      <c r="M6" s="22">
        <v>61</v>
      </c>
      <c r="N6" s="22">
        <v>298.10000000000002</v>
      </c>
      <c r="O6" s="22">
        <v>10000</v>
      </c>
      <c r="P6" s="23" t="s">
        <v>13</v>
      </c>
      <c r="Q6" s="21">
        <v>4093</v>
      </c>
      <c r="R6" s="22">
        <v>37</v>
      </c>
      <c r="S6" s="22">
        <v>97.2</v>
      </c>
      <c r="T6" s="22">
        <v>5000</v>
      </c>
      <c r="U6" s="23" t="s">
        <v>14</v>
      </c>
    </row>
    <row r="7" spans="1:23" x14ac:dyDescent="0.25">
      <c r="A7" s="12">
        <v>3</v>
      </c>
      <c r="B7" s="21"/>
      <c r="C7" s="22"/>
      <c r="D7" s="22"/>
      <c r="E7" s="22"/>
      <c r="F7" s="23"/>
      <c r="G7" s="21">
        <v>4090</v>
      </c>
      <c r="H7" s="22">
        <v>77</v>
      </c>
      <c r="I7" s="22">
        <v>67.7</v>
      </c>
      <c r="J7" s="22">
        <v>5000</v>
      </c>
      <c r="K7" s="23" t="s">
        <v>15</v>
      </c>
      <c r="L7" s="21">
        <v>4071</v>
      </c>
      <c r="M7" s="22">
        <v>71</v>
      </c>
      <c r="N7" s="22">
        <v>295.60000000000002</v>
      </c>
      <c r="O7" s="22">
        <v>10000</v>
      </c>
      <c r="P7" s="23" t="s">
        <v>13</v>
      </c>
      <c r="Q7" s="21">
        <v>4093</v>
      </c>
      <c r="R7" s="22">
        <v>30</v>
      </c>
      <c r="S7" s="22">
        <v>95</v>
      </c>
      <c r="T7" s="22">
        <v>5000</v>
      </c>
      <c r="U7" s="23" t="s">
        <v>14</v>
      </c>
    </row>
    <row r="8" spans="1:23" x14ac:dyDescent="0.25">
      <c r="A8" s="12">
        <v>4</v>
      </c>
      <c r="B8" s="21"/>
      <c r="C8" s="22"/>
      <c r="D8" s="22"/>
      <c r="E8" s="22"/>
      <c r="F8" s="23"/>
      <c r="G8" s="21">
        <v>4090</v>
      </c>
      <c r="H8" s="22">
        <v>80</v>
      </c>
      <c r="I8" s="22">
        <v>69.900000000000006</v>
      </c>
      <c r="J8" s="22">
        <v>5000</v>
      </c>
      <c r="K8" s="23" t="s">
        <v>15</v>
      </c>
      <c r="L8" s="21">
        <v>4071</v>
      </c>
      <c r="M8" s="22">
        <v>75</v>
      </c>
      <c r="N8" s="22"/>
      <c r="O8" s="22">
        <v>8000</v>
      </c>
      <c r="P8" s="23" t="s">
        <v>13</v>
      </c>
      <c r="Q8" s="21">
        <v>4093</v>
      </c>
      <c r="R8" s="22">
        <v>33</v>
      </c>
      <c r="S8" s="22">
        <v>94.3</v>
      </c>
      <c r="T8" s="22">
        <v>5000</v>
      </c>
      <c r="U8" s="23" t="s">
        <v>14</v>
      </c>
    </row>
    <row r="9" spans="1:23" x14ac:dyDescent="0.25">
      <c r="A9" s="12">
        <v>5</v>
      </c>
      <c r="B9" s="21"/>
      <c r="C9" s="22"/>
      <c r="D9" s="22"/>
      <c r="E9" s="22"/>
      <c r="F9" s="23"/>
      <c r="G9" s="21">
        <v>4091</v>
      </c>
      <c r="H9" s="22">
        <v>64</v>
      </c>
      <c r="I9" s="22">
        <v>17</v>
      </c>
      <c r="J9" s="22">
        <v>750</v>
      </c>
      <c r="K9" s="23" t="s">
        <v>15</v>
      </c>
      <c r="L9" s="21">
        <v>4071</v>
      </c>
      <c r="M9" s="22">
        <v>46</v>
      </c>
      <c r="N9" s="22">
        <v>294.89999999999998</v>
      </c>
      <c r="O9" s="22">
        <v>10000</v>
      </c>
      <c r="P9" s="23" t="s">
        <v>11</v>
      </c>
      <c r="Q9" s="21">
        <v>4094</v>
      </c>
      <c r="R9" s="22">
        <v>21</v>
      </c>
      <c r="S9" s="22">
        <v>73.3</v>
      </c>
      <c r="T9" s="22">
        <v>4000</v>
      </c>
      <c r="U9" s="23" t="s">
        <v>14</v>
      </c>
    </row>
    <row r="10" spans="1:23" x14ac:dyDescent="0.25">
      <c r="A10" s="12">
        <v>6</v>
      </c>
      <c r="B10" s="21"/>
      <c r="C10" s="22"/>
      <c r="D10" s="22"/>
      <c r="E10" s="22"/>
      <c r="F10" s="23"/>
      <c r="G10" s="21">
        <v>4091</v>
      </c>
      <c r="H10" s="22">
        <v>27</v>
      </c>
      <c r="I10" s="22">
        <v>17.899999999999999</v>
      </c>
      <c r="J10" s="22">
        <v>750</v>
      </c>
      <c r="K10" s="23" t="s">
        <v>15</v>
      </c>
      <c r="L10" s="21">
        <v>4071</v>
      </c>
      <c r="M10" s="22">
        <v>35</v>
      </c>
      <c r="N10" s="22">
        <v>296.8</v>
      </c>
      <c r="O10" s="22">
        <v>10000</v>
      </c>
      <c r="P10" s="23" t="s">
        <v>11</v>
      </c>
      <c r="Q10" s="21">
        <v>4094</v>
      </c>
      <c r="R10" s="22">
        <v>44</v>
      </c>
      <c r="S10" s="22">
        <v>77.5</v>
      </c>
      <c r="T10" s="22">
        <v>4000</v>
      </c>
      <c r="U10" s="23" t="s">
        <v>14</v>
      </c>
    </row>
    <row r="11" spans="1:23" x14ac:dyDescent="0.25">
      <c r="A11" s="12">
        <v>7</v>
      </c>
      <c r="B11" s="21"/>
      <c r="C11" s="22"/>
      <c r="D11" s="22"/>
      <c r="E11" s="22"/>
      <c r="F11" s="23"/>
      <c r="G11" s="21">
        <v>4091</v>
      </c>
      <c r="H11" s="22">
        <v>99</v>
      </c>
      <c r="I11" s="22">
        <v>17</v>
      </c>
      <c r="J11" s="22">
        <v>750</v>
      </c>
      <c r="K11" s="23" t="s">
        <v>15</v>
      </c>
      <c r="L11" s="21">
        <v>4071</v>
      </c>
      <c r="M11" s="22">
        <v>11</v>
      </c>
      <c r="N11" s="22">
        <v>295.39999999999998</v>
      </c>
      <c r="O11" s="22">
        <v>10000</v>
      </c>
      <c r="P11" s="23" t="s">
        <v>11</v>
      </c>
      <c r="Q11" s="21">
        <v>4094</v>
      </c>
      <c r="R11" s="22">
        <v>28</v>
      </c>
      <c r="S11" s="22">
        <v>74.5</v>
      </c>
      <c r="T11" s="22">
        <v>4000</v>
      </c>
      <c r="U11" s="23" t="s">
        <v>14</v>
      </c>
    </row>
    <row r="12" spans="1:23" x14ac:dyDescent="0.25">
      <c r="A12" s="12">
        <v>8</v>
      </c>
      <c r="B12" s="21"/>
      <c r="C12" s="22"/>
      <c r="D12" s="22"/>
      <c r="E12" s="22"/>
      <c r="F12" s="23"/>
      <c r="G12" s="21">
        <v>4091</v>
      </c>
      <c r="H12" s="22">
        <v>12</v>
      </c>
      <c r="I12" s="22">
        <v>19.899999999999999</v>
      </c>
      <c r="J12" s="22">
        <v>750</v>
      </c>
      <c r="K12" s="23" t="s">
        <v>15</v>
      </c>
      <c r="L12" s="21">
        <v>4071</v>
      </c>
      <c r="M12" s="22"/>
      <c r="N12" s="22">
        <v>297.5</v>
      </c>
      <c r="O12" s="22">
        <v>2000</v>
      </c>
      <c r="P12" s="23" t="s">
        <v>11</v>
      </c>
      <c r="Q12" s="21">
        <v>4094</v>
      </c>
      <c r="R12" s="22">
        <v>22</v>
      </c>
      <c r="S12" s="22">
        <v>74.599999999999994</v>
      </c>
      <c r="T12" s="22">
        <v>4000</v>
      </c>
      <c r="U12" s="23" t="s">
        <v>14</v>
      </c>
    </row>
    <row r="13" spans="1:23" x14ac:dyDescent="0.25">
      <c r="A13" s="12">
        <v>9</v>
      </c>
      <c r="B13" s="21"/>
      <c r="C13" s="22"/>
      <c r="D13" s="22"/>
      <c r="E13" s="22"/>
      <c r="F13" s="23"/>
      <c r="G13" s="21">
        <v>4091</v>
      </c>
      <c r="H13" s="22">
        <v>38</v>
      </c>
      <c r="I13" s="22">
        <v>17.399999999999999</v>
      </c>
      <c r="J13" s="22">
        <v>750</v>
      </c>
      <c r="K13" s="23" t="s">
        <v>11</v>
      </c>
      <c r="L13" s="21"/>
      <c r="M13" s="22"/>
      <c r="N13" s="22"/>
      <c r="O13" s="22"/>
      <c r="P13" s="23"/>
      <c r="Q13" s="21"/>
      <c r="R13" s="22"/>
      <c r="S13" s="22"/>
      <c r="T13" s="22"/>
      <c r="U13" s="23"/>
    </row>
    <row r="14" spans="1:23" x14ac:dyDescent="0.25">
      <c r="A14" s="12">
        <v>10</v>
      </c>
      <c r="B14" s="21"/>
      <c r="C14" s="22"/>
      <c r="D14" s="22"/>
      <c r="E14" s="22"/>
      <c r="F14" s="23"/>
      <c r="G14" s="21">
        <v>4091</v>
      </c>
      <c r="H14" s="22">
        <v>79</v>
      </c>
      <c r="I14" s="22">
        <v>17.2</v>
      </c>
      <c r="J14" s="22">
        <v>750</v>
      </c>
      <c r="K14" s="23" t="s">
        <v>11</v>
      </c>
      <c r="L14" s="21"/>
      <c r="M14" s="22"/>
      <c r="N14" s="22"/>
      <c r="O14" s="22"/>
      <c r="P14" s="23"/>
      <c r="Q14" s="21"/>
      <c r="R14" s="22"/>
      <c r="S14" s="22"/>
      <c r="T14" s="22"/>
      <c r="U14" s="23"/>
    </row>
    <row r="15" spans="1:23" x14ac:dyDescent="0.25">
      <c r="A15" s="12">
        <v>11</v>
      </c>
      <c r="B15" s="21"/>
      <c r="C15" s="22"/>
      <c r="D15" s="22"/>
      <c r="E15" s="22"/>
      <c r="F15" s="23"/>
      <c r="G15" s="21"/>
      <c r="H15" s="22"/>
      <c r="I15" s="22"/>
      <c r="J15" s="22"/>
      <c r="K15" s="23"/>
      <c r="L15" s="21"/>
      <c r="M15" s="22"/>
      <c r="N15" s="22"/>
      <c r="O15" s="22"/>
      <c r="P15" s="23"/>
      <c r="Q15" s="21"/>
      <c r="R15" s="22"/>
      <c r="S15" s="22"/>
      <c r="T15" s="22"/>
      <c r="U15" s="23"/>
    </row>
    <row r="16" spans="1:23" x14ac:dyDescent="0.25">
      <c r="A16" s="12">
        <v>12</v>
      </c>
      <c r="B16" s="21"/>
      <c r="C16" s="22"/>
      <c r="D16" s="22"/>
      <c r="E16" s="22"/>
      <c r="F16" s="23"/>
      <c r="G16" s="21"/>
      <c r="H16" s="22"/>
      <c r="I16" s="22"/>
      <c r="J16" s="22"/>
      <c r="K16" s="23"/>
      <c r="L16" s="21"/>
      <c r="M16" s="22"/>
      <c r="N16" s="22"/>
      <c r="O16" s="22"/>
      <c r="P16" s="23"/>
      <c r="Q16" s="21"/>
      <c r="R16" s="22"/>
      <c r="S16" s="22"/>
      <c r="T16" s="22"/>
      <c r="U16" s="23"/>
    </row>
    <row r="17" spans="1:28" x14ac:dyDescent="0.25">
      <c r="A17" s="12">
        <v>13</v>
      </c>
      <c r="B17" s="21"/>
      <c r="C17" s="22"/>
      <c r="D17" s="22"/>
      <c r="E17" s="22"/>
      <c r="F17" s="23"/>
      <c r="G17" s="21"/>
      <c r="H17" s="22"/>
      <c r="I17" s="22"/>
      <c r="J17" s="22"/>
      <c r="K17" s="23"/>
      <c r="L17" s="21"/>
      <c r="M17" s="22"/>
      <c r="N17" s="22"/>
      <c r="O17" s="22"/>
      <c r="P17" s="23"/>
      <c r="Q17" s="21"/>
      <c r="R17" s="22"/>
      <c r="S17" s="22"/>
      <c r="T17" s="22"/>
      <c r="U17" s="23"/>
    </row>
    <row r="18" spans="1:28" x14ac:dyDescent="0.25">
      <c r="A18" s="12">
        <v>14</v>
      </c>
      <c r="B18" s="21"/>
      <c r="C18" s="22"/>
      <c r="D18" s="22"/>
      <c r="E18" s="22"/>
      <c r="F18" s="23"/>
      <c r="G18" s="21"/>
      <c r="H18" s="22"/>
      <c r="I18" s="22"/>
      <c r="J18" s="22"/>
      <c r="K18" s="23"/>
      <c r="L18" s="21"/>
      <c r="M18" s="22"/>
      <c r="N18" s="22"/>
      <c r="O18" s="22"/>
      <c r="P18" s="23"/>
      <c r="Q18" s="21"/>
      <c r="R18" s="22"/>
      <c r="S18" s="22"/>
      <c r="T18" s="22"/>
      <c r="U18" s="23"/>
    </row>
    <row r="19" spans="1:28" x14ac:dyDescent="0.25">
      <c r="A19" s="12">
        <v>15</v>
      </c>
      <c r="B19" s="21"/>
      <c r="C19" s="22"/>
      <c r="D19" s="22"/>
      <c r="E19" s="22"/>
      <c r="F19" s="23"/>
      <c r="G19" s="21"/>
      <c r="H19" s="22"/>
      <c r="I19" s="22"/>
      <c r="J19" s="22"/>
      <c r="K19" s="23"/>
      <c r="L19" s="21"/>
      <c r="M19" s="22"/>
      <c r="N19" s="22"/>
      <c r="O19" s="22"/>
      <c r="P19" s="23"/>
      <c r="Q19" s="21"/>
      <c r="R19" s="22"/>
      <c r="S19" s="22"/>
      <c r="T19" s="22"/>
      <c r="U19" s="23"/>
    </row>
    <row r="20" spans="1:28" x14ac:dyDescent="0.25">
      <c r="A20" s="12">
        <v>16</v>
      </c>
      <c r="B20" s="21"/>
      <c r="C20" s="22"/>
      <c r="D20" s="22"/>
      <c r="E20" s="22"/>
      <c r="F20" s="23"/>
      <c r="G20" s="21"/>
      <c r="H20" s="22"/>
      <c r="I20" s="22"/>
      <c r="J20" s="22"/>
      <c r="K20" s="23"/>
      <c r="L20" s="21"/>
      <c r="M20" s="22"/>
      <c r="N20" s="22"/>
      <c r="O20" s="22"/>
      <c r="P20" s="23"/>
      <c r="Q20" s="21"/>
      <c r="R20" s="22"/>
      <c r="S20" s="22"/>
      <c r="T20" s="22"/>
      <c r="U20" s="23"/>
      <c r="V20" s="9"/>
      <c r="Z20" s="24"/>
      <c r="AA20" s="25"/>
      <c r="AB20" s="24"/>
    </row>
    <row r="21" spans="1:28" x14ac:dyDescent="0.25">
      <c r="A21" s="12">
        <v>17</v>
      </c>
      <c r="B21" s="21"/>
      <c r="C21" s="22"/>
      <c r="D21" s="22"/>
      <c r="E21" s="22"/>
      <c r="F21" s="23"/>
      <c r="G21" s="21"/>
      <c r="H21" s="22"/>
      <c r="I21" s="22"/>
      <c r="J21" s="22"/>
      <c r="K21" s="23"/>
      <c r="L21" s="21"/>
      <c r="M21" s="22"/>
      <c r="N21" s="22"/>
      <c r="O21" s="22"/>
      <c r="P21" s="23"/>
      <c r="Q21" s="21"/>
      <c r="R21" s="22"/>
      <c r="S21" s="22"/>
      <c r="T21" s="22"/>
      <c r="U21" s="23"/>
      <c r="V21" s="9"/>
      <c r="Z21" s="24"/>
      <c r="AA21" s="25"/>
      <c r="AB21" s="24"/>
    </row>
    <row r="22" spans="1:28" x14ac:dyDescent="0.25">
      <c r="A22" s="12">
        <v>18</v>
      </c>
      <c r="B22" s="21"/>
      <c r="C22" s="22"/>
      <c r="D22" s="22"/>
      <c r="E22" s="22"/>
      <c r="F22" s="23"/>
      <c r="G22" s="21"/>
      <c r="H22" s="22"/>
      <c r="I22" s="22"/>
      <c r="J22" s="22"/>
      <c r="K22" s="23"/>
      <c r="L22" s="21"/>
      <c r="M22" s="22"/>
      <c r="N22" s="22"/>
      <c r="O22" s="22"/>
      <c r="P22" s="23"/>
      <c r="Q22" s="21"/>
      <c r="R22" s="22"/>
      <c r="S22" s="22"/>
      <c r="T22" s="22"/>
      <c r="U22" s="23"/>
      <c r="V22" s="9"/>
      <c r="Z22" s="24"/>
      <c r="AA22" s="25"/>
      <c r="AB22" s="24"/>
    </row>
    <row r="23" spans="1:28" x14ac:dyDescent="0.25">
      <c r="A23" s="12">
        <v>19</v>
      </c>
      <c r="B23" s="21"/>
      <c r="C23" s="22"/>
      <c r="D23" s="22"/>
      <c r="E23" s="22"/>
      <c r="F23" s="23"/>
      <c r="G23" s="21"/>
      <c r="H23" s="22"/>
      <c r="I23" s="22"/>
      <c r="J23" s="22"/>
      <c r="K23" s="23"/>
      <c r="L23" s="21"/>
      <c r="M23" s="22"/>
      <c r="N23" s="22"/>
      <c r="O23" s="22"/>
      <c r="P23" s="23"/>
      <c r="Q23" s="21"/>
      <c r="R23" s="22"/>
      <c r="S23" s="22"/>
      <c r="T23" s="22"/>
      <c r="U23" s="23"/>
      <c r="V23" s="9"/>
      <c r="Z23" s="24"/>
      <c r="AA23" s="25"/>
      <c r="AB23" s="24"/>
    </row>
    <row r="24" spans="1:28" x14ac:dyDescent="0.25">
      <c r="A24" s="12">
        <v>20</v>
      </c>
      <c r="B24" s="21"/>
      <c r="C24" s="22"/>
      <c r="D24" s="22"/>
      <c r="E24" s="22"/>
      <c r="F24" s="23"/>
      <c r="G24" s="21"/>
      <c r="H24" s="22"/>
      <c r="I24" s="22"/>
      <c r="J24" s="22"/>
      <c r="K24" s="23"/>
      <c r="L24" s="21"/>
      <c r="M24" s="22"/>
      <c r="N24" s="22"/>
      <c r="O24" s="22"/>
      <c r="P24" s="23"/>
      <c r="Q24" s="21"/>
      <c r="R24" s="22"/>
      <c r="S24" s="22"/>
      <c r="T24" s="22"/>
      <c r="U24" s="23"/>
      <c r="V24" s="9"/>
      <c r="W24" s="4"/>
      <c r="X24" s="4"/>
      <c r="Y24" s="4"/>
      <c r="Z24" s="24"/>
      <c r="AA24" s="25"/>
      <c r="AB24" s="24"/>
    </row>
    <row r="25" spans="1:28" x14ac:dyDescent="0.25">
      <c r="A25" s="12">
        <v>21</v>
      </c>
      <c r="B25" s="21"/>
      <c r="C25" s="22"/>
      <c r="D25" s="22"/>
      <c r="E25" s="22"/>
      <c r="F25" s="23"/>
      <c r="G25" s="21"/>
      <c r="H25" s="22"/>
      <c r="I25" s="22"/>
      <c r="J25" s="22"/>
      <c r="K25" s="23"/>
      <c r="L25" s="21"/>
      <c r="M25" s="22"/>
      <c r="N25" s="22"/>
      <c r="O25" s="22"/>
      <c r="P25" s="23"/>
      <c r="Q25" s="21"/>
      <c r="R25" s="22"/>
      <c r="S25" s="22"/>
      <c r="T25" s="22"/>
      <c r="U25" s="23"/>
      <c r="V25" s="9"/>
      <c r="Z25" s="24"/>
      <c r="AA25" s="25"/>
      <c r="AB25" s="24"/>
    </row>
    <row r="26" spans="1:28" x14ac:dyDescent="0.25">
      <c r="A26" s="12">
        <v>22</v>
      </c>
      <c r="B26" s="21"/>
      <c r="C26" s="22"/>
      <c r="D26" s="22"/>
      <c r="E26" s="22"/>
      <c r="F26" s="23"/>
      <c r="G26" s="21"/>
      <c r="H26" s="22"/>
      <c r="I26" s="22"/>
      <c r="J26" s="22"/>
      <c r="K26" s="23"/>
      <c r="L26" s="21"/>
      <c r="M26" s="22"/>
      <c r="N26" s="22"/>
      <c r="O26" s="22"/>
      <c r="P26" s="23"/>
      <c r="Q26" s="21"/>
      <c r="R26" s="22"/>
      <c r="S26" s="22"/>
      <c r="T26" s="22"/>
      <c r="U26" s="23"/>
      <c r="V26" s="9"/>
      <c r="W26" s="4"/>
      <c r="Z26" s="24"/>
      <c r="AA26" s="25"/>
      <c r="AB26" s="24"/>
    </row>
    <row r="27" spans="1:28" x14ac:dyDescent="0.25">
      <c r="A27" s="12">
        <v>23</v>
      </c>
      <c r="B27" s="21"/>
      <c r="C27" s="22"/>
      <c r="D27" s="22"/>
      <c r="E27" s="22"/>
      <c r="F27" s="23"/>
      <c r="G27" s="21"/>
      <c r="H27" s="22"/>
      <c r="I27" s="22"/>
      <c r="J27" s="22"/>
      <c r="K27" s="23"/>
      <c r="L27" s="21"/>
      <c r="M27" s="22"/>
      <c r="N27" s="22"/>
      <c r="O27" s="22"/>
      <c r="P27" s="23"/>
      <c r="Q27" s="21"/>
      <c r="R27" s="22"/>
      <c r="S27" s="22"/>
      <c r="T27" s="22"/>
      <c r="U27" s="23"/>
      <c r="V27" s="9"/>
      <c r="W27" s="4"/>
      <c r="Z27" s="24"/>
      <c r="AA27" s="25"/>
      <c r="AB27" s="24"/>
    </row>
    <row r="28" spans="1:28" x14ac:dyDescent="0.25">
      <c r="A28" s="12">
        <v>24</v>
      </c>
      <c r="B28" s="21"/>
      <c r="C28" s="22"/>
      <c r="D28" s="22"/>
      <c r="E28" s="22"/>
      <c r="F28" s="23"/>
      <c r="G28" s="21"/>
      <c r="H28" s="22"/>
      <c r="I28" s="22"/>
      <c r="J28" s="22"/>
      <c r="K28" s="23"/>
      <c r="L28" s="21"/>
      <c r="M28" s="22"/>
      <c r="N28" s="22"/>
      <c r="O28" s="22"/>
      <c r="P28" s="23"/>
      <c r="Q28" s="21"/>
      <c r="R28" s="22"/>
      <c r="S28" s="22"/>
      <c r="T28" s="22"/>
      <c r="U28" s="23"/>
      <c r="V28" s="9"/>
      <c r="W28" s="4"/>
      <c r="Z28" s="24"/>
      <c r="AA28" s="24"/>
    </row>
    <row r="29" spans="1:28" x14ac:dyDescent="0.25">
      <c r="A29" s="12">
        <v>25</v>
      </c>
      <c r="B29" s="21"/>
      <c r="C29" s="22"/>
      <c r="D29" s="22"/>
      <c r="E29" s="22"/>
      <c r="F29" s="23"/>
      <c r="G29" s="21"/>
      <c r="H29" s="22"/>
      <c r="I29" s="22"/>
      <c r="J29" s="22"/>
      <c r="K29" s="23"/>
      <c r="L29" s="21"/>
      <c r="M29" s="22"/>
      <c r="N29" s="22"/>
      <c r="O29" s="22"/>
      <c r="P29" s="23"/>
      <c r="Q29" s="21"/>
      <c r="R29" s="22"/>
      <c r="S29" s="22"/>
      <c r="T29" s="22"/>
      <c r="U29" s="23"/>
      <c r="V29" s="9"/>
      <c r="W29" s="4"/>
      <c r="Z29" s="24"/>
      <c r="AA29" s="24"/>
    </row>
    <row r="30" spans="1:28" x14ac:dyDescent="0.25">
      <c r="A30" s="12">
        <v>26</v>
      </c>
      <c r="B30" s="21"/>
      <c r="C30" s="22"/>
      <c r="D30" s="22"/>
      <c r="E30" s="22"/>
      <c r="F30" s="23"/>
      <c r="G30" s="21"/>
      <c r="H30" s="22"/>
      <c r="I30" s="22"/>
      <c r="J30" s="22"/>
      <c r="K30" s="23"/>
      <c r="L30" s="21"/>
      <c r="M30" s="22"/>
      <c r="N30" s="22"/>
      <c r="O30" s="22"/>
      <c r="P30" s="23"/>
      <c r="Q30" s="21"/>
      <c r="R30" s="22"/>
      <c r="S30" s="22"/>
      <c r="T30" s="22"/>
      <c r="U30" s="23"/>
      <c r="V30" s="9"/>
      <c r="Z30" s="24"/>
      <c r="AA30" s="24"/>
    </row>
    <row r="31" spans="1:28" x14ac:dyDescent="0.25">
      <c r="A31" s="12">
        <v>27</v>
      </c>
      <c r="B31" s="21"/>
      <c r="C31" s="22"/>
      <c r="D31" s="22"/>
      <c r="E31" s="22"/>
      <c r="F31" s="23"/>
      <c r="G31" s="21"/>
      <c r="H31" s="22"/>
      <c r="I31" s="22"/>
      <c r="J31" s="22"/>
      <c r="K31" s="23"/>
      <c r="L31" s="21"/>
      <c r="M31" s="22"/>
      <c r="N31" s="22"/>
      <c r="O31" s="22"/>
      <c r="P31" s="23"/>
      <c r="Q31" s="21"/>
      <c r="R31" s="22"/>
      <c r="S31" s="22"/>
      <c r="T31" s="22"/>
      <c r="U31" s="23"/>
      <c r="V31" s="9"/>
      <c r="Z31" s="24"/>
      <c r="AA31" s="24"/>
    </row>
    <row r="32" spans="1:28" x14ac:dyDescent="0.25">
      <c r="A32" s="12">
        <v>28</v>
      </c>
      <c r="B32" s="21"/>
      <c r="C32" s="22"/>
      <c r="D32" s="22"/>
      <c r="E32" s="22"/>
      <c r="F32" s="23"/>
      <c r="G32" s="21"/>
      <c r="H32" s="22"/>
      <c r="I32" s="22"/>
      <c r="J32" s="22"/>
      <c r="K32" s="23"/>
      <c r="L32" s="21"/>
      <c r="M32" s="22"/>
      <c r="N32" s="22"/>
      <c r="O32" s="22"/>
      <c r="P32" s="23"/>
      <c r="Q32" s="21"/>
      <c r="R32" s="22"/>
      <c r="S32" s="22"/>
      <c r="T32" s="22"/>
      <c r="U32" s="23"/>
      <c r="V32" s="9"/>
      <c r="Z32" s="24"/>
      <c r="AA32" s="24"/>
    </row>
    <row r="33" spans="1:27" x14ac:dyDescent="0.25">
      <c r="A33" s="12">
        <v>29</v>
      </c>
      <c r="B33" s="21"/>
      <c r="C33" s="22"/>
      <c r="D33" s="22"/>
      <c r="E33" s="22"/>
      <c r="F33" s="23"/>
      <c r="G33" s="21"/>
      <c r="H33" s="22"/>
      <c r="I33" s="22"/>
      <c r="J33" s="22"/>
      <c r="K33" s="23"/>
      <c r="L33" s="21"/>
      <c r="M33" s="22"/>
      <c r="N33" s="22"/>
      <c r="O33" s="22"/>
      <c r="P33" s="23"/>
      <c r="Q33" s="21"/>
      <c r="R33" s="22"/>
      <c r="S33" s="22"/>
      <c r="T33" s="22"/>
      <c r="U33" s="23"/>
      <c r="V33" s="9"/>
      <c r="Y33" s="9"/>
      <c r="Z33" s="24"/>
      <c r="AA33" s="24"/>
    </row>
    <row r="34" spans="1:27" x14ac:dyDescent="0.25">
      <c r="A34" s="12">
        <v>30</v>
      </c>
      <c r="B34" s="21"/>
      <c r="C34" s="22"/>
      <c r="D34" s="22"/>
      <c r="E34" s="22"/>
      <c r="F34" s="23"/>
      <c r="G34" s="21"/>
      <c r="H34" s="22"/>
      <c r="I34" s="22"/>
      <c r="J34" s="22"/>
      <c r="K34" s="23"/>
      <c r="L34" s="21"/>
      <c r="M34" s="22"/>
      <c r="N34" s="22"/>
      <c r="O34" s="22"/>
      <c r="P34" s="23"/>
      <c r="Q34" s="21"/>
      <c r="R34" s="22"/>
      <c r="S34" s="22"/>
      <c r="T34" s="22"/>
      <c r="U34" s="23"/>
      <c r="V34" s="9"/>
      <c r="Y34" s="9"/>
      <c r="Z34" s="26"/>
      <c r="AA34" s="26"/>
    </row>
    <row r="35" spans="1:27" x14ac:dyDescent="0.25">
      <c r="A35" s="12">
        <v>31</v>
      </c>
      <c r="B35" s="21"/>
      <c r="C35" s="22"/>
      <c r="D35" s="22"/>
      <c r="E35" s="22"/>
      <c r="F35" s="23"/>
      <c r="G35" s="21"/>
      <c r="H35" s="22"/>
      <c r="I35" s="22"/>
      <c r="J35" s="22"/>
      <c r="K35" s="23"/>
      <c r="L35" s="21"/>
      <c r="M35" s="22"/>
      <c r="N35" s="22"/>
      <c r="O35" s="22"/>
      <c r="P35" s="23"/>
      <c r="Q35" s="21"/>
      <c r="R35" s="22"/>
      <c r="S35" s="22"/>
      <c r="T35" s="22"/>
      <c r="U35" s="23"/>
      <c r="V35" s="9"/>
      <c r="Z35" s="24"/>
      <c r="AA35" s="24"/>
    </row>
    <row r="36" spans="1:27" x14ac:dyDescent="0.25">
      <c r="A36" s="12">
        <v>32</v>
      </c>
      <c r="B36" s="21"/>
      <c r="C36" s="22"/>
      <c r="D36" s="22"/>
      <c r="E36" s="22"/>
      <c r="F36" s="23"/>
      <c r="G36" s="21"/>
      <c r="H36" s="22"/>
      <c r="I36" s="22"/>
      <c r="J36" s="22"/>
      <c r="K36" s="23"/>
      <c r="L36" s="21"/>
      <c r="M36" s="22"/>
      <c r="N36" s="22"/>
      <c r="O36" s="22"/>
      <c r="P36" s="23"/>
      <c r="Q36" s="21"/>
      <c r="R36" s="22"/>
      <c r="S36" s="22"/>
      <c r="T36" s="22"/>
      <c r="U36" s="23"/>
      <c r="V36" s="9"/>
      <c r="Z36" s="24"/>
      <c r="AA36" s="24"/>
    </row>
    <row r="37" spans="1:27" x14ac:dyDescent="0.25">
      <c r="A37" s="12">
        <v>33</v>
      </c>
      <c r="B37" s="21"/>
      <c r="C37" s="22"/>
      <c r="D37" s="22"/>
      <c r="E37" s="22"/>
      <c r="F37" s="23"/>
      <c r="G37" s="21"/>
      <c r="H37" s="22"/>
      <c r="I37" s="22"/>
      <c r="J37" s="22"/>
      <c r="K37" s="23"/>
      <c r="L37" s="21"/>
      <c r="M37" s="22"/>
      <c r="N37" s="22"/>
      <c r="O37" s="22"/>
      <c r="P37" s="23"/>
      <c r="Q37" s="21"/>
      <c r="R37" s="22"/>
      <c r="S37" s="22"/>
      <c r="T37" s="22"/>
      <c r="U37" s="23"/>
      <c r="V37" s="9"/>
      <c r="Z37" s="24"/>
      <c r="AA37" s="24"/>
    </row>
    <row r="38" spans="1:27" x14ac:dyDescent="0.25">
      <c r="A38" s="12">
        <v>34</v>
      </c>
      <c r="B38" s="21"/>
      <c r="C38" s="22"/>
      <c r="D38" s="22"/>
      <c r="E38" s="22"/>
      <c r="F38" s="23"/>
      <c r="G38" s="21"/>
      <c r="H38" s="22"/>
      <c r="I38" s="22"/>
      <c r="J38" s="22"/>
      <c r="K38" s="23"/>
      <c r="L38" s="21"/>
      <c r="M38" s="22"/>
      <c r="N38" s="22"/>
      <c r="O38" s="22"/>
      <c r="P38" s="23"/>
      <c r="Q38" s="21"/>
      <c r="R38" s="22"/>
      <c r="S38" s="22"/>
      <c r="T38" s="22"/>
      <c r="U38" s="23"/>
      <c r="V38" s="9"/>
      <c r="Z38" s="24"/>
      <c r="AA38" s="24"/>
    </row>
    <row r="39" spans="1:27" x14ac:dyDescent="0.25">
      <c r="A39" s="12">
        <v>35</v>
      </c>
      <c r="B39" s="21"/>
      <c r="C39" s="22"/>
      <c r="D39" s="22"/>
      <c r="E39" s="22"/>
      <c r="F39" s="23"/>
      <c r="G39" s="21"/>
      <c r="H39" s="22"/>
      <c r="I39" s="22"/>
      <c r="J39" s="22"/>
      <c r="K39" s="23"/>
      <c r="L39" s="21"/>
      <c r="M39" s="22"/>
      <c r="N39" s="22"/>
      <c r="O39" s="22"/>
      <c r="P39" s="23"/>
      <c r="Q39" s="21"/>
      <c r="R39" s="22"/>
      <c r="S39" s="22"/>
      <c r="T39" s="22"/>
      <c r="U39" s="23"/>
      <c r="V39" s="9"/>
      <c r="Z39" s="24"/>
      <c r="AA39" s="24"/>
    </row>
    <row r="40" spans="1:27" x14ac:dyDescent="0.25">
      <c r="A40" s="12">
        <v>36</v>
      </c>
      <c r="B40" s="21"/>
      <c r="C40" s="22"/>
      <c r="D40" s="22"/>
      <c r="E40" s="22"/>
      <c r="F40" s="23"/>
      <c r="G40" s="21"/>
      <c r="H40" s="22"/>
      <c r="I40" s="22"/>
      <c r="J40" s="22"/>
      <c r="K40" s="23"/>
      <c r="L40" s="21"/>
      <c r="M40" s="22"/>
      <c r="N40" s="22"/>
      <c r="O40" s="22"/>
      <c r="P40" s="23"/>
      <c r="Q40" s="21"/>
      <c r="R40" s="22"/>
      <c r="S40" s="22"/>
      <c r="T40" s="22"/>
      <c r="U40" s="23"/>
      <c r="V40" s="9"/>
      <c r="Z40" s="24"/>
      <c r="AA40" s="24"/>
    </row>
    <row r="41" spans="1:27" x14ac:dyDescent="0.25">
      <c r="A41" s="12">
        <v>37</v>
      </c>
      <c r="B41" s="21"/>
      <c r="C41" s="22"/>
      <c r="D41" s="22"/>
      <c r="E41" s="22"/>
      <c r="F41" s="23"/>
      <c r="G41" s="21"/>
      <c r="H41" s="22"/>
      <c r="I41" s="22"/>
      <c r="J41" s="22"/>
      <c r="K41" s="23"/>
      <c r="L41" s="21"/>
      <c r="M41" s="22"/>
      <c r="N41" s="22"/>
      <c r="O41" s="22"/>
      <c r="P41" s="23"/>
      <c r="Q41" s="21"/>
      <c r="R41" s="22"/>
      <c r="S41" s="22"/>
      <c r="T41" s="22"/>
      <c r="U41" s="23"/>
      <c r="V41" s="9"/>
      <c r="Z41" s="24"/>
      <c r="AA41" s="24"/>
    </row>
    <row r="42" spans="1:27" x14ac:dyDescent="0.25">
      <c r="A42" s="12">
        <v>38</v>
      </c>
      <c r="B42" s="21"/>
      <c r="C42" s="22"/>
      <c r="D42" s="22"/>
      <c r="E42" s="22"/>
      <c r="F42" s="23"/>
      <c r="G42" s="21"/>
      <c r="H42" s="22"/>
      <c r="I42" s="22"/>
      <c r="J42" s="22"/>
      <c r="K42" s="23"/>
      <c r="L42" s="21"/>
      <c r="M42" s="22"/>
      <c r="N42" s="22"/>
      <c r="O42" s="22"/>
      <c r="P42" s="23"/>
      <c r="Q42" s="21"/>
      <c r="R42" s="22"/>
      <c r="S42" s="22"/>
      <c r="T42" s="22"/>
      <c r="U42" s="23"/>
      <c r="V42" s="9"/>
      <c r="Z42" s="24"/>
      <c r="AA42" s="24"/>
    </row>
    <row r="43" spans="1:27" x14ac:dyDescent="0.25">
      <c r="A43" s="12">
        <v>39</v>
      </c>
      <c r="B43" s="21"/>
      <c r="C43" s="22"/>
      <c r="D43" s="22"/>
      <c r="E43" s="22"/>
      <c r="F43" s="23"/>
      <c r="G43" s="21"/>
      <c r="H43" s="22"/>
      <c r="I43" s="22"/>
      <c r="J43" s="22"/>
      <c r="K43" s="23"/>
      <c r="L43" s="21"/>
      <c r="M43" s="22"/>
      <c r="N43" s="22"/>
      <c r="O43" s="22"/>
      <c r="P43" s="23"/>
      <c r="Q43" s="21"/>
      <c r="R43" s="22"/>
      <c r="S43" s="22"/>
      <c r="T43" s="22"/>
      <c r="U43" s="23"/>
      <c r="V43" s="9"/>
      <c r="Z43" s="24"/>
      <c r="AA43" s="24"/>
    </row>
    <row r="44" spans="1:27" ht="15.75" thickBot="1" x14ac:dyDescent="0.3">
      <c r="A44" s="12">
        <v>40</v>
      </c>
      <c r="B44" s="27"/>
      <c r="C44" s="28"/>
      <c r="D44" s="28"/>
      <c r="E44" s="28"/>
      <c r="F44" s="29"/>
      <c r="G44" s="27"/>
      <c r="H44" s="28"/>
      <c r="I44" s="28"/>
      <c r="J44" s="28"/>
      <c r="K44" s="29"/>
      <c r="L44" s="27"/>
      <c r="M44" s="28"/>
      <c r="N44" s="28"/>
      <c r="O44" s="28"/>
      <c r="P44" s="29"/>
      <c r="Q44" s="27"/>
      <c r="R44" s="28"/>
      <c r="S44" s="28"/>
      <c r="T44" s="28"/>
      <c r="U44" s="29"/>
      <c r="V44" s="9"/>
      <c r="Z44" s="24"/>
      <c r="AA44" s="24"/>
    </row>
  </sheetData>
  <mergeCells count="1"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556C-5B5C-448E-BE57-2F4EDF8C290C}">
  <dimension ref="A1:K308"/>
  <sheetViews>
    <sheetView workbookViewId="0">
      <selection activeCell="L12" sqref="A1:L12"/>
    </sheetView>
  </sheetViews>
  <sheetFormatPr baseColWidth="10" defaultRowHeight="15" x14ac:dyDescent="0.25"/>
  <sheetData>
    <row r="1" spans="1:11" ht="18.75" x14ac:dyDescent="0.3">
      <c r="A1" s="1">
        <f>[1]URDIDO!A1</f>
        <v>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</row>
    <row r="2" spans="1:11" ht="15.75" thickBot="1" x14ac:dyDescent="0.3">
      <c r="A2" s="6">
        <f>D3+I3</f>
        <v>3483.2999999999997</v>
      </c>
      <c r="B2" s="7" t="s">
        <v>1</v>
      </c>
      <c r="C2" s="8"/>
      <c r="D2" s="3" t="s">
        <v>16</v>
      </c>
      <c r="I2" s="3" t="s">
        <v>17</v>
      </c>
    </row>
    <row r="3" spans="1:11" ht="15.75" thickBot="1" x14ac:dyDescent="0.3">
      <c r="A3" s="30">
        <f>[1]URDIDO!A3</f>
        <v>46034</v>
      </c>
      <c r="B3" s="30"/>
      <c r="C3" s="30"/>
      <c r="D3" s="11">
        <f>SUM(D5:D44)</f>
        <v>3124.7</v>
      </c>
      <c r="E3" s="11">
        <f>SUM(E5:E44)</f>
        <v>26555</v>
      </c>
      <c r="I3" s="11">
        <f>SUM(I5:I44)</f>
        <v>358.6</v>
      </c>
      <c r="J3" s="11">
        <f>SUM(J5:J44)</f>
        <v>1700</v>
      </c>
    </row>
    <row r="4" spans="1:11" ht="15.75" thickBot="1" x14ac:dyDescent="0.3">
      <c r="A4" s="12"/>
      <c r="B4" s="13" t="s">
        <v>6</v>
      </c>
      <c r="C4" s="14" t="s">
        <v>7</v>
      </c>
      <c r="D4" s="15" t="s">
        <v>8</v>
      </c>
      <c r="E4" s="16" t="s">
        <v>9</v>
      </c>
      <c r="F4" s="17" t="s">
        <v>10</v>
      </c>
      <c r="G4" s="13" t="s">
        <v>6</v>
      </c>
      <c r="H4" s="14" t="s">
        <v>7</v>
      </c>
      <c r="I4" s="15" t="s">
        <v>8</v>
      </c>
      <c r="J4" s="16" t="s">
        <v>9</v>
      </c>
      <c r="K4" s="17" t="s">
        <v>10</v>
      </c>
    </row>
    <row r="5" spans="1:11" x14ac:dyDescent="0.25">
      <c r="A5" s="12">
        <v>1</v>
      </c>
      <c r="B5" s="18">
        <v>4078</v>
      </c>
      <c r="C5" s="19" t="s">
        <v>18</v>
      </c>
      <c r="D5" s="19">
        <v>1056</v>
      </c>
      <c r="E5" s="19">
        <v>5540</v>
      </c>
      <c r="F5" s="20" t="s">
        <v>19</v>
      </c>
      <c r="G5" s="18">
        <v>4077</v>
      </c>
      <c r="H5" s="19" t="s">
        <v>20</v>
      </c>
      <c r="I5" s="19">
        <v>358.6</v>
      </c>
      <c r="J5" s="19">
        <v>1700</v>
      </c>
      <c r="K5" s="20" t="s">
        <v>21</v>
      </c>
    </row>
    <row r="6" spans="1:11" x14ac:dyDescent="0.25">
      <c r="A6" s="12">
        <v>2</v>
      </c>
      <c r="B6" s="18">
        <v>4078</v>
      </c>
      <c r="C6" s="22" t="s">
        <v>22</v>
      </c>
      <c r="D6" s="22">
        <v>1105.5</v>
      </c>
      <c r="E6" s="22">
        <v>5650</v>
      </c>
      <c r="F6" s="20" t="s">
        <v>19</v>
      </c>
      <c r="G6" s="18"/>
      <c r="H6" s="22"/>
      <c r="I6" s="22"/>
      <c r="J6" s="22"/>
      <c r="K6" s="23"/>
    </row>
    <row r="7" spans="1:11" x14ac:dyDescent="0.25">
      <c r="A7" s="12">
        <v>3</v>
      </c>
      <c r="B7" s="18">
        <v>4075</v>
      </c>
      <c r="C7" s="22" t="s">
        <v>23</v>
      </c>
      <c r="D7" s="22">
        <v>963.2</v>
      </c>
      <c r="E7" s="22">
        <v>6665</v>
      </c>
      <c r="F7" s="20" t="s">
        <v>24</v>
      </c>
      <c r="G7" s="18"/>
      <c r="H7" s="22"/>
      <c r="I7" s="22"/>
      <c r="J7" s="22"/>
      <c r="K7" s="23"/>
    </row>
    <row r="8" spans="1:11" x14ac:dyDescent="0.25">
      <c r="A8" s="12">
        <v>4</v>
      </c>
      <c r="B8" s="18">
        <v>4076</v>
      </c>
      <c r="C8" s="22" t="s">
        <v>25</v>
      </c>
      <c r="D8" s="22"/>
      <c r="E8" s="22">
        <v>8700</v>
      </c>
      <c r="F8" s="20" t="s">
        <v>21</v>
      </c>
      <c r="G8" s="18"/>
      <c r="H8" s="22"/>
      <c r="I8" s="22"/>
      <c r="J8" s="22"/>
      <c r="K8" s="23"/>
    </row>
    <row r="9" spans="1:11" x14ac:dyDescent="0.25">
      <c r="A9" s="12">
        <v>5</v>
      </c>
      <c r="B9" s="18"/>
      <c r="C9" s="22"/>
      <c r="D9" s="22"/>
      <c r="E9" s="22"/>
      <c r="F9" s="20"/>
      <c r="G9" s="21"/>
      <c r="H9" s="22"/>
      <c r="I9" s="22"/>
      <c r="J9" s="22"/>
      <c r="K9" s="23"/>
    </row>
    <row r="10" spans="1:11" x14ac:dyDescent="0.25">
      <c r="A10" s="12">
        <v>6</v>
      </c>
      <c r="B10" s="18"/>
      <c r="C10" s="22"/>
      <c r="D10" s="22"/>
      <c r="E10" s="22"/>
      <c r="F10" s="20"/>
      <c r="G10" s="21"/>
      <c r="H10" s="22"/>
      <c r="I10" s="22"/>
      <c r="J10" s="22"/>
      <c r="K10" s="23"/>
    </row>
    <row r="11" spans="1:11" x14ac:dyDescent="0.25">
      <c r="A11" s="12">
        <v>7</v>
      </c>
      <c r="B11" s="18"/>
      <c r="C11" s="22"/>
      <c r="D11" s="22"/>
      <c r="E11" s="22"/>
      <c r="F11" s="23"/>
      <c r="G11" s="21"/>
      <c r="H11" s="22"/>
      <c r="I11" s="22"/>
      <c r="J11" s="22"/>
      <c r="K11" s="23"/>
    </row>
    <row r="12" spans="1:11" x14ac:dyDescent="0.25">
      <c r="A12" s="12">
        <v>8</v>
      </c>
      <c r="B12" s="21"/>
      <c r="C12" s="22"/>
      <c r="D12" s="22"/>
      <c r="E12" s="22"/>
      <c r="F12" s="23"/>
      <c r="G12" s="21"/>
      <c r="H12" s="22"/>
      <c r="I12" s="22"/>
      <c r="J12" s="22"/>
      <c r="K12" s="23"/>
    </row>
    <row r="13" spans="1:11" x14ac:dyDescent="0.25">
      <c r="A13" s="12">
        <v>9</v>
      </c>
      <c r="B13" s="21"/>
      <c r="C13" s="22"/>
      <c r="D13" s="22"/>
      <c r="E13" s="22"/>
      <c r="F13" s="23"/>
      <c r="G13" s="21"/>
      <c r="H13" s="22"/>
      <c r="I13" s="22"/>
      <c r="J13" s="22"/>
      <c r="K13" s="23"/>
    </row>
    <row r="14" spans="1:11" x14ac:dyDescent="0.25">
      <c r="A14" s="12">
        <v>10</v>
      </c>
      <c r="B14" s="21"/>
      <c r="C14" s="22"/>
      <c r="D14" s="22"/>
      <c r="E14" s="22"/>
      <c r="F14" s="23"/>
      <c r="G14" s="21"/>
      <c r="H14" s="22"/>
      <c r="I14" s="22"/>
      <c r="J14" s="22"/>
      <c r="K14" s="23"/>
    </row>
    <row r="15" spans="1:11" x14ac:dyDescent="0.25">
      <c r="A15" s="12">
        <v>11</v>
      </c>
      <c r="B15" s="21"/>
      <c r="C15" s="22"/>
      <c r="D15" s="22"/>
      <c r="E15" s="22"/>
      <c r="F15" s="23"/>
      <c r="G15" s="21"/>
      <c r="H15" s="22"/>
      <c r="I15" s="22"/>
      <c r="J15" s="22"/>
      <c r="K15" s="23"/>
    </row>
    <row r="16" spans="1:11" x14ac:dyDescent="0.25">
      <c r="A16" s="12">
        <v>12</v>
      </c>
      <c r="B16" s="21"/>
      <c r="C16" s="22"/>
      <c r="D16" s="22"/>
      <c r="E16" s="22"/>
      <c r="F16" s="23"/>
      <c r="G16" s="21"/>
      <c r="H16" s="22"/>
      <c r="I16" s="22"/>
      <c r="J16" s="22"/>
      <c r="K16" s="23"/>
    </row>
    <row r="17" spans="1:11" x14ac:dyDescent="0.25">
      <c r="A17" s="12">
        <v>13</v>
      </c>
      <c r="B17" s="21"/>
      <c r="C17" s="22"/>
      <c r="D17" s="22"/>
      <c r="E17" s="22"/>
      <c r="F17" s="23"/>
      <c r="G17" s="21"/>
      <c r="H17" s="22"/>
      <c r="I17" s="22"/>
      <c r="J17" s="22"/>
      <c r="K17" s="23"/>
    </row>
    <row r="18" spans="1:11" x14ac:dyDescent="0.25">
      <c r="A18" s="12">
        <v>14</v>
      </c>
      <c r="B18" s="21"/>
      <c r="C18" s="22"/>
      <c r="D18" s="22"/>
      <c r="E18" s="22"/>
      <c r="F18" s="23"/>
      <c r="G18" s="21"/>
      <c r="H18" s="22"/>
      <c r="I18" s="22"/>
      <c r="J18" s="22"/>
      <c r="K18" s="23"/>
    </row>
    <row r="19" spans="1:11" x14ac:dyDescent="0.25">
      <c r="A19" s="12">
        <v>15</v>
      </c>
      <c r="B19" s="21"/>
      <c r="C19" s="22"/>
      <c r="D19" s="22"/>
      <c r="E19" s="22"/>
      <c r="F19" s="23"/>
      <c r="G19" s="21"/>
      <c r="H19" s="22"/>
      <c r="I19" s="22"/>
      <c r="J19" s="22"/>
      <c r="K19" s="23"/>
    </row>
    <row r="20" spans="1:11" x14ac:dyDescent="0.25">
      <c r="A20" s="12">
        <v>16</v>
      </c>
      <c r="B20" s="21"/>
      <c r="C20" s="22"/>
      <c r="D20" s="22"/>
      <c r="E20" s="22"/>
      <c r="F20" s="23"/>
      <c r="G20" s="21"/>
      <c r="H20" s="22"/>
      <c r="I20" s="22"/>
      <c r="J20" s="22"/>
      <c r="K20" s="23"/>
    </row>
    <row r="21" spans="1:11" x14ac:dyDescent="0.25">
      <c r="A21" s="12">
        <v>17</v>
      </c>
      <c r="B21" s="21"/>
      <c r="C21" s="22"/>
      <c r="D21" s="22"/>
      <c r="E21" s="22"/>
      <c r="F21" s="23"/>
      <c r="G21" s="21"/>
      <c r="H21" s="22"/>
      <c r="I21" s="22"/>
      <c r="J21" s="22"/>
      <c r="K21" s="23"/>
    </row>
    <row r="22" spans="1:11" x14ac:dyDescent="0.25">
      <c r="A22" s="12">
        <v>18</v>
      </c>
      <c r="B22" s="21"/>
      <c r="C22" s="22"/>
      <c r="D22" s="22"/>
      <c r="E22" s="22"/>
      <c r="F22" s="23"/>
      <c r="G22" s="21"/>
      <c r="H22" s="22"/>
      <c r="I22" s="22"/>
      <c r="J22" s="22"/>
      <c r="K22" s="23"/>
    </row>
    <row r="23" spans="1:11" x14ac:dyDescent="0.25">
      <c r="A23" s="12">
        <v>19</v>
      </c>
      <c r="B23" s="21"/>
      <c r="C23" s="22"/>
      <c r="D23" s="22"/>
      <c r="E23" s="22"/>
      <c r="F23" s="23"/>
      <c r="G23" s="21"/>
      <c r="H23" s="22"/>
      <c r="I23" s="22"/>
      <c r="J23" s="22"/>
      <c r="K23" s="23"/>
    </row>
    <row r="24" spans="1:11" x14ac:dyDescent="0.25">
      <c r="A24" s="12">
        <v>20</v>
      </c>
      <c r="B24" s="21"/>
      <c r="C24" s="22"/>
      <c r="D24" s="22"/>
      <c r="E24" s="22"/>
      <c r="F24" s="23"/>
      <c r="G24" s="21"/>
      <c r="H24" s="22"/>
      <c r="I24" s="22"/>
      <c r="J24" s="22"/>
      <c r="K24" s="23"/>
    </row>
    <row r="25" spans="1:11" x14ac:dyDescent="0.25">
      <c r="A25" s="12">
        <v>21</v>
      </c>
      <c r="B25" s="21"/>
      <c r="C25" s="22"/>
      <c r="D25" s="22"/>
      <c r="E25" s="22"/>
      <c r="F25" s="23"/>
      <c r="G25" s="21"/>
      <c r="H25" s="22"/>
      <c r="I25" s="22"/>
      <c r="J25" s="22"/>
      <c r="K25" s="23"/>
    </row>
    <row r="26" spans="1:11" x14ac:dyDescent="0.25">
      <c r="A26" s="12">
        <v>22</v>
      </c>
      <c r="B26" s="21"/>
      <c r="C26" s="22"/>
      <c r="D26" s="22"/>
      <c r="E26" s="22"/>
      <c r="F26" s="23"/>
      <c r="G26" s="21"/>
      <c r="H26" s="22"/>
      <c r="I26" s="22"/>
      <c r="J26" s="22"/>
      <c r="K26" s="23"/>
    </row>
    <row r="27" spans="1:11" x14ac:dyDescent="0.25">
      <c r="A27" s="12">
        <v>23</v>
      </c>
      <c r="B27" s="21"/>
      <c r="C27" s="22"/>
      <c r="D27" s="22"/>
      <c r="E27" s="22"/>
      <c r="F27" s="23"/>
      <c r="G27" s="21"/>
      <c r="H27" s="22"/>
      <c r="I27" s="22"/>
      <c r="J27" s="22"/>
      <c r="K27" s="23"/>
    </row>
    <row r="28" spans="1:11" x14ac:dyDescent="0.25">
      <c r="A28" s="12">
        <v>24</v>
      </c>
      <c r="B28" s="21"/>
      <c r="C28" s="22"/>
      <c r="D28" s="22"/>
      <c r="E28" s="22"/>
      <c r="F28" s="23"/>
      <c r="G28" s="21"/>
      <c r="H28" s="22"/>
      <c r="I28" s="22"/>
      <c r="J28" s="22"/>
      <c r="K28" s="23"/>
    </row>
    <row r="29" spans="1:11" x14ac:dyDescent="0.25">
      <c r="A29" s="12">
        <v>25</v>
      </c>
      <c r="B29" s="21"/>
      <c r="C29" s="22"/>
      <c r="D29" s="22"/>
      <c r="E29" s="22"/>
      <c r="F29" s="23"/>
      <c r="G29" s="21"/>
      <c r="H29" s="22"/>
      <c r="I29" s="22"/>
      <c r="J29" s="22"/>
      <c r="K29" s="23"/>
    </row>
    <row r="30" spans="1:11" x14ac:dyDescent="0.25">
      <c r="A30" s="12">
        <v>26</v>
      </c>
      <c r="B30" s="21"/>
      <c r="C30" s="22"/>
      <c r="D30" s="22"/>
      <c r="E30" s="22"/>
      <c r="F30" s="23"/>
      <c r="G30" s="21"/>
      <c r="H30" s="22"/>
      <c r="I30" s="22"/>
      <c r="J30" s="22"/>
      <c r="K30" s="23"/>
    </row>
    <row r="31" spans="1:11" x14ac:dyDescent="0.25">
      <c r="A31" s="12">
        <v>27</v>
      </c>
      <c r="B31" s="21"/>
      <c r="C31" s="22"/>
      <c r="D31" s="22"/>
      <c r="E31" s="22"/>
      <c r="F31" s="23"/>
      <c r="G31" s="21"/>
      <c r="H31" s="22"/>
      <c r="I31" s="22"/>
      <c r="J31" s="22"/>
      <c r="K31" s="23"/>
    </row>
    <row r="32" spans="1:11" x14ac:dyDescent="0.25">
      <c r="A32" s="12">
        <v>28</v>
      </c>
      <c r="B32" s="21"/>
      <c r="C32" s="22"/>
      <c r="D32" s="22"/>
      <c r="E32" s="22"/>
      <c r="F32" s="23"/>
      <c r="G32" s="21"/>
      <c r="H32" s="22"/>
      <c r="I32" s="22"/>
      <c r="J32" s="22"/>
      <c r="K32" s="23"/>
    </row>
    <row r="33" spans="1:11" x14ac:dyDescent="0.25">
      <c r="A33" s="12">
        <v>29</v>
      </c>
      <c r="B33" s="21"/>
      <c r="C33" s="22"/>
      <c r="D33" s="22"/>
      <c r="E33" s="22"/>
      <c r="F33" s="23"/>
      <c r="G33" s="21"/>
      <c r="H33" s="22"/>
      <c r="I33" s="22"/>
      <c r="J33" s="22"/>
      <c r="K33" s="23"/>
    </row>
    <row r="34" spans="1:11" x14ac:dyDescent="0.25">
      <c r="A34" s="12">
        <v>30</v>
      </c>
      <c r="B34" s="21"/>
      <c r="C34" s="22"/>
      <c r="D34" s="22"/>
      <c r="E34" s="22"/>
      <c r="F34" s="23"/>
      <c r="G34" s="21"/>
      <c r="H34" s="22"/>
      <c r="I34" s="22"/>
      <c r="J34" s="22"/>
      <c r="K34" s="23"/>
    </row>
    <row r="35" spans="1:11" x14ac:dyDescent="0.25">
      <c r="A35" s="12">
        <v>31</v>
      </c>
      <c r="B35" s="21"/>
      <c r="C35" s="22"/>
      <c r="D35" s="22"/>
      <c r="E35" s="22"/>
      <c r="F35" s="23"/>
      <c r="G35" s="21"/>
      <c r="H35" s="22"/>
      <c r="I35" s="22"/>
      <c r="J35" s="22"/>
      <c r="K35" s="23"/>
    </row>
    <row r="36" spans="1:11" x14ac:dyDescent="0.25">
      <c r="A36" s="12">
        <v>32</v>
      </c>
      <c r="B36" s="21"/>
      <c r="C36" s="22"/>
      <c r="D36" s="22"/>
      <c r="E36" s="22"/>
      <c r="F36" s="23"/>
      <c r="G36" s="21"/>
      <c r="H36" s="22"/>
      <c r="I36" s="22"/>
      <c r="J36" s="22"/>
      <c r="K36" s="23"/>
    </row>
    <row r="37" spans="1:11" x14ac:dyDescent="0.25">
      <c r="A37" s="12">
        <v>33</v>
      </c>
      <c r="B37" s="21"/>
      <c r="C37" s="22"/>
      <c r="D37" s="22"/>
      <c r="E37" s="22"/>
      <c r="F37" s="23"/>
      <c r="G37" s="21"/>
      <c r="H37" s="22"/>
      <c r="I37" s="22"/>
      <c r="J37" s="22"/>
      <c r="K37" s="23"/>
    </row>
    <row r="38" spans="1:11" x14ac:dyDescent="0.25">
      <c r="A38" s="12">
        <v>34</v>
      </c>
      <c r="B38" s="21"/>
      <c r="C38" s="22"/>
      <c r="D38" s="22"/>
      <c r="E38" s="22"/>
      <c r="F38" s="23"/>
      <c r="G38" s="21"/>
      <c r="H38" s="22"/>
      <c r="I38" s="22"/>
      <c r="J38" s="22"/>
      <c r="K38" s="23"/>
    </row>
    <row r="39" spans="1:11" x14ac:dyDescent="0.25">
      <c r="A39" s="12">
        <v>35</v>
      </c>
      <c r="B39" s="21"/>
      <c r="C39" s="22"/>
      <c r="D39" s="22"/>
      <c r="E39" s="22"/>
      <c r="F39" s="23"/>
      <c r="G39" s="21"/>
      <c r="H39" s="22"/>
      <c r="I39" s="22"/>
      <c r="J39" s="22"/>
      <c r="K39" s="23"/>
    </row>
    <row r="40" spans="1:11" x14ac:dyDescent="0.25">
      <c r="A40" s="12">
        <v>36</v>
      </c>
      <c r="B40" s="21"/>
      <c r="C40" s="22"/>
      <c r="D40" s="22"/>
      <c r="E40" s="22"/>
      <c r="F40" s="23"/>
      <c r="G40" s="21"/>
      <c r="H40" s="22"/>
      <c r="I40" s="22"/>
      <c r="J40" s="22"/>
      <c r="K40" s="23"/>
    </row>
    <row r="41" spans="1:11" x14ac:dyDescent="0.25">
      <c r="A41" s="12">
        <v>37</v>
      </c>
      <c r="B41" s="21"/>
      <c r="C41" s="22"/>
      <c r="D41" s="22"/>
      <c r="E41" s="22"/>
      <c r="F41" s="23"/>
      <c r="G41" s="21"/>
      <c r="H41" s="22"/>
      <c r="I41" s="22"/>
      <c r="J41" s="22"/>
      <c r="K41" s="23"/>
    </row>
    <row r="42" spans="1:11" x14ac:dyDescent="0.25">
      <c r="A42" s="12">
        <v>38</v>
      </c>
      <c r="B42" s="21"/>
      <c r="C42" s="22"/>
      <c r="D42" s="22"/>
      <c r="E42" s="22"/>
      <c r="F42" s="23"/>
      <c r="G42" s="21"/>
      <c r="H42" s="22"/>
      <c r="I42" s="22"/>
      <c r="J42" s="22"/>
      <c r="K42" s="23"/>
    </row>
    <row r="43" spans="1:11" x14ac:dyDescent="0.25">
      <c r="A43" s="12">
        <v>39</v>
      </c>
      <c r="B43" s="21"/>
      <c r="C43" s="22"/>
      <c r="D43" s="22"/>
      <c r="E43" s="22"/>
      <c r="F43" s="23"/>
      <c r="G43" s="21"/>
      <c r="H43" s="22"/>
      <c r="I43" s="22"/>
      <c r="J43" s="22"/>
      <c r="K43" s="23"/>
    </row>
    <row r="44" spans="1:11" ht="15.75" thickBot="1" x14ac:dyDescent="0.3">
      <c r="A44" s="12">
        <v>40</v>
      </c>
      <c r="B44" s="27"/>
      <c r="C44" s="28"/>
      <c r="D44" s="28"/>
      <c r="E44" s="28"/>
      <c r="F44" s="29"/>
      <c r="G44" s="27"/>
      <c r="H44" s="28"/>
      <c r="I44" s="28"/>
      <c r="J44" s="28"/>
      <c r="K44" s="29"/>
    </row>
    <row r="45" spans="1:11" x14ac:dyDescent="0.25">
      <c r="A45" s="12"/>
    </row>
    <row r="46" spans="1:11" ht="15.75" thickBot="1" x14ac:dyDescent="0.3">
      <c r="A46" s="6">
        <f>D47+I47</f>
        <v>5877.9</v>
      </c>
      <c r="B46" s="7" t="s">
        <v>1</v>
      </c>
      <c r="C46" s="8"/>
      <c r="D46" s="3" t="s">
        <v>16</v>
      </c>
      <c r="I46" s="3" t="s">
        <v>17</v>
      </c>
    </row>
    <row r="47" spans="1:11" ht="15.75" thickBot="1" x14ac:dyDescent="0.3">
      <c r="A47" s="30">
        <f>1+A3</f>
        <v>46035</v>
      </c>
      <c r="B47" s="30"/>
      <c r="C47" s="30"/>
      <c r="D47" s="11">
        <f>SUM(D49:D88)</f>
        <v>5300.7999999999993</v>
      </c>
      <c r="E47" s="11">
        <f>SUM(E49:E88)</f>
        <v>21100</v>
      </c>
      <c r="I47" s="11">
        <f>SUM(I49:I88)</f>
        <v>577.1</v>
      </c>
      <c r="J47" s="11">
        <f>SUM(J49:J88)</f>
        <v>1351.5</v>
      </c>
    </row>
    <row r="48" spans="1:11" ht="15.75" thickBot="1" x14ac:dyDescent="0.3">
      <c r="A48" s="12"/>
      <c r="B48" s="13" t="s">
        <v>6</v>
      </c>
      <c r="C48" s="14" t="s">
        <v>7</v>
      </c>
      <c r="D48" s="15" t="s">
        <v>8</v>
      </c>
      <c r="E48" s="16" t="s">
        <v>9</v>
      </c>
      <c r="F48" s="17" t="s">
        <v>10</v>
      </c>
      <c r="G48" s="13" t="s">
        <v>6</v>
      </c>
      <c r="H48" s="14" t="s">
        <v>7</v>
      </c>
      <c r="I48" s="15" t="s">
        <v>8</v>
      </c>
      <c r="J48" s="16" t="s">
        <v>9</v>
      </c>
      <c r="K48" s="17" t="s">
        <v>10</v>
      </c>
    </row>
    <row r="49" spans="1:11" x14ac:dyDescent="0.25">
      <c r="A49" s="12">
        <v>1</v>
      </c>
      <c r="B49" s="18">
        <v>4076</v>
      </c>
      <c r="C49" s="19" t="s">
        <v>25</v>
      </c>
      <c r="D49" s="19">
        <v>940.8</v>
      </c>
      <c r="E49" s="19">
        <v>1300</v>
      </c>
      <c r="F49" s="20" t="s">
        <v>19</v>
      </c>
      <c r="G49" s="18"/>
      <c r="H49" s="19">
        <v>736</v>
      </c>
      <c r="I49" s="19">
        <v>480</v>
      </c>
      <c r="J49" s="19">
        <v>601.5</v>
      </c>
      <c r="K49" s="20" t="s">
        <v>26</v>
      </c>
    </row>
    <row r="50" spans="1:11" x14ac:dyDescent="0.25">
      <c r="A50" s="12">
        <v>2</v>
      </c>
      <c r="B50" s="18">
        <v>4071</v>
      </c>
      <c r="C50" s="22" t="s">
        <v>27</v>
      </c>
      <c r="D50" s="22">
        <v>484.9</v>
      </c>
      <c r="E50" s="22">
        <v>2100</v>
      </c>
      <c r="F50" s="20" t="s">
        <v>19</v>
      </c>
      <c r="G50" s="18">
        <v>4091</v>
      </c>
      <c r="H50" s="22" t="s">
        <v>28</v>
      </c>
      <c r="I50" s="22">
        <v>97.1</v>
      </c>
      <c r="J50" s="22">
        <v>750</v>
      </c>
      <c r="K50" s="23" t="s">
        <v>24</v>
      </c>
    </row>
    <row r="51" spans="1:11" x14ac:dyDescent="0.25">
      <c r="A51" s="12">
        <v>3</v>
      </c>
      <c r="B51" s="18">
        <v>4071</v>
      </c>
      <c r="C51" s="22" t="s">
        <v>29</v>
      </c>
      <c r="D51" s="22">
        <v>737.9</v>
      </c>
      <c r="E51" s="22">
        <v>3100</v>
      </c>
      <c r="F51" s="20" t="s">
        <v>19</v>
      </c>
      <c r="G51" s="18"/>
      <c r="H51" s="22"/>
      <c r="I51" s="22"/>
      <c r="J51" s="22"/>
      <c r="K51" s="23"/>
    </row>
    <row r="52" spans="1:11" x14ac:dyDescent="0.25">
      <c r="A52" s="12">
        <v>4</v>
      </c>
      <c r="B52" s="18">
        <v>4071</v>
      </c>
      <c r="C52" s="22" t="s">
        <v>30</v>
      </c>
      <c r="D52" s="22"/>
      <c r="E52" s="22">
        <v>1600</v>
      </c>
      <c r="F52" s="20" t="s">
        <v>19</v>
      </c>
      <c r="G52" s="18"/>
      <c r="H52" s="22"/>
      <c r="I52" s="22"/>
      <c r="J52" s="22"/>
      <c r="K52" s="23"/>
    </row>
    <row r="53" spans="1:11" x14ac:dyDescent="0.25">
      <c r="A53" s="12">
        <v>5</v>
      </c>
      <c r="B53" s="18">
        <v>4071</v>
      </c>
      <c r="C53" s="22" t="s">
        <v>30</v>
      </c>
      <c r="D53" s="22">
        <v>737</v>
      </c>
      <c r="E53" s="22">
        <v>1500</v>
      </c>
      <c r="F53" s="20" t="s">
        <v>24</v>
      </c>
      <c r="G53" s="21"/>
      <c r="H53" s="22"/>
      <c r="I53" s="22"/>
      <c r="J53" s="22"/>
      <c r="K53" s="23"/>
    </row>
    <row r="54" spans="1:11" x14ac:dyDescent="0.25">
      <c r="A54" s="12">
        <v>6</v>
      </c>
      <c r="B54" s="18">
        <v>4071</v>
      </c>
      <c r="C54" s="22" t="s">
        <v>31</v>
      </c>
      <c r="D54" s="22">
        <v>339.1</v>
      </c>
      <c r="E54" s="22">
        <v>1500</v>
      </c>
      <c r="F54" s="20" t="s">
        <v>24</v>
      </c>
      <c r="G54" s="21"/>
      <c r="H54" s="22"/>
      <c r="I54" s="22"/>
      <c r="J54" s="22"/>
      <c r="K54" s="23"/>
    </row>
    <row r="55" spans="1:11" x14ac:dyDescent="0.25">
      <c r="A55" s="12">
        <v>7</v>
      </c>
      <c r="B55" s="18">
        <v>4074</v>
      </c>
      <c r="C55" s="22" t="s">
        <v>32</v>
      </c>
      <c r="D55" s="22"/>
      <c r="E55" s="22">
        <v>1850</v>
      </c>
      <c r="F55" s="23" t="s">
        <v>24</v>
      </c>
      <c r="G55" s="21"/>
      <c r="H55" s="22"/>
      <c r="I55" s="22"/>
      <c r="J55" s="22"/>
      <c r="K55" s="23"/>
    </row>
    <row r="56" spans="1:11" x14ac:dyDescent="0.25">
      <c r="A56" s="12">
        <v>8</v>
      </c>
      <c r="B56" s="18">
        <v>4074</v>
      </c>
      <c r="C56" s="22" t="s">
        <v>32</v>
      </c>
      <c r="D56" s="22">
        <v>676.1</v>
      </c>
      <c r="E56" s="22">
        <v>3700</v>
      </c>
      <c r="F56" s="23" t="s">
        <v>24</v>
      </c>
      <c r="G56" s="21"/>
      <c r="H56" s="22"/>
      <c r="I56" s="22"/>
      <c r="J56" s="22"/>
      <c r="K56" s="23"/>
    </row>
    <row r="57" spans="1:11" x14ac:dyDescent="0.25">
      <c r="A57" s="12">
        <v>9</v>
      </c>
      <c r="B57" s="21">
        <v>4074</v>
      </c>
      <c r="C57" s="22" t="s">
        <v>33</v>
      </c>
      <c r="D57" s="22">
        <v>713.8</v>
      </c>
      <c r="E57" s="22">
        <v>3800</v>
      </c>
      <c r="F57" s="23" t="s">
        <v>24</v>
      </c>
      <c r="G57" s="21"/>
      <c r="H57" s="22"/>
      <c r="I57" s="22"/>
      <c r="J57" s="22"/>
      <c r="K57" s="23"/>
    </row>
    <row r="58" spans="1:11" x14ac:dyDescent="0.25">
      <c r="A58" s="12">
        <v>10</v>
      </c>
      <c r="B58" s="21">
        <v>4074</v>
      </c>
      <c r="C58" s="22" t="s">
        <v>34</v>
      </c>
      <c r="D58" s="22">
        <v>671.2</v>
      </c>
      <c r="E58" s="22">
        <v>650</v>
      </c>
      <c r="F58" s="23" t="s">
        <v>24</v>
      </c>
      <c r="G58" s="21"/>
      <c r="H58" s="22"/>
      <c r="I58" s="22"/>
      <c r="J58" s="22"/>
      <c r="K58" s="23"/>
    </row>
    <row r="59" spans="1:11" x14ac:dyDescent="0.25">
      <c r="A59" s="12">
        <v>11</v>
      </c>
      <c r="B59" s="21"/>
      <c r="C59" s="22"/>
      <c r="D59" s="22"/>
      <c r="E59" s="22"/>
      <c r="F59" s="23"/>
      <c r="G59" s="21"/>
      <c r="H59" s="22"/>
      <c r="I59" s="22"/>
      <c r="J59" s="22"/>
      <c r="K59" s="23"/>
    </row>
    <row r="60" spans="1:11" x14ac:dyDescent="0.25">
      <c r="A60" s="12">
        <v>12</v>
      </c>
      <c r="B60" s="21"/>
      <c r="C60" s="22"/>
      <c r="D60" s="22"/>
      <c r="E60" s="22"/>
      <c r="F60" s="23"/>
      <c r="G60" s="21"/>
      <c r="H60" s="22"/>
      <c r="I60" s="22"/>
      <c r="J60" s="22"/>
      <c r="K60" s="23"/>
    </row>
    <row r="61" spans="1:11" x14ac:dyDescent="0.25">
      <c r="A61" s="12">
        <v>13</v>
      </c>
      <c r="B61" s="21"/>
      <c r="C61" s="22"/>
      <c r="D61" s="22"/>
      <c r="E61" s="22"/>
      <c r="F61" s="23"/>
      <c r="G61" s="21"/>
      <c r="H61" s="22"/>
      <c r="I61" s="22"/>
      <c r="J61" s="22"/>
      <c r="K61" s="23"/>
    </row>
    <row r="62" spans="1:11" x14ac:dyDescent="0.25">
      <c r="A62" s="12">
        <v>14</v>
      </c>
      <c r="B62" s="21"/>
      <c r="C62" s="22"/>
      <c r="D62" s="22"/>
      <c r="E62" s="22"/>
      <c r="F62" s="23"/>
      <c r="G62" s="21"/>
      <c r="H62" s="22"/>
      <c r="I62" s="22"/>
      <c r="J62" s="22"/>
      <c r="K62" s="23"/>
    </row>
    <row r="63" spans="1:11" x14ac:dyDescent="0.25">
      <c r="A63" s="12">
        <v>15</v>
      </c>
      <c r="B63" s="21"/>
      <c r="C63" s="22"/>
      <c r="D63" s="22"/>
      <c r="E63" s="22"/>
      <c r="F63" s="23"/>
      <c r="G63" s="21"/>
      <c r="H63" s="22"/>
      <c r="I63" s="22"/>
      <c r="J63" s="22"/>
      <c r="K63" s="23"/>
    </row>
    <row r="64" spans="1:11" x14ac:dyDescent="0.25">
      <c r="A64" s="12">
        <v>16</v>
      </c>
      <c r="B64" s="21"/>
      <c r="C64" s="22"/>
      <c r="D64" s="22"/>
      <c r="E64" s="22"/>
      <c r="F64" s="23"/>
      <c r="G64" s="21"/>
      <c r="H64" s="22"/>
      <c r="I64" s="22"/>
      <c r="J64" s="22"/>
      <c r="K64" s="23"/>
    </row>
    <row r="65" spans="1:11" x14ac:dyDescent="0.25">
      <c r="A65" s="12">
        <v>17</v>
      </c>
      <c r="B65" s="21"/>
      <c r="C65" s="22"/>
      <c r="D65" s="22"/>
      <c r="E65" s="22"/>
      <c r="F65" s="23"/>
      <c r="G65" s="21"/>
      <c r="H65" s="22"/>
      <c r="I65" s="22"/>
      <c r="J65" s="22"/>
      <c r="K65" s="23"/>
    </row>
    <row r="66" spans="1:11" x14ac:dyDescent="0.25">
      <c r="A66" s="12">
        <v>18</v>
      </c>
      <c r="B66" s="21"/>
      <c r="C66" s="22"/>
      <c r="D66" s="22"/>
      <c r="E66" s="22"/>
      <c r="F66" s="23"/>
      <c r="G66" s="21"/>
      <c r="H66" s="22"/>
      <c r="I66" s="22"/>
      <c r="J66" s="22"/>
      <c r="K66" s="23"/>
    </row>
    <row r="67" spans="1:11" x14ac:dyDescent="0.25">
      <c r="A67" s="12">
        <v>19</v>
      </c>
      <c r="B67" s="21"/>
      <c r="C67" s="22"/>
      <c r="D67" s="22"/>
      <c r="E67" s="22"/>
      <c r="F67" s="23"/>
      <c r="G67" s="21"/>
      <c r="H67" s="22"/>
      <c r="I67" s="22"/>
      <c r="J67" s="22"/>
      <c r="K67" s="23"/>
    </row>
    <row r="68" spans="1:11" x14ac:dyDescent="0.25">
      <c r="A68" s="12">
        <v>20</v>
      </c>
      <c r="B68" s="21"/>
      <c r="C68" s="22"/>
      <c r="D68" s="22"/>
      <c r="E68" s="22"/>
      <c r="F68" s="23"/>
      <c r="G68" s="21"/>
      <c r="H68" s="22"/>
      <c r="I68" s="22"/>
      <c r="J68" s="22"/>
      <c r="K68" s="23"/>
    </row>
    <row r="69" spans="1:11" x14ac:dyDescent="0.25">
      <c r="A69" s="12">
        <v>21</v>
      </c>
      <c r="B69" s="21"/>
      <c r="C69" s="22"/>
      <c r="D69" s="22"/>
      <c r="E69" s="22"/>
      <c r="F69" s="23"/>
      <c r="G69" s="21"/>
      <c r="H69" s="22"/>
      <c r="I69" s="22"/>
      <c r="J69" s="22"/>
      <c r="K69" s="23"/>
    </row>
    <row r="70" spans="1:11" x14ac:dyDescent="0.25">
      <c r="A70" s="12">
        <v>22</v>
      </c>
      <c r="B70" s="21"/>
      <c r="C70" s="22"/>
      <c r="D70" s="22"/>
      <c r="E70" s="22"/>
      <c r="F70" s="23"/>
      <c r="G70" s="21"/>
      <c r="H70" s="22"/>
      <c r="I70" s="22"/>
      <c r="J70" s="22"/>
      <c r="K70" s="23"/>
    </row>
    <row r="71" spans="1:11" x14ac:dyDescent="0.25">
      <c r="A71" s="12">
        <v>23</v>
      </c>
      <c r="B71" s="21"/>
      <c r="C71" s="22"/>
      <c r="D71" s="22"/>
      <c r="E71" s="22"/>
      <c r="F71" s="23"/>
      <c r="G71" s="21"/>
      <c r="H71" s="22"/>
      <c r="I71" s="22"/>
      <c r="J71" s="22"/>
      <c r="K71" s="23"/>
    </row>
    <row r="72" spans="1:11" x14ac:dyDescent="0.25">
      <c r="A72" s="12">
        <v>24</v>
      </c>
      <c r="B72" s="21"/>
      <c r="C72" s="22"/>
      <c r="D72" s="22"/>
      <c r="E72" s="22"/>
      <c r="F72" s="23"/>
      <c r="G72" s="21"/>
      <c r="H72" s="22"/>
      <c r="I72" s="22"/>
      <c r="J72" s="22"/>
      <c r="K72" s="23"/>
    </row>
    <row r="73" spans="1:11" x14ac:dyDescent="0.25">
      <c r="A73" s="12">
        <v>25</v>
      </c>
      <c r="B73" s="21"/>
      <c r="C73" s="22"/>
      <c r="D73" s="22"/>
      <c r="E73" s="22"/>
      <c r="F73" s="23"/>
      <c r="G73" s="21"/>
      <c r="H73" s="22"/>
      <c r="I73" s="22"/>
      <c r="J73" s="22"/>
      <c r="K73" s="23"/>
    </row>
    <row r="74" spans="1:11" x14ac:dyDescent="0.25">
      <c r="A74" s="12">
        <v>26</v>
      </c>
      <c r="B74" s="21"/>
      <c r="C74" s="22"/>
      <c r="D74" s="22"/>
      <c r="E74" s="22"/>
      <c r="F74" s="23"/>
      <c r="G74" s="21"/>
      <c r="H74" s="22"/>
      <c r="I74" s="22"/>
      <c r="J74" s="22"/>
      <c r="K74" s="23"/>
    </row>
    <row r="75" spans="1:11" x14ac:dyDescent="0.25">
      <c r="A75" s="12">
        <v>27</v>
      </c>
      <c r="B75" s="21"/>
      <c r="C75" s="22"/>
      <c r="D75" s="22"/>
      <c r="E75" s="22"/>
      <c r="F75" s="23"/>
      <c r="G75" s="21"/>
      <c r="H75" s="22"/>
      <c r="I75" s="22"/>
      <c r="J75" s="22"/>
      <c r="K75" s="23"/>
    </row>
    <row r="76" spans="1:11" x14ac:dyDescent="0.25">
      <c r="A76" s="12">
        <v>28</v>
      </c>
      <c r="B76" s="21"/>
      <c r="C76" s="22"/>
      <c r="D76" s="22"/>
      <c r="E76" s="22"/>
      <c r="F76" s="23"/>
      <c r="G76" s="21"/>
      <c r="H76" s="22"/>
      <c r="I76" s="22"/>
      <c r="J76" s="22"/>
      <c r="K76" s="23"/>
    </row>
    <row r="77" spans="1:11" x14ac:dyDescent="0.25">
      <c r="A77" s="12">
        <v>29</v>
      </c>
      <c r="B77" s="21"/>
      <c r="C77" s="22"/>
      <c r="D77" s="22"/>
      <c r="E77" s="22"/>
      <c r="F77" s="23"/>
      <c r="G77" s="21"/>
      <c r="H77" s="22"/>
      <c r="I77" s="22"/>
      <c r="J77" s="22"/>
      <c r="K77" s="23"/>
    </row>
    <row r="78" spans="1:11" x14ac:dyDescent="0.25">
      <c r="A78" s="12">
        <v>30</v>
      </c>
      <c r="B78" s="21"/>
      <c r="C78" s="22"/>
      <c r="D78" s="22"/>
      <c r="E78" s="22"/>
      <c r="F78" s="23"/>
      <c r="G78" s="21"/>
      <c r="H78" s="22"/>
      <c r="I78" s="22"/>
      <c r="J78" s="22"/>
      <c r="K78" s="23"/>
    </row>
    <row r="79" spans="1:11" x14ac:dyDescent="0.25">
      <c r="A79" s="12">
        <v>31</v>
      </c>
      <c r="B79" s="21"/>
      <c r="C79" s="22"/>
      <c r="D79" s="22"/>
      <c r="E79" s="22"/>
      <c r="F79" s="23"/>
      <c r="G79" s="21"/>
      <c r="H79" s="22"/>
      <c r="I79" s="22"/>
      <c r="J79" s="22"/>
      <c r="K79" s="23"/>
    </row>
    <row r="80" spans="1:11" x14ac:dyDescent="0.25">
      <c r="A80" s="12">
        <v>32</v>
      </c>
      <c r="B80" s="21"/>
      <c r="C80" s="22"/>
      <c r="D80" s="22"/>
      <c r="E80" s="22"/>
      <c r="F80" s="23"/>
      <c r="G80" s="21"/>
      <c r="H80" s="22"/>
      <c r="I80" s="22"/>
      <c r="J80" s="22"/>
      <c r="K80" s="23"/>
    </row>
    <row r="81" spans="1:11" x14ac:dyDescent="0.25">
      <c r="A81" s="12">
        <v>33</v>
      </c>
      <c r="B81" s="21"/>
      <c r="C81" s="22"/>
      <c r="D81" s="22"/>
      <c r="E81" s="22"/>
      <c r="F81" s="23"/>
      <c r="G81" s="21"/>
      <c r="H81" s="22"/>
      <c r="I81" s="22"/>
      <c r="J81" s="22"/>
      <c r="K81" s="23"/>
    </row>
    <row r="82" spans="1:11" x14ac:dyDescent="0.25">
      <c r="A82" s="12">
        <v>34</v>
      </c>
      <c r="B82" s="21"/>
      <c r="C82" s="22"/>
      <c r="D82" s="22"/>
      <c r="E82" s="22"/>
      <c r="F82" s="23"/>
      <c r="G82" s="21"/>
      <c r="H82" s="22"/>
      <c r="I82" s="22"/>
      <c r="J82" s="22"/>
      <c r="K82" s="23"/>
    </row>
    <row r="83" spans="1:11" x14ac:dyDescent="0.25">
      <c r="A83" s="12">
        <v>35</v>
      </c>
      <c r="B83" s="21"/>
      <c r="C83" s="22"/>
      <c r="D83" s="22"/>
      <c r="E83" s="22"/>
      <c r="F83" s="23"/>
      <c r="G83" s="21"/>
      <c r="H83" s="22"/>
      <c r="I83" s="22"/>
      <c r="J83" s="22"/>
      <c r="K83" s="23"/>
    </row>
    <row r="84" spans="1:11" x14ac:dyDescent="0.25">
      <c r="A84" s="12">
        <v>36</v>
      </c>
      <c r="B84" s="21"/>
      <c r="C84" s="22"/>
      <c r="D84" s="22"/>
      <c r="E84" s="22"/>
      <c r="F84" s="23"/>
      <c r="G84" s="21"/>
      <c r="H84" s="22"/>
      <c r="I84" s="22"/>
      <c r="J84" s="22"/>
      <c r="K84" s="23"/>
    </row>
    <row r="85" spans="1:11" x14ac:dyDescent="0.25">
      <c r="A85" s="12">
        <v>37</v>
      </c>
      <c r="B85" s="21"/>
      <c r="C85" s="22"/>
      <c r="D85" s="22"/>
      <c r="E85" s="22"/>
      <c r="F85" s="23"/>
      <c r="G85" s="21"/>
      <c r="H85" s="22"/>
      <c r="I85" s="22"/>
      <c r="J85" s="22"/>
      <c r="K85" s="23"/>
    </row>
    <row r="86" spans="1:11" x14ac:dyDescent="0.25">
      <c r="A86" s="12">
        <v>38</v>
      </c>
      <c r="B86" s="21"/>
      <c r="C86" s="22"/>
      <c r="D86" s="22"/>
      <c r="E86" s="22"/>
      <c r="F86" s="23"/>
      <c r="G86" s="21"/>
      <c r="H86" s="22"/>
      <c r="I86" s="22"/>
      <c r="J86" s="22"/>
      <c r="K86" s="23"/>
    </row>
    <row r="87" spans="1:11" x14ac:dyDescent="0.25">
      <c r="A87" s="12">
        <v>39</v>
      </c>
      <c r="B87" s="21"/>
      <c r="C87" s="22"/>
      <c r="D87" s="22"/>
      <c r="E87" s="22"/>
      <c r="F87" s="23"/>
      <c r="G87" s="21"/>
      <c r="H87" s="22"/>
      <c r="I87" s="22"/>
      <c r="J87" s="22"/>
      <c r="K87" s="23"/>
    </row>
    <row r="88" spans="1:11" ht="15.75" thickBot="1" x14ac:dyDescent="0.3">
      <c r="A88" s="12">
        <v>40</v>
      </c>
      <c r="B88" s="27"/>
      <c r="C88" s="28"/>
      <c r="D88" s="28"/>
      <c r="E88" s="28"/>
      <c r="F88" s="29"/>
      <c r="G88" s="27"/>
      <c r="H88" s="28"/>
      <c r="I88" s="28"/>
      <c r="J88" s="28"/>
      <c r="K88" s="29"/>
    </row>
    <row r="89" spans="1:11" x14ac:dyDescent="0.25">
      <c r="A89" s="12"/>
    </row>
    <row r="90" spans="1:11" ht="15.75" thickBot="1" x14ac:dyDescent="0.3">
      <c r="A90" s="6">
        <f>D91+I91</f>
        <v>5360.5</v>
      </c>
      <c r="B90" s="7" t="s">
        <v>1</v>
      </c>
      <c r="C90" s="8"/>
      <c r="D90" s="3" t="s">
        <v>16</v>
      </c>
      <c r="I90" s="3" t="s">
        <v>17</v>
      </c>
    </row>
    <row r="91" spans="1:11" ht="15.75" thickBot="1" x14ac:dyDescent="0.3">
      <c r="A91" s="30">
        <f>1+A47</f>
        <v>46036</v>
      </c>
      <c r="B91" s="30"/>
      <c r="C91" s="30"/>
      <c r="D91" s="11">
        <f>SUM(D93:D132)</f>
        <v>2903.4</v>
      </c>
      <c r="E91" s="11">
        <f>SUM(E93:E132)</f>
        <v>20950</v>
      </c>
      <c r="I91" s="11">
        <f>SUM(I93:I132)</f>
        <v>2457.1000000000004</v>
      </c>
      <c r="J91" s="11">
        <f>SUM(J93:J132)</f>
        <v>19600</v>
      </c>
    </row>
    <row r="92" spans="1:11" ht="15.75" thickBot="1" x14ac:dyDescent="0.3">
      <c r="A92" s="12"/>
      <c r="B92" s="13" t="s">
        <v>6</v>
      </c>
      <c r="C92" s="14" t="s">
        <v>7</v>
      </c>
      <c r="D92" s="15" t="s">
        <v>8</v>
      </c>
      <c r="E92" s="16" t="s">
        <v>9</v>
      </c>
      <c r="F92" s="17" t="s">
        <v>10</v>
      </c>
      <c r="G92" s="13" t="s">
        <v>6</v>
      </c>
      <c r="H92" s="14" t="s">
        <v>7</v>
      </c>
      <c r="I92" s="15" t="s">
        <v>8</v>
      </c>
      <c r="J92" s="16" t="s">
        <v>9</v>
      </c>
      <c r="K92" s="17" t="s">
        <v>10</v>
      </c>
    </row>
    <row r="93" spans="1:11" x14ac:dyDescent="0.25">
      <c r="A93" s="12">
        <v>1</v>
      </c>
      <c r="B93" s="18">
        <v>4074</v>
      </c>
      <c r="C93" s="19" t="s">
        <v>34</v>
      </c>
      <c r="D93" s="19">
        <v>671.2</v>
      </c>
      <c r="E93" s="19">
        <v>2870</v>
      </c>
      <c r="F93" s="20" t="s">
        <v>19</v>
      </c>
      <c r="G93" s="18">
        <v>4090</v>
      </c>
      <c r="H93" s="19" t="s">
        <v>35</v>
      </c>
      <c r="I93" s="19">
        <v>601.1</v>
      </c>
      <c r="J93" s="19">
        <v>2500</v>
      </c>
      <c r="K93" s="20" t="s">
        <v>26</v>
      </c>
    </row>
    <row r="94" spans="1:11" x14ac:dyDescent="0.25">
      <c r="A94" s="12">
        <v>2</v>
      </c>
      <c r="B94" s="18">
        <v>4059</v>
      </c>
      <c r="C94" s="22" t="s">
        <v>36</v>
      </c>
      <c r="D94" s="22">
        <v>918</v>
      </c>
      <c r="E94" s="22">
        <v>8100</v>
      </c>
      <c r="F94" s="20" t="s">
        <v>19</v>
      </c>
      <c r="G94" s="18">
        <v>4090</v>
      </c>
      <c r="H94" s="22" t="s">
        <v>37</v>
      </c>
      <c r="I94" s="22">
        <v>636.20000000000005</v>
      </c>
      <c r="J94" s="22">
        <v>2450</v>
      </c>
      <c r="K94" s="23" t="s">
        <v>26</v>
      </c>
    </row>
    <row r="95" spans="1:11" x14ac:dyDescent="0.25">
      <c r="A95" s="12">
        <v>3</v>
      </c>
      <c r="B95" s="18">
        <v>4059</v>
      </c>
      <c r="C95" s="22" t="s">
        <v>38</v>
      </c>
      <c r="D95" s="22">
        <v>829.7</v>
      </c>
      <c r="E95" s="22">
        <v>7830</v>
      </c>
      <c r="F95" s="20" t="s">
        <v>19</v>
      </c>
      <c r="G95" s="18">
        <v>4087</v>
      </c>
      <c r="H95" s="22" t="s">
        <v>39</v>
      </c>
      <c r="I95" s="22">
        <v>608.20000000000005</v>
      </c>
      <c r="J95" s="22">
        <v>4250</v>
      </c>
      <c r="K95" s="23" t="s">
        <v>24</v>
      </c>
    </row>
    <row r="96" spans="1:11" x14ac:dyDescent="0.25">
      <c r="A96" s="12">
        <v>4</v>
      </c>
      <c r="B96" s="18">
        <v>4029</v>
      </c>
      <c r="C96" s="22" t="s">
        <v>40</v>
      </c>
      <c r="D96" s="22">
        <v>484.5</v>
      </c>
      <c r="E96" s="22">
        <v>2150</v>
      </c>
      <c r="F96" s="20" t="s">
        <v>21</v>
      </c>
      <c r="G96" s="18">
        <v>4087</v>
      </c>
      <c r="H96" s="22" t="s">
        <v>41</v>
      </c>
      <c r="I96" s="22">
        <v>611.6</v>
      </c>
      <c r="J96" s="22">
        <v>4400</v>
      </c>
      <c r="K96" s="23" t="s">
        <v>24</v>
      </c>
    </row>
    <row r="97" spans="1:11" x14ac:dyDescent="0.25">
      <c r="A97" s="12">
        <v>5</v>
      </c>
      <c r="B97" s="18"/>
      <c r="C97" s="22"/>
      <c r="D97" s="22"/>
      <c r="E97" s="22"/>
      <c r="F97" s="20"/>
      <c r="G97" s="21">
        <v>4079</v>
      </c>
      <c r="H97" s="22" t="s">
        <v>42</v>
      </c>
      <c r="I97" s="22"/>
      <c r="J97" s="22">
        <v>6000</v>
      </c>
      <c r="K97" s="23" t="s">
        <v>21</v>
      </c>
    </row>
    <row r="98" spans="1:11" x14ac:dyDescent="0.25">
      <c r="A98" s="12">
        <v>6</v>
      </c>
      <c r="B98" s="18"/>
      <c r="C98" s="22"/>
      <c r="D98" s="22"/>
      <c r="E98" s="22"/>
      <c r="F98" s="20"/>
      <c r="G98" s="21"/>
      <c r="H98" s="22"/>
      <c r="I98" s="22"/>
      <c r="J98" s="22"/>
      <c r="K98" s="23"/>
    </row>
    <row r="99" spans="1:11" x14ac:dyDescent="0.25">
      <c r="A99" s="12">
        <v>7</v>
      </c>
      <c r="B99" s="18"/>
      <c r="C99" s="22"/>
      <c r="D99" s="22"/>
      <c r="E99" s="22"/>
      <c r="F99" s="23"/>
      <c r="G99" s="21"/>
      <c r="H99" s="22"/>
      <c r="I99" s="22"/>
      <c r="J99" s="22"/>
      <c r="K99" s="23"/>
    </row>
    <row r="100" spans="1:11" x14ac:dyDescent="0.25">
      <c r="A100" s="12">
        <v>8</v>
      </c>
      <c r="B100" s="21"/>
      <c r="C100" s="22"/>
      <c r="D100" s="22"/>
      <c r="E100" s="22"/>
      <c r="F100" s="23"/>
      <c r="G100" s="21"/>
      <c r="H100" s="22"/>
      <c r="I100" s="22"/>
      <c r="J100" s="22"/>
      <c r="K100" s="23"/>
    </row>
    <row r="101" spans="1:11" x14ac:dyDescent="0.25">
      <c r="A101" s="12">
        <v>9</v>
      </c>
      <c r="B101" s="21"/>
      <c r="C101" s="22"/>
      <c r="D101" s="22"/>
      <c r="E101" s="22"/>
      <c r="F101" s="23"/>
      <c r="G101" s="21"/>
      <c r="H101" s="22"/>
      <c r="I101" s="22"/>
      <c r="J101" s="22"/>
      <c r="K101" s="23"/>
    </row>
    <row r="102" spans="1:11" x14ac:dyDescent="0.25">
      <c r="A102" s="12">
        <v>10</v>
      </c>
      <c r="B102" s="21"/>
      <c r="C102" s="22"/>
      <c r="D102" s="22"/>
      <c r="E102" s="22"/>
      <c r="F102" s="23"/>
      <c r="G102" s="21"/>
      <c r="H102" s="22"/>
      <c r="I102" s="22"/>
      <c r="J102" s="22"/>
      <c r="K102" s="23"/>
    </row>
    <row r="103" spans="1:11" x14ac:dyDescent="0.25">
      <c r="A103" s="12">
        <v>11</v>
      </c>
      <c r="B103" s="21"/>
      <c r="C103" s="22"/>
      <c r="D103" s="22"/>
      <c r="E103" s="22"/>
      <c r="F103" s="23"/>
      <c r="G103" s="21"/>
      <c r="H103" s="22"/>
      <c r="I103" s="22"/>
      <c r="J103" s="22"/>
      <c r="K103" s="23"/>
    </row>
    <row r="104" spans="1:11" x14ac:dyDescent="0.25">
      <c r="A104" s="12">
        <v>12</v>
      </c>
      <c r="B104" s="21"/>
      <c r="C104" s="22"/>
      <c r="D104" s="22"/>
      <c r="E104" s="22"/>
      <c r="F104" s="23"/>
      <c r="G104" s="21"/>
      <c r="H104" s="22"/>
      <c r="I104" s="22"/>
      <c r="J104" s="22"/>
      <c r="K104" s="23"/>
    </row>
    <row r="105" spans="1:11" x14ac:dyDescent="0.25">
      <c r="A105" s="12">
        <v>13</v>
      </c>
      <c r="B105" s="21"/>
      <c r="C105" s="22"/>
      <c r="D105" s="22"/>
      <c r="E105" s="22"/>
      <c r="F105" s="23"/>
      <c r="G105" s="21"/>
      <c r="H105" s="22"/>
      <c r="I105" s="22"/>
      <c r="J105" s="22"/>
      <c r="K105" s="23"/>
    </row>
    <row r="106" spans="1:11" x14ac:dyDescent="0.25">
      <c r="A106" s="12">
        <v>14</v>
      </c>
      <c r="B106" s="21"/>
      <c r="C106" s="22"/>
      <c r="D106" s="22"/>
      <c r="E106" s="22"/>
      <c r="F106" s="23"/>
      <c r="G106" s="21"/>
      <c r="H106" s="22"/>
      <c r="I106" s="22"/>
      <c r="J106" s="22"/>
      <c r="K106" s="23"/>
    </row>
    <row r="107" spans="1:11" x14ac:dyDescent="0.25">
      <c r="A107" s="12">
        <v>15</v>
      </c>
      <c r="B107" s="21"/>
      <c r="C107" s="22"/>
      <c r="D107" s="22"/>
      <c r="E107" s="22"/>
      <c r="F107" s="23"/>
      <c r="G107" s="21"/>
      <c r="H107" s="22"/>
      <c r="I107" s="22"/>
      <c r="J107" s="22"/>
      <c r="K107" s="23"/>
    </row>
    <row r="108" spans="1:11" x14ac:dyDescent="0.25">
      <c r="A108" s="12">
        <v>16</v>
      </c>
      <c r="B108" s="21"/>
      <c r="C108" s="22"/>
      <c r="D108" s="22"/>
      <c r="E108" s="22"/>
      <c r="F108" s="23"/>
      <c r="G108" s="21"/>
      <c r="H108" s="22"/>
      <c r="I108" s="22"/>
      <c r="J108" s="22"/>
      <c r="K108" s="23"/>
    </row>
    <row r="109" spans="1:11" x14ac:dyDescent="0.25">
      <c r="A109" s="12">
        <v>17</v>
      </c>
      <c r="B109" s="21"/>
      <c r="C109" s="22"/>
      <c r="D109" s="22"/>
      <c r="E109" s="22"/>
      <c r="F109" s="23"/>
      <c r="G109" s="21"/>
      <c r="H109" s="22"/>
      <c r="I109" s="22"/>
      <c r="J109" s="22"/>
      <c r="K109" s="23"/>
    </row>
    <row r="110" spans="1:11" x14ac:dyDescent="0.25">
      <c r="A110" s="12">
        <v>18</v>
      </c>
      <c r="B110" s="21"/>
      <c r="C110" s="22"/>
      <c r="D110" s="22"/>
      <c r="E110" s="22"/>
      <c r="F110" s="23"/>
      <c r="G110" s="21"/>
      <c r="H110" s="22"/>
      <c r="I110" s="22"/>
      <c r="J110" s="22"/>
      <c r="K110" s="23"/>
    </row>
    <row r="111" spans="1:11" x14ac:dyDescent="0.25">
      <c r="A111" s="12">
        <v>19</v>
      </c>
      <c r="B111" s="21"/>
      <c r="C111" s="22"/>
      <c r="D111" s="22"/>
      <c r="E111" s="22"/>
      <c r="F111" s="23"/>
      <c r="G111" s="21"/>
      <c r="H111" s="22"/>
      <c r="I111" s="22"/>
      <c r="J111" s="22"/>
      <c r="K111" s="23"/>
    </row>
    <row r="112" spans="1:11" x14ac:dyDescent="0.25">
      <c r="A112" s="12">
        <v>20</v>
      </c>
      <c r="B112" s="21"/>
      <c r="C112" s="22"/>
      <c r="D112" s="22"/>
      <c r="E112" s="22"/>
      <c r="F112" s="23"/>
      <c r="G112" s="21"/>
      <c r="H112" s="22"/>
      <c r="I112" s="22"/>
      <c r="J112" s="22"/>
      <c r="K112" s="23"/>
    </row>
    <row r="113" spans="1:11" x14ac:dyDescent="0.25">
      <c r="A113" s="12">
        <v>21</v>
      </c>
      <c r="B113" s="21"/>
      <c r="C113" s="22"/>
      <c r="D113" s="22"/>
      <c r="E113" s="22"/>
      <c r="F113" s="23"/>
      <c r="G113" s="21"/>
      <c r="H113" s="22"/>
      <c r="I113" s="22"/>
      <c r="J113" s="22"/>
      <c r="K113" s="23"/>
    </row>
    <row r="114" spans="1:11" x14ac:dyDescent="0.25">
      <c r="A114" s="12">
        <v>22</v>
      </c>
      <c r="B114" s="21"/>
      <c r="C114" s="22"/>
      <c r="D114" s="22"/>
      <c r="E114" s="22"/>
      <c r="F114" s="23"/>
      <c r="G114" s="21"/>
      <c r="H114" s="22"/>
      <c r="I114" s="22"/>
      <c r="J114" s="22"/>
      <c r="K114" s="23"/>
    </row>
    <row r="115" spans="1:11" x14ac:dyDescent="0.25">
      <c r="A115" s="12">
        <v>23</v>
      </c>
      <c r="B115" s="21"/>
      <c r="C115" s="22"/>
      <c r="D115" s="22"/>
      <c r="E115" s="22"/>
      <c r="F115" s="23"/>
      <c r="G115" s="21"/>
      <c r="H115" s="22"/>
      <c r="I115" s="22"/>
      <c r="J115" s="22"/>
      <c r="K115" s="23"/>
    </row>
    <row r="116" spans="1:11" x14ac:dyDescent="0.25">
      <c r="A116" s="12">
        <v>24</v>
      </c>
      <c r="B116" s="21"/>
      <c r="C116" s="22"/>
      <c r="D116" s="22"/>
      <c r="E116" s="22"/>
      <c r="F116" s="23"/>
      <c r="G116" s="21"/>
      <c r="H116" s="22"/>
      <c r="I116" s="22"/>
      <c r="J116" s="22"/>
      <c r="K116" s="23"/>
    </row>
    <row r="117" spans="1:11" x14ac:dyDescent="0.25">
      <c r="A117" s="12">
        <v>25</v>
      </c>
      <c r="B117" s="21"/>
      <c r="C117" s="22"/>
      <c r="D117" s="22"/>
      <c r="E117" s="22"/>
      <c r="F117" s="23"/>
      <c r="G117" s="21"/>
      <c r="H117" s="22"/>
      <c r="I117" s="22"/>
      <c r="J117" s="22"/>
      <c r="K117" s="23"/>
    </row>
    <row r="118" spans="1:11" x14ac:dyDescent="0.25">
      <c r="A118" s="12">
        <v>26</v>
      </c>
      <c r="B118" s="21"/>
      <c r="C118" s="22"/>
      <c r="D118" s="22"/>
      <c r="E118" s="22"/>
      <c r="F118" s="23"/>
      <c r="G118" s="21"/>
      <c r="H118" s="22"/>
      <c r="I118" s="22"/>
      <c r="J118" s="22"/>
      <c r="K118" s="23"/>
    </row>
    <row r="119" spans="1:11" x14ac:dyDescent="0.25">
      <c r="A119" s="12">
        <v>27</v>
      </c>
      <c r="B119" s="21"/>
      <c r="C119" s="22"/>
      <c r="D119" s="22"/>
      <c r="E119" s="22"/>
      <c r="F119" s="23"/>
      <c r="G119" s="21"/>
      <c r="H119" s="22"/>
      <c r="I119" s="22"/>
      <c r="J119" s="22"/>
      <c r="K119" s="23"/>
    </row>
    <row r="120" spans="1:11" x14ac:dyDescent="0.25">
      <c r="A120" s="12">
        <v>28</v>
      </c>
      <c r="B120" s="21"/>
      <c r="C120" s="22"/>
      <c r="D120" s="22"/>
      <c r="E120" s="22"/>
      <c r="F120" s="23"/>
      <c r="G120" s="21"/>
      <c r="H120" s="22"/>
      <c r="I120" s="22"/>
      <c r="J120" s="22"/>
      <c r="K120" s="23"/>
    </row>
    <row r="121" spans="1:11" x14ac:dyDescent="0.25">
      <c r="A121" s="12">
        <v>29</v>
      </c>
      <c r="B121" s="21"/>
      <c r="C121" s="22"/>
      <c r="D121" s="22"/>
      <c r="E121" s="22"/>
      <c r="F121" s="23"/>
      <c r="G121" s="21"/>
      <c r="H121" s="22"/>
      <c r="I121" s="22"/>
      <c r="J121" s="22"/>
      <c r="K121" s="23"/>
    </row>
    <row r="122" spans="1:11" x14ac:dyDescent="0.25">
      <c r="A122" s="12">
        <v>30</v>
      </c>
      <c r="B122" s="21"/>
      <c r="C122" s="22"/>
      <c r="D122" s="22"/>
      <c r="E122" s="22"/>
      <c r="F122" s="23"/>
      <c r="G122" s="21"/>
      <c r="H122" s="22"/>
      <c r="I122" s="22"/>
      <c r="J122" s="22"/>
      <c r="K122" s="23"/>
    </row>
    <row r="123" spans="1:11" x14ac:dyDescent="0.25">
      <c r="A123" s="12">
        <v>31</v>
      </c>
      <c r="B123" s="21"/>
      <c r="C123" s="22"/>
      <c r="D123" s="22"/>
      <c r="E123" s="22"/>
      <c r="F123" s="23"/>
      <c r="G123" s="21"/>
      <c r="H123" s="22"/>
      <c r="I123" s="22"/>
      <c r="J123" s="22"/>
      <c r="K123" s="23"/>
    </row>
    <row r="124" spans="1:11" x14ac:dyDescent="0.25">
      <c r="A124" s="12">
        <v>32</v>
      </c>
      <c r="B124" s="21"/>
      <c r="C124" s="22"/>
      <c r="D124" s="22"/>
      <c r="E124" s="22"/>
      <c r="F124" s="23"/>
      <c r="G124" s="21"/>
      <c r="H124" s="22"/>
      <c r="I124" s="22"/>
      <c r="J124" s="22"/>
      <c r="K124" s="23"/>
    </row>
    <row r="125" spans="1:11" x14ac:dyDescent="0.25">
      <c r="A125" s="12">
        <v>33</v>
      </c>
      <c r="B125" s="21"/>
      <c r="C125" s="22"/>
      <c r="D125" s="22"/>
      <c r="E125" s="22"/>
      <c r="F125" s="23"/>
      <c r="G125" s="21"/>
      <c r="H125" s="22"/>
      <c r="I125" s="22"/>
      <c r="J125" s="22"/>
      <c r="K125" s="23"/>
    </row>
    <row r="126" spans="1:11" x14ac:dyDescent="0.25">
      <c r="A126" s="12">
        <v>34</v>
      </c>
      <c r="B126" s="21"/>
      <c r="C126" s="22"/>
      <c r="D126" s="22"/>
      <c r="E126" s="22"/>
      <c r="F126" s="23"/>
      <c r="G126" s="21"/>
      <c r="H126" s="22"/>
      <c r="I126" s="22"/>
      <c r="J126" s="22"/>
      <c r="K126" s="23"/>
    </row>
    <row r="127" spans="1:11" x14ac:dyDescent="0.25">
      <c r="A127" s="12">
        <v>35</v>
      </c>
      <c r="B127" s="21"/>
      <c r="C127" s="22"/>
      <c r="D127" s="22"/>
      <c r="E127" s="22"/>
      <c r="F127" s="23"/>
      <c r="G127" s="21"/>
      <c r="H127" s="22"/>
      <c r="I127" s="22"/>
      <c r="J127" s="22"/>
      <c r="K127" s="23"/>
    </row>
    <row r="128" spans="1:11" x14ac:dyDescent="0.25">
      <c r="A128" s="12">
        <v>36</v>
      </c>
      <c r="B128" s="21"/>
      <c r="C128" s="22"/>
      <c r="D128" s="22"/>
      <c r="E128" s="22"/>
      <c r="F128" s="23"/>
      <c r="G128" s="21"/>
      <c r="H128" s="22"/>
      <c r="I128" s="22"/>
      <c r="J128" s="22"/>
      <c r="K128" s="23"/>
    </row>
    <row r="129" spans="1:11" x14ac:dyDescent="0.25">
      <c r="A129" s="12">
        <v>37</v>
      </c>
      <c r="B129" s="21"/>
      <c r="C129" s="22"/>
      <c r="D129" s="22"/>
      <c r="E129" s="22"/>
      <c r="F129" s="23"/>
      <c r="G129" s="21"/>
      <c r="H129" s="22"/>
      <c r="I129" s="22"/>
      <c r="J129" s="22"/>
      <c r="K129" s="23"/>
    </row>
    <row r="130" spans="1:11" x14ac:dyDescent="0.25">
      <c r="A130" s="12">
        <v>38</v>
      </c>
      <c r="B130" s="21"/>
      <c r="C130" s="22"/>
      <c r="D130" s="22"/>
      <c r="E130" s="22"/>
      <c r="F130" s="23"/>
      <c r="G130" s="21"/>
      <c r="H130" s="22"/>
      <c r="I130" s="22"/>
      <c r="J130" s="22"/>
      <c r="K130" s="23"/>
    </row>
    <row r="131" spans="1:11" x14ac:dyDescent="0.25">
      <c r="A131" s="12">
        <v>39</v>
      </c>
      <c r="B131" s="21"/>
      <c r="C131" s="22"/>
      <c r="D131" s="22"/>
      <c r="E131" s="22"/>
      <c r="F131" s="23"/>
      <c r="G131" s="21"/>
      <c r="H131" s="22"/>
      <c r="I131" s="22"/>
      <c r="J131" s="22"/>
      <c r="K131" s="23"/>
    </row>
    <row r="132" spans="1:11" ht="15.75" thickBot="1" x14ac:dyDescent="0.3">
      <c r="A132" s="12">
        <v>40</v>
      </c>
      <c r="B132" s="27"/>
      <c r="C132" s="28"/>
      <c r="D132" s="28"/>
      <c r="E132" s="28"/>
      <c r="F132" s="29"/>
      <c r="G132" s="27"/>
      <c r="H132" s="28"/>
      <c r="I132" s="28"/>
      <c r="J132" s="28"/>
      <c r="K132" s="29"/>
    </row>
    <row r="133" spans="1:11" x14ac:dyDescent="0.25">
      <c r="A133" s="12"/>
    </row>
    <row r="134" spans="1:11" ht="15.75" thickBot="1" x14ac:dyDescent="0.3">
      <c r="A134" s="6">
        <f>D135+I135</f>
        <v>8700.4</v>
      </c>
      <c r="B134" s="7" t="s">
        <v>1</v>
      </c>
      <c r="C134" s="8"/>
      <c r="D134" s="3" t="s">
        <v>16</v>
      </c>
      <c r="I134" s="3" t="s">
        <v>17</v>
      </c>
    </row>
    <row r="135" spans="1:11" ht="15.75" thickBot="1" x14ac:dyDescent="0.3">
      <c r="A135" s="30">
        <f>1+A91</f>
        <v>46037</v>
      </c>
      <c r="B135" s="30"/>
      <c r="C135" s="30"/>
      <c r="D135" s="11">
        <f>SUM(D137:D176)</f>
        <v>4134.7</v>
      </c>
      <c r="E135" s="11">
        <f>SUM(E137:E176)</f>
        <v>22260</v>
      </c>
      <c r="I135" s="11">
        <f>SUM(I137:I176)</f>
        <v>4565.7</v>
      </c>
      <c r="J135" s="11">
        <f>SUM(J137:J176)</f>
        <v>31040</v>
      </c>
    </row>
    <row r="136" spans="1:11" ht="15.75" thickBot="1" x14ac:dyDescent="0.3">
      <c r="A136" s="12"/>
      <c r="B136" s="13" t="s">
        <v>6</v>
      </c>
      <c r="C136" s="14" t="s">
        <v>7</v>
      </c>
      <c r="D136" s="15" t="s">
        <v>8</v>
      </c>
      <c r="E136" s="16" t="s">
        <v>9</v>
      </c>
      <c r="F136" s="17" t="s">
        <v>10</v>
      </c>
      <c r="G136" s="13" t="s">
        <v>6</v>
      </c>
      <c r="H136" s="14" t="s">
        <v>7</v>
      </c>
      <c r="I136" s="15" t="s">
        <v>8</v>
      </c>
      <c r="J136" s="16" t="s">
        <v>9</v>
      </c>
      <c r="K136" s="17" t="s">
        <v>10</v>
      </c>
    </row>
    <row r="137" spans="1:11" x14ac:dyDescent="0.25">
      <c r="A137" s="12">
        <v>1</v>
      </c>
      <c r="B137" s="18">
        <v>4029</v>
      </c>
      <c r="C137" s="19" t="s">
        <v>43</v>
      </c>
      <c r="D137" s="19">
        <v>487.8</v>
      </c>
      <c r="E137" s="19">
        <v>2100</v>
      </c>
      <c r="F137" s="20" t="s">
        <v>19</v>
      </c>
      <c r="G137" s="18">
        <v>4079</v>
      </c>
      <c r="H137" s="19" t="s">
        <v>42</v>
      </c>
      <c r="I137" s="19">
        <v>830.7</v>
      </c>
      <c r="J137" s="19">
        <v>2300</v>
      </c>
      <c r="K137" s="20" t="s">
        <v>26</v>
      </c>
    </row>
    <row r="138" spans="1:11" x14ac:dyDescent="0.25">
      <c r="A138" s="12">
        <v>2</v>
      </c>
      <c r="B138" s="18">
        <v>4101</v>
      </c>
      <c r="C138" s="22" t="s">
        <v>44</v>
      </c>
      <c r="D138" s="22">
        <v>1191.5999999999999</v>
      </c>
      <c r="E138" s="22">
        <v>6600</v>
      </c>
      <c r="F138" s="20" t="s">
        <v>19</v>
      </c>
      <c r="G138" s="18">
        <v>4079</v>
      </c>
      <c r="H138" s="22" t="s">
        <v>45</v>
      </c>
      <c r="I138" s="22">
        <v>409.5</v>
      </c>
      <c r="J138" s="22">
        <v>3900</v>
      </c>
      <c r="K138" s="23" t="s">
        <v>26</v>
      </c>
    </row>
    <row r="139" spans="1:11" x14ac:dyDescent="0.25">
      <c r="A139" s="12">
        <v>3</v>
      </c>
      <c r="B139" s="18">
        <v>4101</v>
      </c>
      <c r="C139" s="22" t="s">
        <v>46</v>
      </c>
      <c r="D139" s="22"/>
      <c r="E139" s="22">
        <v>2600</v>
      </c>
      <c r="F139" s="20" t="s">
        <v>19</v>
      </c>
      <c r="G139" s="18">
        <v>4079</v>
      </c>
      <c r="H139" s="22" t="s">
        <v>47</v>
      </c>
      <c r="I139" s="22">
        <v>429.2</v>
      </c>
      <c r="J139" s="22">
        <v>4100</v>
      </c>
      <c r="K139" s="23" t="s">
        <v>26</v>
      </c>
    </row>
    <row r="140" spans="1:11" x14ac:dyDescent="0.25">
      <c r="A140" s="12">
        <v>4</v>
      </c>
      <c r="B140" s="18">
        <v>4101</v>
      </c>
      <c r="C140" s="22" t="s">
        <v>46</v>
      </c>
      <c r="D140" s="22">
        <v>1172.8</v>
      </c>
      <c r="E140" s="22">
        <v>3800</v>
      </c>
      <c r="F140" s="20" t="s">
        <v>24</v>
      </c>
      <c r="G140" s="18">
        <v>4096</v>
      </c>
      <c r="H140" s="22" t="s">
        <v>48</v>
      </c>
      <c r="I140" s="22">
        <v>886.5</v>
      </c>
      <c r="J140" s="22">
        <v>6500</v>
      </c>
      <c r="K140" s="23" t="s">
        <v>26</v>
      </c>
    </row>
    <row r="141" spans="1:11" x14ac:dyDescent="0.25">
      <c r="A141" s="12">
        <v>5</v>
      </c>
      <c r="B141" s="18">
        <v>4084</v>
      </c>
      <c r="C141" s="22" t="s">
        <v>49</v>
      </c>
      <c r="D141" s="22">
        <v>1282.5</v>
      </c>
      <c r="E141" s="22">
        <v>7160</v>
      </c>
      <c r="F141" s="20" t="s">
        <v>24</v>
      </c>
      <c r="G141" s="21">
        <v>4096</v>
      </c>
      <c r="H141" s="22" t="s">
        <v>50</v>
      </c>
      <c r="I141" s="22"/>
      <c r="J141" s="22">
        <v>3000</v>
      </c>
      <c r="K141" s="23" t="s">
        <v>26</v>
      </c>
    </row>
    <row r="142" spans="1:11" x14ac:dyDescent="0.25">
      <c r="A142" s="12">
        <v>6</v>
      </c>
      <c r="B142" s="18"/>
      <c r="C142" s="22"/>
      <c r="D142" s="22"/>
      <c r="E142" s="22"/>
      <c r="F142" s="20"/>
      <c r="G142" s="21">
        <v>4096</v>
      </c>
      <c r="H142" s="22" t="s">
        <v>50</v>
      </c>
      <c r="I142" s="22">
        <v>875.8</v>
      </c>
      <c r="J142" s="22">
        <v>3540</v>
      </c>
      <c r="K142" s="23" t="s">
        <v>24</v>
      </c>
    </row>
    <row r="143" spans="1:11" x14ac:dyDescent="0.25">
      <c r="A143" s="12">
        <v>7</v>
      </c>
      <c r="B143" s="18"/>
      <c r="C143" s="22"/>
      <c r="D143" s="22"/>
      <c r="E143" s="22"/>
      <c r="F143" s="23"/>
      <c r="G143" s="21">
        <v>4085</v>
      </c>
      <c r="H143" s="22" t="s">
        <v>51</v>
      </c>
      <c r="I143" s="22">
        <v>1134</v>
      </c>
      <c r="J143" s="22">
        <v>7700</v>
      </c>
      <c r="K143" s="23" t="s">
        <v>21</v>
      </c>
    </row>
    <row r="144" spans="1:11" x14ac:dyDescent="0.25">
      <c r="A144" s="12">
        <v>8</v>
      </c>
      <c r="B144" s="21"/>
      <c r="C144" s="22"/>
      <c r="D144" s="22"/>
      <c r="E144" s="22"/>
      <c r="F144" s="23"/>
      <c r="G144" s="21"/>
      <c r="H144" s="22"/>
      <c r="I144" s="22"/>
      <c r="J144" s="22"/>
      <c r="K144" s="23"/>
    </row>
    <row r="145" spans="1:11" x14ac:dyDescent="0.25">
      <c r="A145" s="12">
        <v>9</v>
      </c>
      <c r="B145" s="21"/>
      <c r="C145" s="22"/>
      <c r="D145" s="22"/>
      <c r="E145" s="22"/>
      <c r="F145" s="23"/>
      <c r="G145" s="21"/>
      <c r="H145" s="22"/>
      <c r="I145" s="22"/>
      <c r="J145" s="22"/>
      <c r="K145" s="23"/>
    </row>
    <row r="146" spans="1:11" x14ac:dyDescent="0.25">
      <c r="A146" s="12">
        <v>10</v>
      </c>
      <c r="B146" s="21"/>
      <c r="C146" s="22"/>
      <c r="D146" s="22"/>
      <c r="E146" s="22"/>
      <c r="F146" s="23"/>
      <c r="G146" s="21"/>
      <c r="H146" s="22"/>
      <c r="I146" s="22"/>
      <c r="J146" s="22"/>
      <c r="K146" s="23"/>
    </row>
    <row r="147" spans="1:11" x14ac:dyDescent="0.25">
      <c r="A147" s="12">
        <v>11</v>
      </c>
      <c r="B147" s="21"/>
      <c r="C147" s="22"/>
      <c r="D147" s="22"/>
      <c r="E147" s="22"/>
      <c r="F147" s="23"/>
      <c r="G147" s="21"/>
      <c r="H147" s="22"/>
      <c r="I147" s="22"/>
      <c r="J147" s="22"/>
      <c r="K147" s="23"/>
    </row>
    <row r="148" spans="1:11" x14ac:dyDescent="0.25">
      <c r="A148" s="12">
        <v>12</v>
      </c>
      <c r="B148" s="21"/>
      <c r="C148" s="22"/>
      <c r="D148" s="22"/>
      <c r="E148" s="22"/>
      <c r="F148" s="23"/>
      <c r="G148" s="21"/>
      <c r="H148" s="22"/>
      <c r="I148" s="22"/>
      <c r="J148" s="22"/>
      <c r="K148" s="23"/>
    </row>
    <row r="149" spans="1:11" x14ac:dyDescent="0.25">
      <c r="A149" s="12">
        <v>13</v>
      </c>
      <c r="B149" s="21"/>
      <c r="C149" s="22"/>
      <c r="D149" s="22"/>
      <c r="E149" s="22"/>
      <c r="F149" s="23"/>
      <c r="G149" s="21"/>
      <c r="H149" s="22"/>
      <c r="I149" s="22"/>
      <c r="J149" s="22"/>
      <c r="K149" s="23"/>
    </row>
    <row r="150" spans="1:11" x14ac:dyDescent="0.25">
      <c r="A150" s="12">
        <v>14</v>
      </c>
      <c r="B150" s="21"/>
      <c r="C150" s="22"/>
      <c r="D150" s="22"/>
      <c r="E150" s="22"/>
      <c r="F150" s="23"/>
      <c r="G150" s="21"/>
      <c r="H150" s="22"/>
      <c r="I150" s="22"/>
      <c r="J150" s="22"/>
      <c r="K150" s="23"/>
    </row>
    <row r="151" spans="1:11" x14ac:dyDescent="0.25">
      <c r="A151" s="12">
        <v>15</v>
      </c>
      <c r="B151" s="21"/>
      <c r="C151" s="22"/>
      <c r="D151" s="22"/>
      <c r="E151" s="22"/>
      <c r="F151" s="23"/>
      <c r="G151" s="21"/>
      <c r="H151" s="22"/>
      <c r="I151" s="22"/>
      <c r="J151" s="22"/>
      <c r="K151" s="23"/>
    </row>
    <row r="152" spans="1:11" x14ac:dyDescent="0.25">
      <c r="A152" s="12">
        <v>16</v>
      </c>
      <c r="B152" s="21"/>
      <c r="C152" s="22"/>
      <c r="D152" s="22"/>
      <c r="E152" s="22"/>
      <c r="F152" s="23"/>
      <c r="G152" s="21"/>
      <c r="H152" s="22"/>
      <c r="I152" s="22"/>
      <c r="J152" s="22"/>
      <c r="K152" s="23"/>
    </row>
    <row r="153" spans="1:11" x14ac:dyDescent="0.25">
      <c r="A153" s="12">
        <v>17</v>
      </c>
      <c r="B153" s="21"/>
      <c r="C153" s="22"/>
      <c r="D153" s="22"/>
      <c r="E153" s="22"/>
      <c r="F153" s="23"/>
      <c r="G153" s="21"/>
      <c r="H153" s="22"/>
      <c r="I153" s="22"/>
      <c r="J153" s="22"/>
      <c r="K153" s="23"/>
    </row>
    <row r="154" spans="1:11" x14ac:dyDescent="0.25">
      <c r="A154" s="12">
        <v>18</v>
      </c>
      <c r="B154" s="21"/>
      <c r="C154" s="22"/>
      <c r="D154" s="22"/>
      <c r="E154" s="22"/>
      <c r="F154" s="23"/>
      <c r="G154" s="21"/>
      <c r="H154" s="22"/>
      <c r="I154" s="22"/>
      <c r="J154" s="22"/>
      <c r="K154" s="23"/>
    </row>
    <row r="155" spans="1:11" x14ac:dyDescent="0.25">
      <c r="A155" s="12">
        <v>19</v>
      </c>
      <c r="B155" s="21"/>
      <c r="C155" s="22"/>
      <c r="D155" s="22"/>
      <c r="E155" s="22"/>
      <c r="F155" s="23"/>
      <c r="G155" s="21"/>
      <c r="H155" s="22"/>
      <c r="I155" s="22"/>
      <c r="J155" s="22"/>
      <c r="K155" s="23"/>
    </row>
    <row r="156" spans="1:11" x14ac:dyDescent="0.25">
      <c r="A156" s="12">
        <v>20</v>
      </c>
      <c r="B156" s="21"/>
      <c r="C156" s="22"/>
      <c r="D156" s="22"/>
      <c r="E156" s="22"/>
      <c r="F156" s="23"/>
      <c r="G156" s="21"/>
      <c r="H156" s="22"/>
      <c r="I156" s="22"/>
      <c r="J156" s="22"/>
      <c r="K156" s="23"/>
    </row>
    <row r="157" spans="1:11" x14ac:dyDescent="0.25">
      <c r="A157" s="12">
        <v>21</v>
      </c>
      <c r="B157" s="21"/>
      <c r="C157" s="22"/>
      <c r="D157" s="22"/>
      <c r="E157" s="22"/>
      <c r="F157" s="23"/>
      <c r="G157" s="21"/>
      <c r="H157" s="22"/>
      <c r="I157" s="22"/>
      <c r="J157" s="22"/>
      <c r="K157" s="23"/>
    </row>
    <row r="158" spans="1:11" x14ac:dyDescent="0.25">
      <c r="A158" s="12">
        <v>22</v>
      </c>
      <c r="B158" s="21"/>
      <c r="C158" s="22"/>
      <c r="D158" s="22"/>
      <c r="E158" s="22"/>
      <c r="F158" s="23"/>
      <c r="G158" s="21"/>
      <c r="H158" s="22"/>
      <c r="I158" s="22"/>
      <c r="J158" s="22"/>
      <c r="K158" s="23"/>
    </row>
    <row r="159" spans="1:11" x14ac:dyDescent="0.25">
      <c r="A159" s="12">
        <v>23</v>
      </c>
      <c r="B159" s="21"/>
      <c r="C159" s="22"/>
      <c r="D159" s="22"/>
      <c r="E159" s="22"/>
      <c r="F159" s="23"/>
      <c r="G159" s="21"/>
      <c r="H159" s="22"/>
      <c r="I159" s="22"/>
      <c r="J159" s="22"/>
      <c r="K159" s="23"/>
    </row>
    <row r="160" spans="1:11" x14ac:dyDescent="0.25">
      <c r="A160" s="12">
        <v>24</v>
      </c>
      <c r="B160" s="21"/>
      <c r="C160" s="22"/>
      <c r="D160" s="22"/>
      <c r="E160" s="22"/>
      <c r="F160" s="23"/>
      <c r="G160" s="21"/>
      <c r="H160" s="22"/>
      <c r="I160" s="22"/>
      <c r="J160" s="22"/>
      <c r="K160" s="23"/>
    </row>
    <row r="161" spans="1:11" x14ac:dyDescent="0.25">
      <c r="A161" s="12">
        <v>25</v>
      </c>
      <c r="B161" s="21"/>
      <c r="C161" s="22"/>
      <c r="D161" s="22"/>
      <c r="E161" s="22"/>
      <c r="F161" s="23"/>
      <c r="G161" s="21"/>
      <c r="H161" s="22"/>
      <c r="I161" s="22"/>
      <c r="J161" s="22"/>
      <c r="K161" s="23"/>
    </row>
    <row r="162" spans="1:11" x14ac:dyDescent="0.25">
      <c r="A162" s="12">
        <v>26</v>
      </c>
      <c r="B162" s="21"/>
      <c r="C162" s="22"/>
      <c r="D162" s="22"/>
      <c r="E162" s="22"/>
      <c r="F162" s="23"/>
      <c r="G162" s="21"/>
      <c r="H162" s="22"/>
      <c r="I162" s="22"/>
      <c r="J162" s="22"/>
      <c r="K162" s="23"/>
    </row>
    <row r="163" spans="1:11" x14ac:dyDescent="0.25">
      <c r="A163" s="12">
        <v>27</v>
      </c>
      <c r="B163" s="21"/>
      <c r="C163" s="22"/>
      <c r="D163" s="22"/>
      <c r="E163" s="22"/>
      <c r="F163" s="23"/>
      <c r="G163" s="21"/>
      <c r="H163" s="22"/>
      <c r="I163" s="22"/>
      <c r="J163" s="22"/>
      <c r="K163" s="23"/>
    </row>
    <row r="164" spans="1:11" x14ac:dyDescent="0.25">
      <c r="A164" s="12">
        <v>28</v>
      </c>
      <c r="B164" s="21"/>
      <c r="C164" s="22"/>
      <c r="D164" s="22"/>
      <c r="E164" s="22"/>
      <c r="F164" s="23"/>
      <c r="G164" s="21"/>
      <c r="H164" s="22"/>
      <c r="I164" s="22"/>
      <c r="J164" s="22"/>
      <c r="K164" s="23"/>
    </row>
    <row r="165" spans="1:11" x14ac:dyDescent="0.25">
      <c r="A165" s="12">
        <v>29</v>
      </c>
      <c r="B165" s="21"/>
      <c r="C165" s="22"/>
      <c r="D165" s="22"/>
      <c r="E165" s="22"/>
      <c r="F165" s="23"/>
      <c r="G165" s="21"/>
      <c r="H165" s="22"/>
      <c r="I165" s="22"/>
      <c r="J165" s="22"/>
      <c r="K165" s="23"/>
    </row>
    <row r="166" spans="1:11" x14ac:dyDescent="0.25">
      <c r="A166" s="12">
        <v>30</v>
      </c>
      <c r="B166" s="21"/>
      <c r="C166" s="22"/>
      <c r="D166" s="22"/>
      <c r="E166" s="22"/>
      <c r="F166" s="23"/>
      <c r="G166" s="21"/>
      <c r="H166" s="22"/>
      <c r="I166" s="22"/>
      <c r="J166" s="22"/>
      <c r="K166" s="23"/>
    </row>
    <row r="167" spans="1:11" x14ac:dyDescent="0.25">
      <c r="A167" s="12">
        <v>31</v>
      </c>
      <c r="B167" s="21"/>
      <c r="C167" s="22"/>
      <c r="D167" s="22"/>
      <c r="E167" s="22"/>
      <c r="F167" s="23"/>
      <c r="G167" s="21"/>
      <c r="H167" s="22"/>
      <c r="I167" s="22"/>
      <c r="J167" s="22"/>
      <c r="K167" s="23"/>
    </row>
    <row r="168" spans="1:11" x14ac:dyDescent="0.25">
      <c r="A168" s="12">
        <v>32</v>
      </c>
      <c r="B168" s="21"/>
      <c r="C168" s="22"/>
      <c r="D168" s="22"/>
      <c r="E168" s="22"/>
      <c r="F168" s="23"/>
      <c r="G168" s="21"/>
      <c r="H168" s="22"/>
      <c r="I168" s="22"/>
      <c r="J168" s="22"/>
      <c r="K168" s="23"/>
    </row>
    <row r="169" spans="1:11" x14ac:dyDescent="0.25">
      <c r="A169" s="12">
        <v>33</v>
      </c>
      <c r="B169" s="21"/>
      <c r="C169" s="22"/>
      <c r="D169" s="22"/>
      <c r="E169" s="22"/>
      <c r="F169" s="23"/>
      <c r="G169" s="21"/>
      <c r="H169" s="22"/>
      <c r="I169" s="22"/>
      <c r="J169" s="22"/>
      <c r="K169" s="23"/>
    </row>
    <row r="170" spans="1:11" x14ac:dyDescent="0.25">
      <c r="A170" s="12">
        <v>34</v>
      </c>
      <c r="B170" s="21"/>
      <c r="C170" s="22"/>
      <c r="D170" s="22"/>
      <c r="E170" s="22"/>
      <c r="F170" s="23"/>
      <c r="G170" s="21"/>
      <c r="H170" s="22"/>
      <c r="I170" s="22"/>
      <c r="J170" s="22"/>
      <c r="K170" s="23"/>
    </row>
    <row r="171" spans="1:11" x14ac:dyDescent="0.25">
      <c r="A171" s="12">
        <v>35</v>
      </c>
      <c r="B171" s="21"/>
      <c r="C171" s="22"/>
      <c r="D171" s="22"/>
      <c r="E171" s="22"/>
      <c r="F171" s="23"/>
      <c r="G171" s="21"/>
      <c r="H171" s="22"/>
      <c r="I171" s="22"/>
      <c r="J171" s="22"/>
      <c r="K171" s="23"/>
    </row>
    <row r="172" spans="1:11" x14ac:dyDescent="0.25">
      <c r="A172" s="12">
        <v>36</v>
      </c>
      <c r="B172" s="21"/>
      <c r="C172" s="22"/>
      <c r="D172" s="22"/>
      <c r="E172" s="22"/>
      <c r="F172" s="23"/>
      <c r="G172" s="21"/>
      <c r="H172" s="22"/>
      <c r="I172" s="22"/>
      <c r="J172" s="22"/>
      <c r="K172" s="23"/>
    </row>
    <row r="173" spans="1:11" x14ac:dyDescent="0.25">
      <c r="A173" s="12">
        <v>37</v>
      </c>
      <c r="B173" s="21"/>
      <c r="C173" s="22"/>
      <c r="D173" s="22"/>
      <c r="E173" s="22"/>
      <c r="F173" s="23"/>
      <c r="G173" s="21"/>
      <c r="H173" s="22"/>
      <c r="I173" s="22"/>
      <c r="J173" s="22"/>
      <c r="K173" s="23"/>
    </row>
    <row r="174" spans="1:11" x14ac:dyDescent="0.25">
      <c r="A174" s="12">
        <v>38</v>
      </c>
      <c r="B174" s="21"/>
      <c r="C174" s="22"/>
      <c r="D174" s="22"/>
      <c r="E174" s="22"/>
      <c r="F174" s="23"/>
      <c r="G174" s="21"/>
      <c r="H174" s="22"/>
      <c r="I174" s="22"/>
      <c r="J174" s="22"/>
      <c r="K174" s="23"/>
    </row>
    <row r="175" spans="1:11" x14ac:dyDescent="0.25">
      <c r="A175" s="12">
        <v>39</v>
      </c>
      <c r="B175" s="21"/>
      <c r="C175" s="22"/>
      <c r="D175" s="22"/>
      <c r="E175" s="22"/>
      <c r="F175" s="23"/>
      <c r="G175" s="21"/>
      <c r="H175" s="22"/>
      <c r="I175" s="22"/>
      <c r="J175" s="22"/>
      <c r="K175" s="23"/>
    </row>
    <row r="176" spans="1:11" ht="15.75" thickBot="1" x14ac:dyDescent="0.3">
      <c r="A176" s="12">
        <v>40</v>
      </c>
      <c r="B176" s="27"/>
      <c r="C176" s="28"/>
      <c r="D176" s="28"/>
      <c r="E176" s="28"/>
      <c r="F176" s="29"/>
      <c r="G176" s="27"/>
      <c r="H176" s="28"/>
      <c r="I176" s="28"/>
      <c r="J176" s="28"/>
      <c r="K176" s="29"/>
    </row>
    <row r="177" spans="1:11" x14ac:dyDescent="0.25">
      <c r="A177" s="12"/>
    </row>
    <row r="178" spans="1:11" ht="15.75" thickBot="1" x14ac:dyDescent="0.3">
      <c r="A178" s="6">
        <f>D179+I179</f>
        <v>6369.4</v>
      </c>
      <c r="B178" s="7" t="s">
        <v>1</v>
      </c>
      <c r="C178" s="8"/>
      <c r="D178" s="3" t="s">
        <v>16</v>
      </c>
      <c r="I178" s="3" t="s">
        <v>17</v>
      </c>
    </row>
    <row r="179" spans="1:11" ht="15.75" thickBot="1" x14ac:dyDescent="0.3">
      <c r="A179" s="30">
        <f>1+A135</f>
        <v>46038</v>
      </c>
      <c r="B179" s="30"/>
      <c r="C179" s="30"/>
      <c r="D179" s="11">
        <f>SUM(D181:D220)</f>
        <v>2931.7</v>
      </c>
      <c r="E179" s="11">
        <f>SUM(E181:E220)</f>
        <v>16700</v>
      </c>
      <c r="I179" s="11">
        <f>SUM(I181:I220)</f>
        <v>3437.7</v>
      </c>
      <c r="J179" s="11">
        <f>SUM(J181:J220)</f>
        <v>21350</v>
      </c>
    </row>
    <row r="180" spans="1:11" ht="15.75" thickBot="1" x14ac:dyDescent="0.3">
      <c r="A180" s="12"/>
      <c r="B180" s="13" t="s">
        <v>6</v>
      </c>
      <c r="C180" s="14" t="s">
        <v>7</v>
      </c>
      <c r="D180" s="15" t="s">
        <v>8</v>
      </c>
      <c r="E180" s="16" t="s">
        <v>9</v>
      </c>
      <c r="F180" s="17" t="s">
        <v>10</v>
      </c>
      <c r="G180" s="13" t="s">
        <v>6</v>
      </c>
      <c r="H180" s="14" t="s">
        <v>7</v>
      </c>
      <c r="I180" s="15" t="s">
        <v>8</v>
      </c>
      <c r="J180" s="16" t="s">
        <v>9</v>
      </c>
      <c r="K180" s="17" t="s">
        <v>10</v>
      </c>
    </row>
    <row r="181" spans="1:11" x14ac:dyDescent="0.25">
      <c r="A181" s="12">
        <v>1</v>
      </c>
      <c r="B181" s="18">
        <v>4095</v>
      </c>
      <c r="C181" s="19" t="s">
        <v>52</v>
      </c>
      <c r="D181" s="19">
        <v>1280.3</v>
      </c>
      <c r="E181" s="19">
        <v>6700</v>
      </c>
      <c r="F181" s="20" t="s">
        <v>19</v>
      </c>
      <c r="G181" s="18">
        <v>4098</v>
      </c>
      <c r="H181" s="19" t="s">
        <v>53</v>
      </c>
      <c r="I181" s="19">
        <v>941.9</v>
      </c>
      <c r="J181" s="19">
        <v>7150</v>
      </c>
      <c r="K181" s="20" t="s">
        <v>26</v>
      </c>
    </row>
    <row r="182" spans="1:11" x14ac:dyDescent="0.25">
      <c r="A182" s="12">
        <v>2</v>
      </c>
      <c r="B182" s="18">
        <v>4095</v>
      </c>
      <c r="C182" s="22" t="s">
        <v>54</v>
      </c>
      <c r="D182" s="22">
        <v>1263.7</v>
      </c>
      <c r="E182" s="22">
        <v>6500</v>
      </c>
      <c r="F182" s="23" t="s">
        <v>19</v>
      </c>
      <c r="G182" s="18">
        <v>4098</v>
      </c>
      <c r="H182" s="22" t="s">
        <v>55</v>
      </c>
      <c r="I182" s="22"/>
      <c r="J182" s="22">
        <v>4900</v>
      </c>
      <c r="K182" s="23" t="s">
        <v>26</v>
      </c>
    </row>
    <row r="183" spans="1:11" x14ac:dyDescent="0.25">
      <c r="A183" s="12">
        <v>3</v>
      </c>
      <c r="B183" s="21">
        <v>4097</v>
      </c>
      <c r="C183" s="22" t="s">
        <v>28</v>
      </c>
      <c r="D183" s="22">
        <v>387.7</v>
      </c>
      <c r="E183" s="22">
        <v>3500</v>
      </c>
      <c r="F183" s="23" t="s">
        <v>21</v>
      </c>
      <c r="G183" s="21">
        <v>4098</v>
      </c>
      <c r="H183" s="22" t="s">
        <v>55</v>
      </c>
      <c r="I183" s="22">
        <v>922.9</v>
      </c>
      <c r="J183" s="22">
        <v>1900</v>
      </c>
      <c r="K183" s="23" t="s">
        <v>24</v>
      </c>
    </row>
    <row r="184" spans="1:11" x14ac:dyDescent="0.25">
      <c r="A184" s="12">
        <v>4</v>
      </c>
      <c r="B184" s="21"/>
      <c r="C184" s="22"/>
      <c r="D184" s="22"/>
      <c r="E184" s="22"/>
      <c r="F184" s="23"/>
      <c r="G184" s="21">
        <v>4031</v>
      </c>
      <c r="H184" s="22" t="s">
        <v>56</v>
      </c>
      <c r="I184" s="22"/>
      <c r="J184" s="22">
        <v>3300</v>
      </c>
      <c r="K184" s="23" t="s">
        <v>24</v>
      </c>
    </row>
    <row r="185" spans="1:11" x14ac:dyDescent="0.25">
      <c r="A185" s="12">
        <v>5</v>
      </c>
      <c r="B185" s="21"/>
      <c r="C185" s="22"/>
      <c r="D185" s="22"/>
      <c r="E185" s="22"/>
      <c r="F185" s="23"/>
      <c r="G185" s="21">
        <v>4031</v>
      </c>
      <c r="H185" s="22" t="s">
        <v>56</v>
      </c>
      <c r="I185" s="22">
        <v>774.7</v>
      </c>
      <c r="J185" s="22">
        <v>400</v>
      </c>
      <c r="K185" s="20" t="s">
        <v>21</v>
      </c>
    </row>
    <row r="186" spans="1:11" x14ac:dyDescent="0.25">
      <c r="A186" s="12">
        <v>6</v>
      </c>
      <c r="B186" s="21"/>
      <c r="C186" s="22"/>
      <c r="D186" s="22"/>
      <c r="E186" s="22"/>
      <c r="F186" s="23"/>
      <c r="G186" s="21">
        <v>4031</v>
      </c>
      <c r="H186" s="22" t="s">
        <v>57</v>
      </c>
      <c r="I186" s="22">
        <v>798.2</v>
      </c>
      <c r="J186" s="22">
        <v>3700</v>
      </c>
      <c r="K186" s="20" t="s">
        <v>21</v>
      </c>
    </row>
    <row r="187" spans="1:11" x14ac:dyDescent="0.25">
      <c r="A187" s="12">
        <v>7</v>
      </c>
      <c r="B187" s="21"/>
      <c r="C187" s="22"/>
      <c r="D187" s="22"/>
      <c r="E187" s="22"/>
      <c r="F187" s="23"/>
      <c r="G187" s="18"/>
      <c r="H187" s="22"/>
      <c r="I187" s="22"/>
      <c r="J187" s="22"/>
      <c r="K187" s="20"/>
    </row>
    <row r="188" spans="1:11" x14ac:dyDescent="0.25">
      <c r="A188" s="12">
        <v>8</v>
      </c>
      <c r="B188" s="21"/>
      <c r="C188" s="22"/>
      <c r="D188" s="22"/>
      <c r="E188" s="22"/>
      <c r="F188" s="23"/>
      <c r="G188" s="18"/>
      <c r="H188" s="22"/>
      <c r="I188" s="22"/>
      <c r="J188" s="22"/>
      <c r="K188" s="20"/>
    </row>
    <row r="189" spans="1:11" x14ac:dyDescent="0.25">
      <c r="A189" s="12">
        <v>9</v>
      </c>
      <c r="B189" s="21"/>
      <c r="C189" s="22"/>
      <c r="D189" s="22"/>
      <c r="E189" s="22"/>
      <c r="F189" s="23"/>
      <c r="G189" s="18"/>
      <c r="H189" s="22"/>
      <c r="I189" s="22"/>
      <c r="J189" s="22"/>
      <c r="K189" s="23"/>
    </row>
    <row r="190" spans="1:11" x14ac:dyDescent="0.25">
      <c r="A190" s="12">
        <v>10</v>
      </c>
      <c r="B190" s="21"/>
      <c r="C190" s="22"/>
      <c r="D190" s="22"/>
      <c r="E190" s="22"/>
      <c r="F190" s="23"/>
      <c r="G190" s="18"/>
      <c r="H190" s="22"/>
      <c r="I190" s="22"/>
      <c r="J190" s="22"/>
      <c r="K190" s="23"/>
    </row>
    <row r="191" spans="1:11" x14ac:dyDescent="0.25">
      <c r="A191" s="12">
        <v>11</v>
      </c>
      <c r="B191" s="21"/>
      <c r="C191" s="22"/>
      <c r="D191" s="22"/>
      <c r="E191" s="22"/>
      <c r="F191" s="23"/>
      <c r="G191" s="21"/>
      <c r="H191" s="22"/>
      <c r="I191" s="22"/>
      <c r="J191" s="22"/>
      <c r="K191" s="23"/>
    </row>
    <row r="192" spans="1:11" x14ac:dyDescent="0.25">
      <c r="A192" s="12">
        <v>12</v>
      </c>
      <c r="B192" s="21"/>
      <c r="C192" s="22"/>
      <c r="D192" s="22"/>
      <c r="E192" s="22"/>
      <c r="F192" s="23"/>
      <c r="G192" s="21"/>
      <c r="H192" s="22"/>
      <c r="I192" s="22"/>
      <c r="J192" s="22"/>
      <c r="K192" s="23"/>
    </row>
    <row r="193" spans="1:11" x14ac:dyDescent="0.25">
      <c r="A193" s="12">
        <v>13</v>
      </c>
      <c r="B193" s="21"/>
      <c r="C193" s="22"/>
      <c r="D193" s="22"/>
      <c r="E193" s="22"/>
      <c r="F193" s="23"/>
      <c r="G193" s="21"/>
      <c r="H193" s="22"/>
      <c r="I193" s="22"/>
      <c r="J193" s="22"/>
      <c r="K193" s="23"/>
    </row>
    <row r="194" spans="1:11" x14ac:dyDescent="0.25">
      <c r="A194" s="12">
        <v>14</v>
      </c>
      <c r="B194" s="21"/>
      <c r="C194" s="22"/>
      <c r="D194" s="22"/>
      <c r="E194" s="22"/>
      <c r="F194" s="23"/>
      <c r="G194" s="21"/>
      <c r="H194" s="22"/>
      <c r="I194" s="22"/>
      <c r="J194" s="22"/>
      <c r="K194" s="23"/>
    </row>
    <row r="195" spans="1:11" x14ac:dyDescent="0.25">
      <c r="A195" s="12">
        <v>15</v>
      </c>
      <c r="B195" s="21"/>
      <c r="C195" s="22"/>
      <c r="D195" s="22"/>
      <c r="E195" s="22"/>
      <c r="F195" s="23"/>
      <c r="G195" s="21"/>
      <c r="H195" s="22"/>
      <c r="I195" s="22"/>
      <c r="J195" s="22"/>
      <c r="K195" s="23"/>
    </row>
    <row r="196" spans="1:11" x14ac:dyDescent="0.25">
      <c r="A196" s="12">
        <v>16</v>
      </c>
      <c r="B196" s="21"/>
      <c r="C196" s="22"/>
      <c r="D196" s="22"/>
      <c r="E196" s="22"/>
      <c r="F196" s="23"/>
      <c r="G196" s="21"/>
      <c r="H196" s="22"/>
      <c r="I196" s="22"/>
      <c r="J196" s="22"/>
      <c r="K196" s="23"/>
    </row>
    <row r="197" spans="1:11" x14ac:dyDescent="0.25">
      <c r="A197" s="12">
        <v>17</v>
      </c>
      <c r="B197" s="21"/>
      <c r="C197" s="22"/>
      <c r="D197" s="22"/>
      <c r="E197" s="22"/>
      <c r="F197" s="23"/>
      <c r="G197" s="21"/>
      <c r="H197" s="22"/>
      <c r="I197" s="22"/>
      <c r="J197" s="22"/>
      <c r="K197" s="23"/>
    </row>
    <row r="198" spans="1:11" x14ac:dyDescent="0.25">
      <c r="A198" s="12">
        <v>18</v>
      </c>
      <c r="B198" s="21"/>
      <c r="C198" s="22"/>
      <c r="D198" s="22"/>
      <c r="E198" s="22"/>
      <c r="F198" s="23"/>
      <c r="G198" s="21"/>
      <c r="H198" s="22"/>
      <c r="I198" s="22"/>
      <c r="J198" s="22"/>
      <c r="K198" s="23"/>
    </row>
    <row r="199" spans="1:11" x14ac:dyDescent="0.25">
      <c r="A199" s="12">
        <v>19</v>
      </c>
      <c r="B199" s="21"/>
      <c r="C199" s="22"/>
      <c r="D199" s="22"/>
      <c r="E199" s="22"/>
      <c r="F199" s="23"/>
      <c r="G199" s="21"/>
      <c r="H199" s="22"/>
      <c r="I199" s="22"/>
      <c r="J199" s="22"/>
      <c r="K199" s="23"/>
    </row>
    <row r="200" spans="1:11" x14ac:dyDescent="0.25">
      <c r="A200" s="12">
        <v>20</v>
      </c>
      <c r="B200" s="21"/>
      <c r="C200" s="22"/>
      <c r="D200" s="22"/>
      <c r="E200" s="22"/>
      <c r="F200" s="23"/>
      <c r="G200" s="21"/>
      <c r="H200" s="22"/>
      <c r="I200" s="22"/>
      <c r="J200" s="22"/>
      <c r="K200" s="23"/>
    </row>
    <row r="201" spans="1:11" x14ac:dyDescent="0.25">
      <c r="A201" s="12">
        <v>21</v>
      </c>
      <c r="B201" s="21"/>
      <c r="C201" s="22"/>
      <c r="D201" s="22"/>
      <c r="E201" s="22"/>
      <c r="F201" s="23"/>
      <c r="G201" s="21"/>
      <c r="H201" s="22"/>
      <c r="I201" s="22"/>
      <c r="J201" s="22"/>
      <c r="K201" s="23"/>
    </row>
    <row r="202" spans="1:11" x14ac:dyDescent="0.25">
      <c r="A202" s="12">
        <v>22</v>
      </c>
      <c r="B202" s="21"/>
      <c r="C202" s="22"/>
      <c r="D202" s="22"/>
      <c r="E202" s="22"/>
      <c r="F202" s="23"/>
      <c r="G202" s="21"/>
      <c r="H202" s="22"/>
      <c r="I202" s="22"/>
      <c r="J202" s="22"/>
      <c r="K202" s="23"/>
    </row>
    <row r="203" spans="1:11" x14ac:dyDescent="0.25">
      <c r="A203" s="12">
        <v>23</v>
      </c>
      <c r="B203" s="21"/>
      <c r="C203" s="22"/>
      <c r="D203" s="22"/>
      <c r="E203" s="22"/>
      <c r="F203" s="23"/>
      <c r="G203" s="21"/>
      <c r="H203" s="22"/>
      <c r="I203" s="22"/>
      <c r="J203" s="22"/>
      <c r="K203" s="23"/>
    </row>
    <row r="204" spans="1:11" x14ac:dyDescent="0.25">
      <c r="A204" s="12">
        <v>24</v>
      </c>
      <c r="B204" s="21"/>
      <c r="C204" s="22"/>
      <c r="D204" s="22"/>
      <c r="E204" s="22"/>
      <c r="F204" s="23"/>
      <c r="G204" s="21"/>
      <c r="H204" s="22"/>
      <c r="I204" s="22"/>
      <c r="J204" s="22"/>
      <c r="K204" s="23"/>
    </row>
    <row r="205" spans="1:11" x14ac:dyDescent="0.25">
      <c r="A205" s="12">
        <v>25</v>
      </c>
      <c r="B205" s="21"/>
      <c r="C205" s="22"/>
      <c r="D205" s="22"/>
      <c r="E205" s="22"/>
      <c r="F205" s="23"/>
      <c r="G205" s="21"/>
      <c r="H205" s="22"/>
      <c r="I205" s="22"/>
      <c r="J205" s="22"/>
      <c r="K205" s="23"/>
    </row>
    <row r="206" spans="1:11" x14ac:dyDescent="0.25">
      <c r="A206" s="12">
        <v>26</v>
      </c>
      <c r="B206" s="21"/>
      <c r="C206" s="22"/>
      <c r="D206" s="22"/>
      <c r="E206" s="22"/>
      <c r="F206" s="23"/>
      <c r="G206" s="21"/>
      <c r="H206" s="22"/>
      <c r="I206" s="22"/>
      <c r="J206" s="22"/>
      <c r="K206" s="23"/>
    </row>
    <row r="207" spans="1:11" x14ac:dyDescent="0.25">
      <c r="A207" s="12">
        <v>27</v>
      </c>
      <c r="B207" s="21"/>
      <c r="C207" s="22"/>
      <c r="D207" s="22"/>
      <c r="E207" s="22"/>
      <c r="F207" s="23"/>
      <c r="G207" s="21"/>
      <c r="H207" s="22"/>
      <c r="I207" s="22"/>
      <c r="J207" s="22"/>
      <c r="K207" s="23"/>
    </row>
    <row r="208" spans="1:11" x14ac:dyDescent="0.25">
      <c r="A208" s="12">
        <v>28</v>
      </c>
      <c r="B208" s="21"/>
      <c r="C208" s="22"/>
      <c r="D208" s="22"/>
      <c r="E208" s="22"/>
      <c r="F208" s="23"/>
      <c r="G208" s="21"/>
      <c r="H208" s="22"/>
      <c r="I208" s="22"/>
      <c r="J208" s="22"/>
      <c r="K208" s="23"/>
    </row>
    <row r="209" spans="1:11" x14ac:dyDescent="0.25">
      <c r="A209" s="12">
        <v>29</v>
      </c>
      <c r="B209" s="21"/>
      <c r="C209" s="22"/>
      <c r="D209" s="22"/>
      <c r="E209" s="22"/>
      <c r="F209" s="23"/>
      <c r="G209" s="21"/>
      <c r="H209" s="22"/>
      <c r="I209" s="22"/>
      <c r="J209" s="22"/>
      <c r="K209" s="23"/>
    </row>
    <row r="210" spans="1:11" x14ac:dyDescent="0.25">
      <c r="A210" s="12">
        <v>30</v>
      </c>
      <c r="B210" s="21"/>
      <c r="C210" s="22"/>
      <c r="D210" s="22"/>
      <c r="E210" s="22"/>
      <c r="F210" s="23"/>
      <c r="G210" s="21"/>
      <c r="H210" s="22"/>
      <c r="I210" s="22"/>
      <c r="J210" s="22"/>
      <c r="K210" s="23"/>
    </row>
    <row r="211" spans="1:11" x14ac:dyDescent="0.25">
      <c r="A211" s="12">
        <v>31</v>
      </c>
      <c r="B211" s="21"/>
      <c r="C211" s="22"/>
      <c r="D211" s="22"/>
      <c r="E211" s="22"/>
      <c r="F211" s="23"/>
      <c r="G211" s="21"/>
      <c r="H211" s="22"/>
      <c r="I211" s="22"/>
      <c r="J211" s="22"/>
      <c r="K211" s="23"/>
    </row>
    <row r="212" spans="1:11" x14ac:dyDescent="0.25">
      <c r="A212" s="12">
        <v>32</v>
      </c>
      <c r="B212" s="21"/>
      <c r="C212" s="22"/>
      <c r="D212" s="22"/>
      <c r="E212" s="22"/>
      <c r="F212" s="23"/>
      <c r="G212" s="21"/>
      <c r="H212" s="22"/>
      <c r="I212" s="22"/>
      <c r="J212" s="22"/>
      <c r="K212" s="23"/>
    </row>
    <row r="213" spans="1:11" x14ac:dyDescent="0.25">
      <c r="A213" s="12">
        <v>33</v>
      </c>
      <c r="B213" s="21"/>
      <c r="C213" s="22"/>
      <c r="D213" s="22"/>
      <c r="E213" s="22"/>
      <c r="F213" s="23"/>
      <c r="G213" s="21"/>
      <c r="H213" s="22"/>
      <c r="I213" s="22"/>
      <c r="J213" s="22"/>
      <c r="K213" s="23"/>
    </row>
    <row r="214" spans="1:11" x14ac:dyDescent="0.25">
      <c r="A214" s="12">
        <v>34</v>
      </c>
      <c r="B214" s="21"/>
      <c r="C214" s="22"/>
      <c r="D214" s="22"/>
      <c r="E214" s="22"/>
      <c r="F214" s="23"/>
      <c r="G214" s="21"/>
      <c r="H214" s="22"/>
      <c r="I214" s="22"/>
      <c r="J214" s="22"/>
      <c r="K214" s="23"/>
    </row>
    <row r="215" spans="1:11" x14ac:dyDescent="0.25">
      <c r="A215" s="12">
        <v>35</v>
      </c>
      <c r="B215" s="21"/>
      <c r="C215" s="22"/>
      <c r="D215" s="22"/>
      <c r="E215" s="22"/>
      <c r="F215" s="23"/>
      <c r="G215" s="21"/>
      <c r="H215" s="22"/>
      <c r="I215" s="22"/>
      <c r="J215" s="22"/>
      <c r="K215" s="23"/>
    </row>
    <row r="216" spans="1:11" x14ac:dyDescent="0.25">
      <c r="A216" s="12">
        <v>36</v>
      </c>
      <c r="B216" s="21"/>
      <c r="C216" s="22"/>
      <c r="D216" s="22"/>
      <c r="E216" s="22"/>
      <c r="F216" s="23"/>
      <c r="G216" s="21"/>
      <c r="H216" s="22"/>
      <c r="I216" s="22"/>
      <c r="J216" s="22"/>
      <c r="K216" s="23"/>
    </row>
    <row r="217" spans="1:11" x14ac:dyDescent="0.25">
      <c r="A217" s="12">
        <v>37</v>
      </c>
      <c r="B217" s="21"/>
      <c r="C217" s="22"/>
      <c r="D217" s="22"/>
      <c r="E217" s="22"/>
      <c r="F217" s="23"/>
      <c r="G217" s="21"/>
      <c r="H217" s="22"/>
      <c r="I217" s="22"/>
      <c r="J217" s="22"/>
      <c r="K217" s="23"/>
    </row>
    <row r="218" spans="1:11" x14ac:dyDescent="0.25">
      <c r="A218" s="12">
        <v>38</v>
      </c>
      <c r="B218" s="21"/>
      <c r="C218" s="22"/>
      <c r="D218" s="22"/>
      <c r="E218" s="22"/>
      <c r="F218" s="23"/>
      <c r="G218" s="21"/>
      <c r="H218" s="22"/>
      <c r="I218" s="22"/>
      <c r="J218" s="22"/>
      <c r="K218" s="23"/>
    </row>
    <row r="219" spans="1:11" x14ac:dyDescent="0.25">
      <c r="A219" s="12">
        <v>39</v>
      </c>
      <c r="B219" s="21"/>
      <c r="C219" s="22"/>
      <c r="D219" s="22"/>
      <c r="E219" s="22"/>
      <c r="F219" s="23"/>
      <c r="G219" s="21"/>
      <c r="H219" s="22"/>
      <c r="I219" s="22"/>
      <c r="J219" s="22"/>
      <c r="K219" s="23"/>
    </row>
    <row r="220" spans="1:11" ht="15.75" thickBot="1" x14ac:dyDescent="0.3">
      <c r="A220" s="12">
        <v>40</v>
      </c>
      <c r="B220" s="27"/>
      <c r="C220" s="28"/>
      <c r="D220" s="28"/>
      <c r="E220" s="28"/>
      <c r="F220" s="29"/>
      <c r="G220" s="27"/>
      <c r="H220" s="28"/>
      <c r="I220" s="28"/>
      <c r="J220" s="28"/>
      <c r="K220" s="29"/>
    </row>
    <row r="221" spans="1:11" x14ac:dyDescent="0.25">
      <c r="A221" s="12"/>
    </row>
    <row r="222" spans="1:11" ht="15.75" thickBot="1" x14ac:dyDescent="0.3">
      <c r="A222" s="6">
        <f>D223+I223</f>
        <v>6847.9000000000005</v>
      </c>
      <c r="B222" s="7" t="s">
        <v>1</v>
      </c>
      <c r="C222" s="8"/>
      <c r="D222" s="3" t="s">
        <v>16</v>
      </c>
      <c r="I222" s="3" t="s">
        <v>17</v>
      </c>
    </row>
    <row r="223" spans="1:11" ht="15.75" thickBot="1" x14ac:dyDescent="0.3">
      <c r="A223" s="30">
        <f>1+A179</f>
        <v>46039</v>
      </c>
      <c r="B223" s="30"/>
      <c r="C223" s="30"/>
      <c r="D223" s="11">
        <f>SUM(D225:D264)</f>
        <v>3741.6000000000004</v>
      </c>
      <c r="E223" s="11">
        <f>SUM(E225:E264)</f>
        <v>35700</v>
      </c>
      <c r="I223" s="11">
        <f>SUM(I225:I264)</f>
        <v>3106.3</v>
      </c>
      <c r="J223" s="11">
        <f>SUM(J225:J264)</f>
        <v>19250</v>
      </c>
    </row>
    <row r="224" spans="1:11" ht="15.75" thickBot="1" x14ac:dyDescent="0.3">
      <c r="A224" s="12"/>
      <c r="B224" s="13" t="s">
        <v>6</v>
      </c>
      <c r="C224" s="14" t="s">
        <v>7</v>
      </c>
      <c r="D224" s="15" t="s">
        <v>8</v>
      </c>
      <c r="E224" s="16" t="s">
        <v>9</v>
      </c>
      <c r="F224" s="17" t="s">
        <v>10</v>
      </c>
      <c r="G224" s="13" t="s">
        <v>6</v>
      </c>
      <c r="H224" s="14" t="s">
        <v>7</v>
      </c>
      <c r="I224" s="15" t="s">
        <v>8</v>
      </c>
      <c r="J224" s="16" t="s">
        <v>9</v>
      </c>
      <c r="K224" s="17" t="s">
        <v>10</v>
      </c>
    </row>
    <row r="225" spans="1:11" x14ac:dyDescent="0.25">
      <c r="A225" s="12">
        <v>1</v>
      </c>
      <c r="B225" s="18">
        <v>4080</v>
      </c>
      <c r="C225" s="19" t="s">
        <v>58</v>
      </c>
      <c r="D225" s="19">
        <v>858.8</v>
      </c>
      <c r="E225" s="19">
        <v>8200</v>
      </c>
      <c r="F225" s="20" t="s">
        <v>19</v>
      </c>
      <c r="G225" s="18">
        <v>4031</v>
      </c>
      <c r="H225" s="19" t="s">
        <v>59</v>
      </c>
      <c r="I225" s="19">
        <v>828.9</v>
      </c>
      <c r="J225" s="19">
        <v>3800</v>
      </c>
      <c r="K225" s="20" t="s">
        <v>26</v>
      </c>
    </row>
    <row r="226" spans="1:11" x14ac:dyDescent="0.25">
      <c r="A226" s="12">
        <v>2</v>
      </c>
      <c r="B226" s="21">
        <v>4080</v>
      </c>
      <c r="C226" s="22" t="s">
        <v>60</v>
      </c>
      <c r="D226" s="22">
        <v>855.4</v>
      </c>
      <c r="E226" s="22">
        <v>8170</v>
      </c>
      <c r="F226" s="23" t="s">
        <v>19</v>
      </c>
      <c r="G226" s="21">
        <v>4099</v>
      </c>
      <c r="H226" s="22" t="s">
        <v>61</v>
      </c>
      <c r="I226" s="22">
        <v>782.4</v>
      </c>
      <c r="J226" s="22">
        <v>3500</v>
      </c>
      <c r="K226" s="23" t="s">
        <v>26</v>
      </c>
    </row>
    <row r="227" spans="1:11" x14ac:dyDescent="0.25">
      <c r="A227" s="12">
        <v>3</v>
      </c>
      <c r="B227" s="21">
        <v>3989</v>
      </c>
      <c r="C227" s="22" t="s">
        <v>62</v>
      </c>
      <c r="D227" s="22">
        <v>638.29999999999995</v>
      </c>
      <c r="E227" s="22">
        <v>6100</v>
      </c>
      <c r="F227" s="23" t="s">
        <v>19</v>
      </c>
      <c r="G227" s="21">
        <v>4099</v>
      </c>
      <c r="H227" s="22" t="s">
        <v>63</v>
      </c>
      <c r="I227" s="22">
        <v>790.8</v>
      </c>
      <c r="J227" s="22">
        <v>3500</v>
      </c>
      <c r="K227" s="23" t="s">
        <v>26</v>
      </c>
    </row>
    <row r="228" spans="1:11" x14ac:dyDescent="0.25">
      <c r="A228" s="12">
        <v>4</v>
      </c>
      <c r="B228" s="21">
        <v>4107</v>
      </c>
      <c r="C228" s="22" t="s">
        <v>64</v>
      </c>
      <c r="D228" s="22">
        <v>681.9</v>
      </c>
      <c r="E228" s="22">
        <v>6600</v>
      </c>
      <c r="F228" s="23" t="s">
        <v>21</v>
      </c>
      <c r="G228" s="21">
        <v>4099</v>
      </c>
      <c r="H228" s="22" t="s">
        <v>65</v>
      </c>
      <c r="I228" s="22"/>
      <c r="J228" s="22">
        <v>1900</v>
      </c>
      <c r="K228" s="23" t="s">
        <v>26</v>
      </c>
    </row>
    <row r="229" spans="1:11" x14ac:dyDescent="0.25">
      <c r="A229" s="12">
        <v>5</v>
      </c>
      <c r="B229" s="21">
        <v>4107</v>
      </c>
      <c r="C229" s="22" t="s">
        <v>66</v>
      </c>
      <c r="D229" s="22">
        <v>707.2</v>
      </c>
      <c r="E229" s="22">
        <v>6630</v>
      </c>
      <c r="F229" s="23" t="s">
        <v>21</v>
      </c>
      <c r="G229" s="21">
        <v>4099</v>
      </c>
      <c r="H229" s="22" t="s">
        <v>65</v>
      </c>
      <c r="I229" s="22">
        <v>704.2</v>
      </c>
      <c r="J229" s="22">
        <v>1200</v>
      </c>
      <c r="K229" s="23" t="s">
        <v>21</v>
      </c>
    </row>
    <row r="230" spans="1:11" x14ac:dyDescent="0.25">
      <c r="A230" s="12">
        <v>6</v>
      </c>
      <c r="B230" s="21"/>
      <c r="C230" s="22"/>
      <c r="D230" s="22"/>
      <c r="E230" s="22"/>
      <c r="F230" s="23"/>
      <c r="G230" s="21">
        <v>3923</v>
      </c>
      <c r="H230" s="22" t="s">
        <v>67</v>
      </c>
      <c r="I230" s="22"/>
      <c r="J230" s="22">
        <v>5350</v>
      </c>
      <c r="K230" s="23" t="s">
        <v>21</v>
      </c>
    </row>
    <row r="231" spans="1:11" x14ac:dyDescent="0.25">
      <c r="A231" s="12">
        <v>7</v>
      </c>
      <c r="B231" s="21"/>
      <c r="C231" s="22"/>
      <c r="D231" s="22"/>
      <c r="E231" s="22"/>
      <c r="F231" s="23"/>
      <c r="G231" s="21"/>
      <c r="H231" s="22"/>
      <c r="I231" s="22"/>
      <c r="J231" s="22"/>
      <c r="K231" s="23"/>
    </row>
    <row r="232" spans="1:11" x14ac:dyDescent="0.25">
      <c r="A232" s="12">
        <v>8</v>
      </c>
      <c r="B232" s="21"/>
      <c r="C232" s="22"/>
      <c r="D232" s="22"/>
      <c r="E232" s="22"/>
      <c r="F232" s="23"/>
      <c r="G232" s="21"/>
      <c r="H232" s="22"/>
      <c r="I232" s="22"/>
      <c r="J232" s="22"/>
      <c r="K232" s="23"/>
    </row>
    <row r="233" spans="1:11" x14ac:dyDescent="0.25">
      <c r="A233" s="12">
        <v>9</v>
      </c>
      <c r="B233" s="21"/>
      <c r="C233" s="22"/>
      <c r="D233" s="22"/>
      <c r="E233" s="22"/>
      <c r="F233" s="23"/>
      <c r="G233" s="21"/>
      <c r="H233" s="22"/>
      <c r="I233" s="22"/>
      <c r="J233" s="22"/>
      <c r="K233" s="23"/>
    </row>
    <row r="234" spans="1:11" x14ac:dyDescent="0.25">
      <c r="A234" s="12">
        <v>10</v>
      </c>
      <c r="B234" s="21"/>
      <c r="C234" s="22"/>
      <c r="D234" s="22"/>
      <c r="E234" s="22"/>
      <c r="F234" s="23"/>
      <c r="G234" s="21"/>
      <c r="H234" s="22"/>
      <c r="I234" s="22"/>
      <c r="J234" s="22"/>
      <c r="K234" s="23"/>
    </row>
    <row r="235" spans="1:11" x14ac:dyDescent="0.25">
      <c r="A235" s="12">
        <v>11</v>
      </c>
      <c r="B235" s="21"/>
      <c r="C235" s="22"/>
      <c r="D235" s="22"/>
      <c r="E235" s="22"/>
      <c r="F235" s="23"/>
      <c r="G235" s="21"/>
      <c r="H235" s="22"/>
      <c r="I235" s="22"/>
      <c r="J235" s="22"/>
      <c r="K235" s="23"/>
    </row>
    <row r="236" spans="1:11" x14ac:dyDescent="0.25">
      <c r="A236" s="12">
        <v>12</v>
      </c>
      <c r="B236" s="21"/>
      <c r="C236" s="22"/>
      <c r="D236" s="22"/>
      <c r="E236" s="22"/>
      <c r="F236" s="23"/>
      <c r="G236" s="21"/>
      <c r="H236" s="22"/>
      <c r="I236" s="22"/>
      <c r="J236" s="22"/>
      <c r="K236" s="23"/>
    </row>
    <row r="237" spans="1:11" x14ac:dyDescent="0.25">
      <c r="A237" s="12">
        <v>13</v>
      </c>
      <c r="B237" s="21"/>
      <c r="C237" s="22"/>
      <c r="D237" s="22"/>
      <c r="E237" s="22"/>
      <c r="F237" s="23"/>
      <c r="G237" s="21"/>
      <c r="H237" s="22"/>
      <c r="I237" s="22"/>
      <c r="J237" s="22"/>
      <c r="K237" s="23"/>
    </row>
    <row r="238" spans="1:11" x14ac:dyDescent="0.25">
      <c r="A238" s="12">
        <v>14</v>
      </c>
      <c r="B238" s="21"/>
      <c r="C238" s="22"/>
      <c r="D238" s="22"/>
      <c r="E238" s="22"/>
      <c r="F238" s="23"/>
      <c r="G238" s="21"/>
      <c r="H238" s="22"/>
      <c r="I238" s="22"/>
      <c r="J238" s="22"/>
      <c r="K238" s="23"/>
    </row>
    <row r="239" spans="1:11" x14ac:dyDescent="0.25">
      <c r="A239" s="12">
        <v>15</v>
      </c>
      <c r="B239" s="21"/>
      <c r="C239" s="22"/>
      <c r="D239" s="22"/>
      <c r="E239" s="22"/>
      <c r="F239" s="23"/>
      <c r="G239" s="21"/>
      <c r="H239" s="22"/>
      <c r="I239" s="22"/>
      <c r="J239" s="22"/>
      <c r="K239" s="23"/>
    </row>
    <row r="240" spans="1:11" x14ac:dyDescent="0.25">
      <c r="A240" s="12">
        <v>16</v>
      </c>
      <c r="B240" s="21"/>
      <c r="C240" s="22"/>
      <c r="D240" s="22"/>
      <c r="E240" s="22"/>
      <c r="F240" s="23"/>
      <c r="G240" s="21"/>
      <c r="H240" s="22"/>
      <c r="I240" s="22"/>
      <c r="J240" s="22"/>
      <c r="K240" s="23"/>
    </row>
    <row r="241" spans="1:11" x14ac:dyDescent="0.25">
      <c r="A241" s="12">
        <v>17</v>
      </c>
      <c r="B241" s="21"/>
      <c r="C241" s="22"/>
      <c r="D241" s="22"/>
      <c r="E241" s="22"/>
      <c r="F241" s="23"/>
      <c r="G241" s="21"/>
      <c r="H241" s="22"/>
      <c r="I241" s="22"/>
      <c r="J241" s="22"/>
      <c r="K241" s="23"/>
    </row>
    <row r="242" spans="1:11" x14ac:dyDescent="0.25">
      <c r="A242" s="12">
        <v>18</v>
      </c>
      <c r="B242" s="21"/>
      <c r="C242" s="22"/>
      <c r="D242" s="22"/>
      <c r="E242" s="22"/>
      <c r="F242" s="23"/>
      <c r="G242" s="21"/>
      <c r="H242" s="22"/>
      <c r="I242" s="22"/>
      <c r="J242" s="22"/>
      <c r="K242" s="23"/>
    </row>
    <row r="243" spans="1:11" x14ac:dyDescent="0.25">
      <c r="A243" s="12">
        <v>19</v>
      </c>
      <c r="B243" s="21"/>
      <c r="C243" s="22"/>
      <c r="D243" s="22"/>
      <c r="E243" s="22"/>
      <c r="F243" s="23"/>
      <c r="G243" s="21"/>
      <c r="H243" s="22"/>
      <c r="I243" s="22"/>
      <c r="J243" s="22"/>
      <c r="K243" s="23"/>
    </row>
    <row r="244" spans="1:11" x14ac:dyDescent="0.25">
      <c r="A244" s="12">
        <v>20</v>
      </c>
      <c r="B244" s="21"/>
      <c r="C244" s="22"/>
      <c r="D244" s="22"/>
      <c r="E244" s="22"/>
      <c r="F244" s="23"/>
      <c r="G244" s="21"/>
      <c r="H244" s="22"/>
      <c r="I244" s="22"/>
      <c r="J244" s="22"/>
      <c r="K244" s="23"/>
    </row>
    <row r="245" spans="1:11" x14ac:dyDescent="0.25">
      <c r="A245" s="12">
        <v>21</v>
      </c>
      <c r="B245" s="21"/>
      <c r="C245" s="22"/>
      <c r="D245" s="22"/>
      <c r="E245" s="22"/>
      <c r="F245" s="23"/>
      <c r="G245" s="21"/>
      <c r="H245" s="22"/>
      <c r="I245" s="22"/>
      <c r="J245" s="22"/>
      <c r="K245" s="23"/>
    </row>
    <row r="246" spans="1:11" x14ac:dyDescent="0.25">
      <c r="A246" s="12">
        <v>22</v>
      </c>
      <c r="B246" s="21"/>
      <c r="C246" s="22"/>
      <c r="D246" s="22"/>
      <c r="E246" s="22"/>
      <c r="F246" s="23"/>
      <c r="G246" s="21"/>
      <c r="H246" s="22"/>
      <c r="I246" s="22"/>
      <c r="J246" s="22"/>
      <c r="K246" s="23"/>
    </row>
    <row r="247" spans="1:11" x14ac:dyDescent="0.25">
      <c r="A247" s="12">
        <v>23</v>
      </c>
      <c r="B247" s="21"/>
      <c r="C247" s="22"/>
      <c r="D247" s="22"/>
      <c r="E247" s="22"/>
      <c r="F247" s="23"/>
      <c r="G247" s="21"/>
      <c r="H247" s="22"/>
      <c r="I247" s="22"/>
      <c r="J247" s="22"/>
      <c r="K247" s="23"/>
    </row>
    <row r="248" spans="1:11" x14ac:dyDescent="0.25">
      <c r="A248" s="12">
        <v>24</v>
      </c>
      <c r="B248" s="21"/>
      <c r="C248" s="22"/>
      <c r="D248" s="22"/>
      <c r="E248" s="22"/>
      <c r="F248" s="23"/>
      <c r="G248" s="21"/>
      <c r="H248" s="22"/>
      <c r="I248" s="22"/>
      <c r="J248" s="22"/>
      <c r="K248" s="23"/>
    </row>
    <row r="249" spans="1:11" x14ac:dyDescent="0.25">
      <c r="A249" s="12">
        <v>25</v>
      </c>
      <c r="B249" s="21"/>
      <c r="C249" s="22"/>
      <c r="D249" s="22"/>
      <c r="E249" s="22"/>
      <c r="F249" s="23"/>
      <c r="G249" s="21"/>
      <c r="H249" s="22"/>
      <c r="I249" s="22"/>
      <c r="J249" s="22"/>
      <c r="K249" s="23"/>
    </row>
    <row r="250" spans="1:11" x14ac:dyDescent="0.25">
      <c r="A250" s="12">
        <v>26</v>
      </c>
      <c r="B250" s="21"/>
      <c r="C250" s="22"/>
      <c r="D250" s="22"/>
      <c r="E250" s="22"/>
      <c r="F250" s="23"/>
      <c r="G250" s="21"/>
      <c r="H250" s="22"/>
      <c r="I250" s="22"/>
      <c r="J250" s="22"/>
      <c r="K250" s="23"/>
    </row>
    <row r="251" spans="1:11" x14ac:dyDescent="0.25">
      <c r="A251" s="12">
        <v>27</v>
      </c>
      <c r="B251" s="21"/>
      <c r="C251" s="22"/>
      <c r="D251" s="22"/>
      <c r="E251" s="22"/>
      <c r="F251" s="23"/>
      <c r="G251" s="21"/>
      <c r="H251" s="22"/>
      <c r="I251" s="22"/>
      <c r="J251" s="22"/>
      <c r="K251" s="23"/>
    </row>
    <row r="252" spans="1:11" x14ac:dyDescent="0.25">
      <c r="A252" s="12">
        <v>28</v>
      </c>
      <c r="B252" s="21"/>
      <c r="C252" s="22"/>
      <c r="D252" s="22"/>
      <c r="E252" s="22"/>
      <c r="F252" s="23"/>
      <c r="G252" s="21"/>
      <c r="H252" s="22"/>
      <c r="I252" s="22"/>
      <c r="J252" s="22"/>
      <c r="K252" s="23"/>
    </row>
    <row r="253" spans="1:11" x14ac:dyDescent="0.25">
      <c r="A253" s="12">
        <v>29</v>
      </c>
      <c r="B253" s="21"/>
      <c r="C253" s="22"/>
      <c r="D253" s="22"/>
      <c r="E253" s="22"/>
      <c r="F253" s="23"/>
      <c r="G253" s="21"/>
      <c r="H253" s="22"/>
      <c r="I253" s="22"/>
      <c r="J253" s="22"/>
      <c r="K253" s="23"/>
    </row>
    <row r="254" spans="1:11" x14ac:dyDescent="0.25">
      <c r="A254" s="12">
        <v>30</v>
      </c>
      <c r="B254" s="21"/>
      <c r="C254" s="22"/>
      <c r="D254" s="22"/>
      <c r="E254" s="22"/>
      <c r="F254" s="23"/>
      <c r="G254" s="21"/>
      <c r="H254" s="22"/>
      <c r="I254" s="22"/>
      <c r="J254" s="22"/>
      <c r="K254" s="23"/>
    </row>
    <row r="255" spans="1:11" x14ac:dyDescent="0.25">
      <c r="A255" s="12">
        <v>31</v>
      </c>
      <c r="B255" s="21"/>
      <c r="C255" s="22"/>
      <c r="D255" s="22"/>
      <c r="E255" s="22"/>
      <c r="F255" s="23"/>
      <c r="G255" s="21"/>
      <c r="H255" s="22"/>
      <c r="I255" s="22"/>
      <c r="J255" s="22"/>
      <c r="K255" s="23"/>
    </row>
    <row r="256" spans="1:11" x14ac:dyDescent="0.25">
      <c r="A256" s="12">
        <v>32</v>
      </c>
      <c r="B256" s="21"/>
      <c r="C256" s="22"/>
      <c r="D256" s="22"/>
      <c r="E256" s="22"/>
      <c r="F256" s="23"/>
      <c r="G256" s="21"/>
      <c r="H256" s="22"/>
      <c r="I256" s="22"/>
      <c r="J256" s="22"/>
      <c r="K256" s="23"/>
    </row>
    <row r="257" spans="1:11" x14ac:dyDescent="0.25">
      <c r="A257" s="12">
        <v>33</v>
      </c>
      <c r="B257" s="21"/>
      <c r="C257" s="22"/>
      <c r="D257" s="22"/>
      <c r="E257" s="22"/>
      <c r="F257" s="23"/>
      <c r="G257" s="21"/>
      <c r="H257" s="22"/>
      <c r="I257" s="22"/>
      <c r="J257" s="22"/>
      <c r="K257" s="23"/>
    </row>
    <row r="258" spans="1:11" x14ac:dyDescent="0.25">
      <c r="A258" s="12">
        <v>34</v>
      </c>
      <c r="B258" s="21"/>
      <c r="C258" s="22"/>
      <c r="D258" s="22"/>
      <c r="E258" s="22"/>
      <c r="F258" s="23"/>
      <c r="G258" s="21"/>
      <c r="H258" s="22"/>
      <c r="I258" s="22"/>
      <c r="J258" s="22"/>
      <c r="K258" s="23"/>
    </row>
    <row r="259" spans="1:11" x14ac:dyDescent="0.25">
      <c r="A259" s="12">
        <v>35</v>
      </c>
      <c r="B259" s="21"/>
      <c r="C259" s="22"/>
      <c r="D259" s="22"/>
      <c r="E259" s="22"/>
      <c r="F259" s="23"/>
      <c r="G259" s="21"/>
      <c r="H259" s="22"/>
      <c r="I259" s="22"/>
      <c r="J259" s="22"/>
      <c r="K259" s="23"/>
    </row>
    <row r="260" spans="1:11" x14ac:dyDescent="0.25">
      <c r="A260" s="12">
        <v>36</v>
      </c>
      <c r="B260" s="21"/>
      <c r="C260" s="22"/>
      <c r="D260" s="22"/>
      <c r="E260" s="22"/>
      <c r="F260" s="23"/>
      <c r="G260" s="21"/>
      <c r="H260" s="22"/>
      <c r="I260" s="22"/>
      <c r="J260" s="22"/>
      <c r="K260" s="23"/>
    </row>
    <row r="261" spans="1:11" x14ac:dyDescent="0.25">
      <c r="A261" s="12">
        <v>37</v>
      </c>
      <c r="B261" s="21"/>
      <c r="C261" s="22"/>
      <c r="D261" s="22"/>
      <c r="E261" s="22"/>
      <c r="F261" s="23"/>
      <c r="G261" s="21"/>
      <c r="H261" s="22"/>
      <c r="I261" s="22"/>
      <c r="J261" s="22"/>
      <c r="K261" s="23"/>
    </row>
    <row r="262" spans="1:11" x14ac:dyDescent="0.25">
      <c r="A262" s="12">
        <v>38</v>
      </c>
      <c r="B262" s="21"/>
      <c r="C262" s="22"/>
      <c r="D262" s="22"/>
      <c r="E262" s="22"/>
      <c r="F262" s="23"/>
      <c r="G262" s="21"/>
      <c r="H262" s="22"/>
      <c r="I262" s="22"/>
      <c r="J262" s="22"/>
      <c r="K262" s="23"/>
    </row>
    <row r="263" spans="1:11" x14ac:dyDescent="0.25">
      <c r="A263" s="12">
        <v>39</v>
      </c>
      <c r="B263" s="21"/>
      <c r="C263" s="22"/>
      <c r="D263" s="22"/>
      <c r="E263" s="22"/>
      <c r="F263" s="23"/>
      <c r="G263" s="21"/>
      <c r="H263" s="22"/>
      <c r="I263" s="22"/>
      <c r="J263" s="22"/>
      <c r="K263" s="23"/>
    </row>
    <row r="264" spans="1:11" ht="15.75" thickBot="1" x14ac:dyDescent="0.3">
      <c r="A264" s="12">
        <v>40</v>
      </c>
      <c r="B264" s="27"/>
      <c r="C264" s="28"/>
      <c r="D264" s="28"/>
      <c r="E264" s="28"/>
      <c r="F264" s="29"/>
      <c r="G264" s="27"/>
      <c r="H264" s="28"/>
      <c r="I264" s="28"/>
      <c r="J264" s="28"/>
      <c r="K264" s="29"/>
    </row>
    <row r="265" spans="1:11" x14ac:dyDescent="0.25">
      <c r="A265" s="12"/>
    </row>
    <row r="266" spans="1:11" ht="15.75" thickBot="1" x14ac:dyDescent="0.3">
      <c r="A266" s="6">
        <f>D267+I267</f>
        <v>5109.8</v>
      </c>
      <c r="B266" s="7" t="s">
        <v>1</v>
      </c>
      <c r="C266" s="8"/>
      <c r="D266" s="3" t="s">
        <v>16</v>
      </c>
      <c r="I266" s="3" t="s">
        <v>17</v>
      </c>
    </row>
    <row r="267" spans="1:11" ht="15.75" thickBot="1" x14ac:dyDescent="0.3">
      <c r="A267" s="30">
        <f>1+A223</f>
        <v>46040</v>
      </c>
      <c r="B267" s="30"/>
      <c r="C267" s="30"/>
      <c r="D267" s="11">
        <f>SUM(D269:D308)</f>
        <v>1261.2</v>
      </c>
      <c r="E267" s="11">
        <f>SUM(E269:E308)</f>
        <v>8009</v>
      </c>
      <c r="I267" s="11">
        <f>SUM(I269:I308)</f>
        <v>3848.6000000000004</v>
      </c>
      <c r="J267" s="11">
        <f>SUM(J269:J308)</f>
        <v>23180</v>
      </c>
    </row>
    <row r="268" spans="1:11" ht="15.75" thickBot="1" x14ac:dyDescent="0.3">
      <c r="A268" s="12"/>
      <c r="B268" s="13" t="s">
        <v>6</v>
      </c>
      <c r="C268" s="14" t="s">
        <v>7</v>
      </c>
      <c r="D268" s="15" t="s">
        <v>8</v>
      </c>
      <c r="E268" s="16" t="s">
        <v>9</v>
      </c>
      <c r="F268" s="17" t="s">
        <v>10</v>
      </c>
      <c r="G268" s="13" t="s">
        <v>6</v>
      </c>
      <c r="H268" s="14" t="s">
        <v>7</v>
      </c>
      <c r="I268" s="15" t="s">
        <v>8</v>
      </c>
      <c r="J268" s="16" t="s">
        <v>9</v>
      </c>
      <c r="K268" s="17" t="s">
        <v>10</v>
      </c>
    </row>
    <row r="269" spans="1:11" x14ac:dyDescent="0.25">
      <c r="A269" s="12">
        <v>1</v>
      </c>
      <c r="B269" s="18">
        <v>4083</v>
      </c>
      <c r="C269" s="19">
        <v>451</v>
      </c>
      <c r="D269" s="19">
        <v>1024.2</v>
      </c>
      <c r="E269" s="19">
        <v>7500</v>
      </c>
      <c r="F269" s="20" t="s">
        <v>19</v>
      </c>
      <c r="G269" s="18">
        <v>3923</v>
      </c>
      <c r="H269" s="19" t="s">
        <v>67</v>
      </c>
      <c r="I269" s="19">
        <v>1290.5</v>
      </c>
      <c r="J269" s="19">
        <v>1500</v>
      </c>
      <c r="K269" s="20" t="s">
        <v>24</v>
      </c>
    </row>
    <row r="270" spans="1:11" x14ac:dyDescent="0.25">
      <c r="A270" s="12">
        <v>2</v>
      </c>
      <c r="B270" s="18">
        <v>4042</v>
      </c>
      <c r="C270" s="22">
        <v>459</v>
      </c>
      <c r="D270" s="22">
        <v>237</v>
      </c>
      <c r="E270" s="22">
        <v>509</v>
      </c>
      <c r="F270" s="20" t="s">
        <v>19</v>
      </c>
      <c r="G270" s="18">
        <v>4113</v>
      </c>
      <c r="H270" s="22" t="s">
        <v>68</v>
      </c>
      <c r="I270" s="22">
        <v>1033.4000000000001</v>
      </c>
      <c r="J270" s="22">
        <v>7100</v>
      </c>
      <c r="K270" s="23" t="s">
        <v>24</v>
      </c>
    </row>
    <row r="271" spans="1:11" x14ac:dyDescent="0.25">
      <c r="A271" s="12">
        <v>3</v>
      </c>
      <c r="B271" s="18"/>
      <c r="C271" s="22"/>
      <c r="D271" s="22"/>
      <c r="E271" s="22"/>
      <c r="F271" s="20"/>
      <c r="G271" s="18">
        <v>4114</v>
      </c>
      <c r="H271" s="22" t="s">
        <v>69</v>
      </c>
      <c r="I271" s="22">
        <v>563.5</v>
      </c>
      <c r="J271" s="22">
        <v>5680</v>
      </c>
      <c r="K271" s="23" t="s">
        <v>21</v>
      </c>
    </row>
    <row r="272" spans="1:11" x14ac:dyDescent="0.25">
      <c r="A272" s="12">
        <v>4</v>
      </c>
      <c r="B272" s="18"/>
      <c r="C272" s="22"/>
      <c r="D272" s="22"/>
      <c r="E272" s="22"/>
      <c r="F272" s="20"/>
      <c r="G272" s="18">
        <v>4114</v>
      </c>
      <c r="H272" s="22" t="s">
        <v>70</v>
      </c>
      <c r="I272" s="22">
        <v>468.4</v>
      </c>
      <c r="J272" s="22">
        <v>5100</v>
      </c>
      <c r="K272" s="23" t="s">
        <v>21</v>
      </c>
    </row>
    <row r="273" spans="1:11" x14ac:dyDescent="0.25">
      <c r="A273" s="12">
        <v>5</v>
      </c>
      <c r="B273" s="18"/>
      <c r="C273" s="22"/>
      <c r="D273" s="22"/>
      <c r="E273" s="22"/>
      <c r="F273" s="20"/>
      <c r="G273" s="21">
        <v>4102</v>
      </c>
      <c r="H273" s="22" t="s">
        <v>71</v>
      </c>
      <c r="I273" s="22">
        <v>492.8</v>
      </c>
      <c r="J273" s="22">
        <v>2800</v>
      </c>
      <c r="K273" s="23" t="s">
        <v>21</v>
      </c>
    </row>
    <row r="274" spans="1:11" x14ac:dyDescent="0.25">
      <c r="A274" s="12">
        <v>6</v>
      </c>
      <c r="B274" s="18"/>
      <c r="C274" s="22"/>
      <c r="D274" s="22"/>
      <c r="E274" s="22"/>
      <c r="F274" s="20"/>
      <c r="G274" s="21">
        <v>4102</v>
      </c>
      <c r="H274" s="22" t="s">
        <v>72</v>
      </c>
      <c r="I274" s="22"/>
      <c r="J274" s="22">
        <v>1000</v>
      </c>
      <c r="K274" s="23" t="s">
        <v>21</v>
      </c>
    </row>
    <row r="275" spans="1:11" x14ac:dyDescent="0.25">
      <c r="A275" s="12">
        <v>7</v>
      </c>
      <c r="B275" s="18"/>
      <c r="C275" s="22"/>
      <c r="D275" s="22"/>
      <c r="E275" s="22"/>
      <c r="F275" s="23"/>
      <c r="G275" s="21"/>
      <c r="H275" s="22"/>
      <c r="I275" s="22"/>
      <c r="J275" s="22"/>
      <c r="K275" s="23"/>
    </row>
    <row r="276" spans="1:11" x14ac:dyDescent="0.25">
      <c r="A276" s="12">
        <v>8</v>
      </c>
      <c r="B276" s="21"/>
      <c r="C276" s="22"/>
      <c r="D276" s="22"/>
      <c r="E276" s="22"/>
      <c r="F276" s="23"/>
      <c r="G276" s="21"/>
      <c r="H276" s="22"/>
      <c r="I276" s="22"/>
      <c r="J276" s="22"/>
      <c r="K276" s="23"/>
    </row>
    <row r="277" spans="1:11" x14ac:dyDescent="0.25">
      <c r="A277" s="12">
        <v>9</v>
      </c>
      <c r="B277" s="21"/>
      <c r="C277" s="22"/>
      <c r="D277" s="22"/>
      <c r="E277" s="22"/>
      <c r="F277" s="23"/>
      <c r="G277" s="21"/>
      <c r="H277" s="22"/>
      <c r="I277" s="22"/>
      <c r="J277" s="22"/>
      <c r="K277" s="23"/>
    </row>
    <row r="278" spans="1:11" x14ac:dyDescent="0.25">
      <c r="A278" s="12">
        <v>10</v>
      </c>
      <c r="B278" s="21"/>
      <c r="C278" s="22"/>
      <c r="D278" s="22"/>
      <c r="E278" s="22"/>
      <c r="F278" s="23"/>
      <c r="G278" s="21"/>
      <c r="H278" s="22"/>
      <c r="I278" s="22"/>
      <c r="J278" s="22"/>
      <c r="K278" s="23"/>
    </row>
    <row r="279" spans="1:11" x14ac:dyDescent="0.25">
      <c r="A279" s="12">
        <v>11</v>
      </c>
      <c r="B279" s="21"/>
      <c r="C279" s="22"/>
      <c r="D279" s="22"/>
      <c r="E279" s="22"/>
      <c r="F279" s="23"/>
      <c r="G279" s="21"/>
      <c r="H279" s="22"/>
      <c r="I279" s="22"/>
      <c r="J279" s="22"/>
      <c r="K279" s="23"/>
    </row>
    <row r="280" spans="1:11" x14ac:dyDescent="0.25">
      <c r="A280" s="12">
        <v>12</v>
      </c>
      <c r="B280" s="21"/>
      <c r="C280" s="22"/>
      <c r="D280" s="22"/>
      <c r="E280" s="22"/>
      <c r="F280" s="23"/>
      <c r="G280" s="21"/>
      <c r="H280" s="22"/>
      <c r="I280" s="22"/>
      <c r="J280" s="22"/>
      <c r="K280" s="23"/>
    </row>
    <row r="281" spans="1:11" x14ac:dyDescent="0.25">
      <c r="A281" s="12">
        <v>13</v>
      </c>
      <c r="B281" s="21"/>
      <c r="C281" s="22"/>
      <c r="D281" s="22"/>
      <c r="E281" s="22"/>
      <c r="F281" s="23"/>
      <c r="G281" s="21"/>
      <c r="H281" s="22"/>
      <c r="I281" s="22"/>
      <c r="J281" s="22"/>
      <c r="K281" s="23"/>
    </row>
    <row r="282" spans="1:11" x14ac:dyDescent="0.25">
      <c r="A282" s="12">
        <v>14</v>
      </c>
      <c r="B282" s="21"/>
      <c r="C282" s="22"/>
      <c r="D282" s="22"/>
      <c r="E282" s="22"/>
      <c r="F282" s="23"/>
      <c r="G282" s="21"/>
      <c r="H282" s="22"/>
      <c r="I282" s="22"/>
      <c r="J282" s="22"/>
      <c r="K282" s="23"/>
    </row>
    <row r="283" spans="1:11" x14ac:dyDescent="0.25">
      <c r="A283" s="12">
        <v>15</v>
      </c>
      <c r="B283" s="21"/>
      <c r="C283" s="22"/>
      <c r="D283" s="22"/>
      <c r="E283" s="22"/>
      <c r="F283" s="23"/>
      <c r="G283" s="21"/>
      <c r="H283" s="22"/>
      <c r="I283" s="22"/>
      <c r="J283" s="22"/>
      <c r="K283" s="23"/>
    </row>
    <row r="284" spans="1:11" x14ac:dyDescent="0.25">
      <c r="A284" s="12">
        <v>16</v>
      </c>
      <c r="B284" s="21"/>
      <c r="C284" s="22"/>
      <c r="D284" s="22"/>
      <c r="E284" s="22"/>
      <c r="F284" s="23"/>
      <c r="G284" s="21"/>
      <c r="H284" s="22"/>
      <c r="I284" s="22"/>
      <c r="J284" s="22"/>
      <c r="K284" s="23"/>
    </row>
    <row r="285" spans="1:11" x14ac:dyDescent="0.25">
      <c r="A285" s="12">
        <v>17</v>
      </c>
      <c r="B285" s="21"/>
      <c r="C285" s="22"/>
      <c r="D285" s="22"/>
      <c r="E285" s="22"/>
      <c r="F285" s="23"/>
      <c r="G285" s="21"/>
      <c r="H285" s="22"/>
      <c r="I285" s="22"/>
      <c r="J285" s="22"/>
      <c r="K285" s="23"/>
    </row>
    <row r="286" spans="1:11" x14ac:dyDescent="0.25">
      <c r="A286" s="12">
        <v>18</v>
      </c>
      <c r="B286" s="21"/>
      <c r="C286" s="22"/>
      <c r="D286" s="22"/>
      <c r="E286" s="22"/>
      <c r="F286" s="23"/>
      <c r="G286" s="21"/>
      <c r="H286" s="22"/>
      <c r="I286" s="22"/>
      <c r="J286" s="22"/>
      <c r="K286" s="23"/>
    </row>
    <row r="287" spans="1:11" x14ac:dyDescent="0.25">
      <c r="A287" s="12">
        <v>19</v>
      </c>
      <c r="B287" s="21"/>
      <c r="C287" s="22"/>
      <c r="D287" s="22"/>
      <c r="E287" s="22"/>
      <c r="F287" s="23"/>
      <c r="G287" s="21"/>
      <c r="H287" s="22"/>
      <c r="I287" s="22"/>
      <c r="J287" s="22"/>
      <c r="K287" s="23"/>
    </row>
    <row r="288" spans="1:11" x14ac:dyDescent="0.25">
      <c r="A288" s="12">
        <v>20</v>
      </c>
      <c r="B288" s="21"/>
      <c r="C288" s="22"/>
      <c r="D288" s="22"/>
      <c r="E288" s="22"/>
      <c r="F288" s="23"/>
      <c r="G288" s="21"/>
      <c r="H288" s="22"/>
      <c r="I288" s="22"/>
      <c r="J288" s="22"/>
      <c r="K288" s="23"/>
    </row>
    <row r="289" spans="1:11" x14ac:dyDescent="0.25">
      <c r="A289" s="12">
        <v>21</v>
      </c>
      <c r="B289" s="21"/>
      <c r="C289" s="22"/>
      <c r="D289" s="22"/>
      <c r="E289" s="22"/>
      <c r="F289" s="23"/>
      <c r="G289" s="21"/>
      <c r="H289" s="22"/>
      <c r="I289" s="22"/>
      <c r="J289" s="22"/>
      <c r="K289" s="23"/>
    </row>
    <row r="290" spans="1:11" x14ac:dyDescent="0.25">
      <c r="A290" s="12">
        <v>22</v>
      </c>
      <c r="B290" s="21"/>
      <c r="C290" s="22"/>
      <c r="D290" s="22"/>
      <c r="E290" s="22"/>
      <c r="F290" s="23"/>
      <c r="G290" s="21"/>
      <c r="H290" s="22"/>
      <c r="I290" s="22"/>
      <c r="J290" s="22"/>
      <c r="K290" s="23"/>
    </row>
    <row r="291" spans="1:11" x14ac:dyDescent="0.25">
      <c r="A291" s="12">
        <v>23</v>
      </c>
      <c r="B291" s="21"/>
      <c r="C291" s="22"/>
      <c r="D291" s="22"/>
      <c r="E291" s="22"/>
      <c r="F291" s="23"/>
      <c r="G291" s="21"/>
      <c r="H291" s="22"/>
      <c r="I291" s="22"/>
      <c r="J291" s="22"/>
      <c r="K291" s="23"/>
    </row>
    <row r="292" spans="1:11" x14ac:dyDescent="0.25">
      <c r="A292" s="12">
        <v>24</v>
      </c>
      <c r="B292" s="21"/>
      <c r="C292" s="22"/>
      <c r="D292" s="22"/>
      <c r="E292" s="22"/>
      <c r="F292" s="23"/>
      <c r="G292" s="21"/>
      <c r="H292" s="22"/>
      <c r="I292" s="22"/>
      <c r="J292" s="22"/>
      <c r="K292" s="23"/>
    </row>
    <row r="293" spans="1:11" x14ac:dyDescent="0.25">
      <c r="A293" s="12">
        <v>25</v>
      </c>
      <c r="B293" s="21"/>
      <c r="C293" s="22"/>
      <c r="D293" s="22"/>
      <c r="E293" s="22"/>
      <c r="F293" s="23"/>
      <c r="G293" s="21"/>
      <c r="H293" s="22"/>
      <c r="I293" s="22"/>
      <c r="J293" s="22"/>
      <c r="K293" s="23"/>
    </row>
    <row r="294" spans="1:11" x14ac:dyDescent="0.25">
      <c r="A294" s="12">
        <v>26</v>
      </c>
      <c r="B294" s="21"/>
      <c r="C294" s="22"/>
      <c r="D294" s="22"/>
      <c r="E294" s="22"/>
      <c r="F294" s="23"/>
      <c r="G294" s="21"/>
      <c r="H294" s="22"/>
      <c r="I294" s="22"/>
      <c r="J294" s="22"/>
      <c r="K294" s="23"/>
    </row>
    <row r="295" spans="1:11" x14ac:dyDescent="0.25">
      <c r="A295" s="12">
        <v>27</v>
      </c>
      <c r="B295" s="21"/>
      <c r="C295" s="22"/>
      <c r="D295" s="22"/>
      <c r="E295" s="22"/>
      <c r="F295" s="23"/>
      <c r="G295" s="21"/>
      <c r="H295" s="22"/>
      <c r="I295" s="22"/>
      <c r="J295" s="22"/>
      <c r="K295" s="23"/>
    </row>
    <row r="296" spans="1:11" x14ac:dyDescent="0.25">
      <c r="A296" s="12">
        <v>28</v>
      </c>
      <c r="B296" s="21"/>
      <c r="C296" s="22"/>
      <c r="D296" s="22"/>
      <c r="E296" s="22"/>
      <c r="F296" s="23"/>
      <c r="G296" s="21"/>
      <c r="H296" s="22"/>
      <c r="I296" s="22"/>
      <c r="J296" s="22"/>
      <c r="K296" s="23"/>
    </row>
    <row r="297" spans="1:11" x14ac:dyDescent="0.25">
      <c r="A297" s="12">
        <v>29</v>
      </c>
      <c r="B297" s="21"/>
      <c r="C297" s="22"/>
      <c r="D297" s="22"/>
      <c r="E297" s="22"/>
      <c r="F297" s="23"/>
      <c r="G297" s="21"/>
      <c r="H297" s="22"/>
      <c r="I297" s="22"/>
      <c r="J297" s="22"/>
      <c r="K297" s="23"/>
    </row>
    <row r="298" spans="1:11" x14ac:dyDescent="0.25">
      <c r="A298" s="12">
        <v>30</v>
      </c>
      <c r="B298" s="21"/>
      <c r="C298" s="22"/>
      <c r="D298" s="22"/>
      <c r="E298" s="22"/>
      <c r="F298" s="23"/>
      <c r="G298" s="21"/>
      <c r="H298" s="22"/>
      <c r="I298" s="22"/>
      <c r="J298" s="22"/>
      <c r="K298" s="23"/>
    </row>
    <row r="299" spans="1:11" x14ac:dyDescent="0.25">
      <c r="A299" s="12">
        <v>31</v>
      </c>
      <c r="B299" s="21"/>
      <c r="C299" s="22"/>
      <c r="D299" s="22"/>
      <c r="E299" s="22"/>
      <c r="F299" s="23"/>
      <c r="G299" s="21"/>
      <c r="H299" s="22"/>
      <c r="I299" s="22"/>
      <c r="J299" s="22"/>
      <c r="K299" s="23"/>
    </row>
    <row r="300" spans="1:11" x14ac:dyDescent="0.25">
      <c r="A300" s="12">
        <v>32</v>
      </c>
      <c r="B300" s="21"/>
      <c r="C300" s="22"/>
      <c r="D300" s="22"/>
      <c r="E300" s="22"/>
      <c r="F300" s="23"/>
      <c r="G300" s="21"/>
      <c r="H300" s="22"/>
      <c r="I300" s="22"/>
      <c r="J300" s="22"/>
      <c r="K300" s="23"/>
    </row>
    <row r="301" spans="1:11" x14ac:dyDescent="0.25">
      <c r="A301" s="12">
        <v>33</v>
      </c>
      <c r="B301" s="21"/>
      <c r="C301" s="22"/>
      <c r="D301" s="22"/>
      <c r="E301" s="22"/>
      <c r="F301" s="23"/>
      <c r="G301" s="21"/>
      <c r="H301" s="22"/>
      <c r="I301" s="22"/>
      <c r="J301" s="22"/>
      <c r="K301" s="23"/>
    </row>
    <row r="302" spans="1:11" x14ac:dyDescent="0.25">
      <c r="A302" s="12">
        <v>34</v>
      </c>
      <c r="B302" s="21"/>
      <c r="C302" s="22"/>
      <c r="D302" s="22"/>
      <c r="E302" s="22"/>
      <c r="F302" s="23"/>
      <c r="G302" s="21"/>
      <c r="H302" s="22"/>
      <c r="I302" s="22"/>
      <c r="J302" s="22"/>
      <c r="K302" s="23"/>
    </row>
    <row r="303" spans="1:11" x14ac:dyDescent="0.25">
      <c r="A303" s="12">
        <v>35</v>
      </c>
      <c r="B303" s="21"/>
      <c r="C303" s="22"/>
      <c r="D303" s="22"/>
      <c r="E303" s="22"/>
      <c r="F303" s="23"/>
      <c r="G303" s="21"/>
      <c r="H303" s="22"/>
      <c r="I303" s="22"/>
      <c r="J303" s="22"/>
      <c r="K303" s="23"/>
    </row>
    <row r="304" spans="1:11" x14ac:dyDescent="0.25">
      <c r="A304" s="12">
        <v>36</v>
      </c>
      <c r="B304" s="21"/>
      <c r="C304" s="22"/>
      <c r="D304" s="22"/>
      <c r="E304" s="22"/>
      <c r="F304" s="23"/>
      <c r="G304" s="21"/>
      <c r="H304" s="22"/>
      <c r="I304" s="22"/>
      <c r="J304" s="22"/>
      <c r="K304" s="23"/>
    </row>
    <row r="305" spans="1:11" x14ac:dyDescent="0.25">
      <c r="A305" s="12">
        <v>37</v>
      </c>
      <c r="B305" s="21"/>
      <c r="C305" s="22"/>
      <c r="D305" s="22"/>
      <c r="E305" s="22"/>
      <c r="F305" s="23"/>
      <c r="G305" s="21"/>
      <c r="H305" s="22"/>
      <c r="I305" s="22"/>
      <c r="J305" s="22"/>
      <c r="K305" s="23"/>
    </row>
    <row r="306" spans="1:11" x14ac:dyDescent="0.25">
      <c r="A306" s="12">
        <v>38</v>
      </c>
      <c r="B306" s="21"/>
      <c r="C306" s="22"/>
      <c r="D306" s="22"/>
      <c r="E306" s="22"/>
      <c r="F306" s="23"/>
      <c r="G306" s="21"/>
      <c r="H306" s="22"/>
      <c r="I306" s="22"/>
      <c r="J306" s="22"/>
      <c r="K306" s="23"/>
    </row>
    <row r="307" spans="1:11" x14ac:dyDescent="0.25">
      <c r="A307" s="12">
        <v>39</v>
      </c>
      <c r="B307" s="21"/>
      <c r="C307" s="22"/>
      <c r="D307" s="22"/>
      <c r="E307" s="22"/>
      <c r="F307" s="23"/>
      <c r="G307" s="21"/>
      <c r="H307" s="22"/>
      <c r="I307" s="22"/>
      <c r="J307" s="22"/>
      <c r="K307" s="23"/>
    </row>
    <row r="308" spans="1:11" ht="15.75" thickBot="1" x14ac:dyDescent="0.3">
      <c r="A308" s="12">
        <v>40</v>
      </c>
      <c r="B308" s="27"/>
      <c r="C308" s="28"/>
      <c r="D308" s="28"/>
      <c r="E308" s="28"/>
      <c r="F308" s="29"/>
      <c r="G308" s="27"/>
      <c r="H308" s="28"/>
      <c r="I308" s="28"/>
      <c r="J308" s="28"/>
      <c r="K308" s="29"/>
    </row>
  </sheetData>
  <mergeCells count="7">
    <mergeCell ref="A267:C267"/>
    <mergeCell ref="A3:C3"/>
    <mergeCell ref="A47:C47"/>
    <mergeCell ref="A91:C91"/>
    <mergeCell ref="A135:C135"/>
    <mergeCell ref="A179:C179"/>
    <mergeCell ref="A223:C2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DD42-1052-4F56-99E2-123D56A0D5A1}">
  <dimension ref="A1:I76"/>
  <sheetViews>
    <sheetView tabSelected="1" workbookViewId="0">
      <selection activeCell="H22" sqref="B15:H22"/>
    </sheetView>
  </sheetViews>
  <sheetFormatPr baseColWidth="10" defaultRowHeight="15" x14ac:dyDescent="0.25"/>
  <cols>
    <col min="11" max="11" width="31.140625" customWidth="1"/>
  </cols>
  <sheetData>
    <row r="1" spans="1:9" x14ac:dyDescent="0.25">
      <c r="B1" s="32" t="s">
        <v>73</v>
      </c>
      <c r="C1" s="33" t="s">
        <v>74</v>
      </c>
      <c r="D1" s="34" t="s">
        <v>75</v>
      </c>
      <c r="E1" s="34"/>
      <c r="F1" s="34"/>
      <c r="G1" s="32" t="s">
        <v>76</v>
      </c>
      <c r="H1" s="32" t="s">
        <v>77</v>
      </c>
      <c r="I1" s="5"/>
    </row>
    <row r="2" spans="1:9" x14ac:dyDescent="0.25">
      <c r="B2" s="35" t="s">
        <v>78</v>
      </c>
      <c r="C2" s="35">
        <v>1</v>
      </c>
      <c r="D2" s="36" t="s">
        <v>79</v>
      </c>
      <c r="E2" s="36"/>
      <c r="F2" s="36"/>
      <c r="G2" s="37"/>
      <c r="H2" s="37"/>
      <c r="I2" s="5"/>
    </row>
    <row r="3" spans="1:9" x14ac:dyDescent="0.25">
      <c r="B3" s="35" t="s">
        <v>80</v>
      </c>
      <c r="C3" s="35">
        <v>1.5</v>
      </c>
      <c r="D3" s="36" t="s">
        <v>81</v>
      </c>
      <c r="E3" s="36"/>
      <c r="F3" s="36"/>
      <c r="G3" s="37"/>
      <c r="H3" s="38" t="s">
        <v>82</v>
      </c>
      <c r="I3" s="5"/>
    </row>
    <row r="4" spans="1:9" x14ac:dyDescent="0.25">
      <c r="B4" s="35" t="s">
        <v>83</v>
      </c>
      <c r="C4" s="35">
        <v>2</v>
      </c>
      <c r="D4" s="36" t="s">
        <v>84</v>
      </c>
      <c r="E4" s="36"/>
      <c r="F4" s="36"/>
      <c r="G4" s="35" t="s">
        <v>85</v>
      </c>
      <c r="H4" s="37"/>
      <c r="I4" s="5"/>
    </row>
    <row r="5" spans="1:9" ht="18" x14ac:dyDescent="0.25">
      <c r="B5" s="39" t="s">
        <v>97</v>
      </c>
      <c r="C5" s="39">
        <v>5</v>
      </c>
      <c r="D5" s="40" t="s">
        <v>98</v>
      </c>
      <c r="E5" s="40"/>
      <c r="F5" s="40"/>
      <c r="G5" s="41" t="s">
        <v>99</v>
      </c>
      <c r="H5" s="42" t="s">
        <v>100</v>
      </c>
      <c r="I5" s="5"/>
    </row>
    <row r="6" spans="1:9" x14ac:dyDescent="0.25">
      <c r="B6" s="39" t="s">
        <v>101</v>
      </c>
      <c r="C6" s="39">
        <v>10</v>
      </c>
      <c r="D6" s="43" t="s">
        <v>102</v>
      </c>
      <c r="E6" s="43"/>
      <c r="F6" s="43"/>
      <c r="G6" s="44" t="s">
        <v>103</v>
      </c>
      <c r="H6" s="37"/>
      <c r="I6" s="5"/>
    </row>
    <row r="7" spans="1:9" x14ac:dyDescent="0.25">
      <c r="B7" s="45" t="s">
        <v>104</v>
      </c>
      <c r="C7" s="46">
        <v>25</v>
      </c>
      <c r="D7" s="36" t="s">
        <v>105</v>
      </c>
      <c r="E7" s="36"/>
      <c r="F7" s="36"/>
      <c r="G7" s="45" t="s">
        <v>106</v>
      </c>
      <c r="H7" s="37"/>
      <c r="I7" s="5"/>
    </row>
    <row r="8" spans="1:9" x14ac:dyDescent="0.25">
      <c r="B8" s="45" t="s">
        <v>108</v>
      </c>
      <c r="C8" s="45">
        <v>25</v>
      </c>
      <c r="D8" s="43" t="s">
        <v>109</v>
      </c>
      <c r="E8" s="43"/>
      <c r="F8" s="43"/>
      <c r="G8" s="45" t="s">
        <v>110</v>
      </c>
      <c r="H8" s="37"/>
      <c r="I8" s="5"/>
    </row>
    <row r="9" spans="1:9" x14ac:dyDescent="0.25">
      <c r="B9" s="47" t="s">
        <v>111</v>
      </c>
      <c r="C9" s="47">
        <v>30</v>
      </c>
      <c r="D9" s="43" t="s">
        <v>112</v>
      </c>
      <c r="E9" s="43"/>
      <c r="F9" s="43"/>
      <c r="G9" s="47" t="s">
        <v>113</v>
      </c>
      <c r="H9" s="37"/>
      <c r="I9" s="5"/>
    </row>
    <row r="10" spans="1:9" x14ac:dyDescent="0.25">
      <c r="B10" s="47" t="s">
        <v>114</v>
      </c>
      <c r="C10" s="47">
        <v>35</v>
      </c>
      <c r="D10" s="43" t="s">
        <v>115</v>
      </c>
      <c r="E10" s="43"/>
      <c r="F10" s="43"/>
      <c r="G10" s="37"/>
      <c r="H10" s="37"/>
      <c r="I10" s="5"/>
    </row>
    <row r="11" spans="1:9" x14ac:dyDescent="0.25">
      <c r="B11" s="48" t="s">
        <v>116</v>
      </c>
      <c r="C11" s="49">
        <v>40</v>
      </c>
      <c r="D11" s="43" t="s">
        <v>117</v>
      </c>
      <c r="E11" s="43"/>
      <c r="F11" s="43"/>
      <c r="G11" s="37"/>
      <c r="H11" s="49" t="s">
        <v>118</v>
      </c>
      <c r="I11" s="5"/>
    </row>
    <row r="12" spans="1:9" x14ac:dyDescent="0.25">
      <c r="B12" s="24"/>
      <c r="C12" s="24"/>
      <c r="D12" s="24"/>
      <c r="E12" s="24"/>
      <c r="F12" s="24"/>
      <c r="G12" s="24"/>
      <c r="H12" s="24"/>
      <c r="I12" s="5"/>
    </row>
    <row r="13" spans="1:9" x14ac:dyDescent="0.25">
      <c r="B13" s="50" t="s">
        <v>119</v>
      </c>
      <c r="C13" s="50" t="s">
        <v>120</v>
      </c>
      <c r="D13" s="50" t="s">
        <v>6</v>
      </c>
      <c r="E13" s="50" t="s">
        <v>121</v>
      </c>
      <c r="F13" s="50" t="s">
        <v>122</v>
      </c>
      <c r="G13" s="50" t="s">
        <v>10</v>
      </c>
      <c r="H13" s="50" t="s">
        <v>123</v>
      </c>
    </row>
    <row r="14" spans="1:9" x14ac:dyDescent="0.25">
      <c r="A14">
        <v>1</v>
      </c>
      <c r="B14" s="51">
        <v>45992</v>
      </c>
      <c r="C14" s="37" t="s">
        <v>124</v>
      </c>
      <c r="D14" s="37">
        <v>3860</v>
      </c>
      <c r="E14" s="37">
        <v>72</v>
      </c>
      <c r="F14" s="37" t="s">
        <v>125</v>
      </c>
      <c r="G14" s="37" t="s">
        <v>15</v>
      </c>
      <c r="H14" s="37">
        <v>1.5</v>
      </c>
      <c r="I14" s="5"/>
    </row>
    <row r="15" spans="1:9" x14ac:dyDescent="0.25">
      <c r="A15">
        <v>2</v>
      </c>
      <c r="B15" s="51"/>
      <c r="C15" s="37"/>
      <c r="D15" s="37"/>
      <c r="E15" s="37"/>
      <c r="F15" s="37"/>
      <c r="G15" s="37"/>
      <c r="H15" s="37"/>
      <c r="I15" s="5"/>
    </row>
    <row r="16" spans="1:9" x14ac:dyDescent="0.25">
      <c r="A16">
        <v>3</v>
      </c>
      <c r="B16" s="51"/>
      <c r="C16" s="37"/>
      <c r="D16" s="37"/>
      <c r="E16" s="37"/>
      <c r="F16" s="37"/>
      <c r="G16" s="37"/>
      <c r="H16" s="37"/>
      <c r="I16" s="5"/>
    </row>
    <row r="17" spans="1:9" x14ac:dyDescent="0.25">
      <c r="A17">
        <v>4</v>
      </c>
      <c r="B17" s="51"/>
      <c r="C17" s="37"/>
      <c r="D17" s="37"/>
      <c r="E17" s="37"/>
      <c r="F17" s="37"/>
      <c r="G17" s="37"/>
      <c r="H17" s="37"/>
      <c r="I17" s="5"/>
    </row>
    <row r="18" spans="1:9" x14ac:dyDescent="0.25">
      <c r="A18">
        <v>5</v>
      </c>
      <c r="B18" s="51"/>
      <c r="C18" s="37"/>
      <c r="D18" s="37"/>
      <c r="E18" s="37"/>
      <c r="F18" s="37"/>
      <c r="G18" s="37"/>
      <c r="H18" s="37"/>
      <c r="I18" s="5"/>
    </row>
    <row r="19" spans="1:9" x14ac:dyDescent="0.25">
      <c r="A19">
        <v>6</v>
      </c>
      <c r="B19" s="51"/>
      <c r="C19" s="37"/>
      <c r="D19" s="37"/>
      <c r="E19" s="37"/>
      <c r="F19" s="37"/>
      <c r="G19" s="37"/>
      <c r="H19" s="37"/>
      <c r="I19" s="5"/>
    </row>
    <row r="20" spans="1:9" x14ac:dyDescent="0.25">
      <c r="A20">
        <v>7</v>
      </c>
      <c r="B20" s="51"/>
      <c r="C20" s="37"/>
      <c r="D20" s="37"/>
      <c r="E20" s="37"/>
      <c r="F20" s="37"/>
      <c r="G20" s="37"/>
      <c r="H20" s="37"/>
      <c r="I20" s="5"/>
    </row>
    <row r="21" spans="1:9" x14ac:dyDescent="0.25">
      <c r="A21">
        <v>8</v>
      </c>
      <c r="B21" s="51"/>
      <c r="C21" s="37"/>
      <c r="D21" s="37"/>
      <c r="E21" s="37"/>
      <c r="F21" s="37"/>
      <c r="G21" s="37"/>
      <c r="H21" s="37"/>
      <c r="I21" s="5"/>
    </row>
    <row r="22" spans="1:9" x14ac:dyDescent="0.25">
      <c r="A22">
        <v>9</v>
      </c>
      <c r="B22" s="51"/>
      <c r="C22" s="37"/>
      <c r="D22" s="37"/>
      <c r="E22" s="37"/>
      <c r="F22" s="37"/>
      <c r="G22" s="37"/>
      <c r="H22" s="37"/>
      <c r="I22" s="5"/>
    </row>
    <row r="23" spans="1:9" x14ac:dyDescent="0.25">
      <c r="A23">
        <v>10</v>
      </c>
      <c r="B23" s="51"/>
      <c r="C23" s="37"/>
      <c r="D23" s="37"/>
      <c r="E23" s="37"/>
      <c r="F23" s="37"/>
      <c r="G23" s="37"/>
      <c r="H23" s="37"/>
      <c r="I23" s="5"/>
    </row>
    <row r="24" spans="1:9" x14ac:dyDescent="0.25">
      <c r="A24">
        <v>11</v>
      </c>
      <c r="B24" s="51"/>
      <c r="C24" s="37"/>
      <c r="D24" s="37"/>
      <c r="E24" s="37"/>
      <c r="F24" s="37"/>
      <c r="G24" s="37"/>
      <c r="H24" s="37"/>
      <c r="I24" s="5"/>
    </row>
    <row r="25" spans="1:9" x14ac:dyDescent="0.25">
      <c r="A25">
        <v>12</v>
      </c>
      <c r="B25" s="51"/>
      <c r="C25" s="37"/>
      <c r="D25" s="37"/>
      <c r="E25" s="37"/>
      <c r="F25" s="37"/>
      <c r="G25" s="37"/>
      <c r="H25" s="37"/>
      <c r="I25" s="5"/>
    </row>
    <row r="26" spans="1:9" x14ac:dyDescent="0.25">
      <c r="A26">
        <v>13</v>
      </c>
      <c r="B26" s="51"/>
      <c r="C26" s="37"/>
      <c r="D26" s="37"/>
      <c r="E26" s="37"/>
      <c r="F26" s="37"/>
      <c r="G26" s="37"/>
      <c r="H26" s="37"/>
      <c r="I26" s="5"/>
    </row>
    <row r="27" spans="1:9" x14ac:dyDescent="0.25">
      <c r="A27">
        <v>14</v>
      </c>
      <c r="B27" s="51"/>
      <c r="C27" s="37"/>
      <c r="D27" s="37"/>
      <c r="E27" s="37"/>
      <c r="F27" s="37"/>
      <c r="G27" s="37"/>
      <c r="H27" s="37"/>
      <c r="I27" s="5"/>
    </row>
    <row r="28" spans="1:9" x14ac:dyDescent="0.25">
      <c r="A28">
        <v>15</v>
      </c>
      <c r="B28" s="51"/>
      <c r="C28" s="37"/>
      <c r="D28" s="37"/>
      <c r="E28" s="37"/>
      <c r="F28" s="37"/>
      <c r="G28" s="37"/>
      <c r="H28" s="37"/>
      <c r="I28" s="5"/>
    </row>
    <row r="29" spans="1:9" x14ac:dyDescent="0.25">
      <c r="A29">
        <v>16</v>
      </c>
      <c r="B29" s="51"/>
      <c r="C29" s="37"/>
      <c r="D29" s="37"/>
      <c r="E29" s="37"/>
      <c r="F29" s="37"/>
      <c r="G29" s="37"/>
      <c r="H29" s="37"/>
      <c r="I29" s="5"/>
    </row>
    <row r="30" spans="1:9" x14ac:dyDescent="0.25">
      <c r="A30">
        <v>17</v>
      </c>
      <c r="B30" s="51"/>
      <c r="C30" s="37"/>
      <c r="D30" s="37"/>
      <c r="E30" s="37"/>
      <c r="F30" s="37"/>
      <c r="G30" s="37"/>
      <c r="H30" s="37"/>
      <c r="I30" s="5"/>
    </row>
    <row r="31" spans="1:9" x14ac:dyDescent="0.25">
      <c r="A31">
        <v>18</v>
      </c>
      <c r="B31" s="51"/>
      <c r="C31" s="37"/>
      <c r="D31" s="37"/>
      <c r="E31" s="37"/>
      <c r="F31" s="37"/>
      <c r="G31" s="37"/>
      <c r="H31" s="37"/>
      <c r="I31" s="5"/>
    </row>
    <row r="32" spans="1:9" x14ac:dyDescent="0.25">
      <c r="A32">
        <v>19</v>
      </c>
      <c r="B32" s="51"/>
      <c r="C32" s="37"/>
      <c r="D32" s="37"/>
      <c r="E32" s="37"/>
      <c r="F32" s="37"/>
      <c r="G32" s="37"/>
      <c r="H32" s="37"/>
      <c r="I32" s="5"/>
    </row>
    <row r="33" spans="1:9" x14ac:dyDescent="0.25">
      <c r="A33">
        <v>20</v>
      </c>
      <c r="B33" s="51"/>
      <c r="C33" s="37"/>
      <c r="D33" s="37"/>
      <c r="E33" s="37"/>
      <c r="F33" s="37"/>
      <c r="G33" s="37"/>
      <c r="H33" s="37"/>
      <c r="I33" s="5"/>
    </row>
    <row r="34" spans="1:9" x14ac:dyDescent="0.25">
      <c r="A34">
        <v>21</v>
      </c>
      <c r="B34" s="51"/>
      <c r="C34" s="37"/>
      <c r="D34" s="37"/>
      <c r="E34" s="37"/>
      <c r="F34" s="37"/>
      <c r="G34" s="37"/>
      <c r="H34" s="37"/>
      <c r="I34" s="5"/>
    </row>
    <row r="35" spans="1:9" x14ac:dyDescent="0.25">
      <c r="A35">
        <v>22</v>
      </c>
      <c r="B35" s="51"/>
      <c r="C35" s="37"/>
      <c r="D35" s="37"/>
      <c r="E35" s="37"/>
      <c r="F35" s="37"/>
      <c r="G35" s="37"/>
      <c r="H35" s="37"/>
      <c r="I35" s="5"/>
    </row>
    <row r="36" spans="1:9" x14ac:dyDescent="0.25">
      <c r="A36">
        <v>23</v>
      </c>
      <c r="B36" s="51"/>
      <c r="C36" s="37"/>
      <c r="D36" s="37"/>
      <c r="E36" s="37"/>
      <c r="F36" s="37"/>
      <c r="G36" s="37"/>
      <c r="H36" s="37"/>
      <c r="I36" s="5"/>
    </row>
    <row r="37" spans="1:9" x14ac:dyDescent="0.25">
      <c r="A37">
        <v>24</v>
      </c>
      <c r="B37" s="51"/>
      <c r="C37" s="37"/>
      <c r="D37" s="37"/>
      <c r="E37" s="37"/>
      <c r="F37" s="37"/>
      <c r="G37" s="37"/>
      <c r="H37" s="37"/>
      <c r="I37" s="5"/>
    </row>
    <row r="38" spans="1:9" ht="15.75" thickBot="1" x14ac:dyDescent="0.3">
      <c r="A38">
        <v>25</v>
      </c>
      <c r="B38" s="52"/>
      <c r="C38" s="53"/>
      <c r="D38" s="53"/>
      <c r="E38" s="53"/>
      <c r="F38" s="53"/>
      <c r="G38" s="53"/>
      <c r="H38" s="53"/>
      <c r="I38" s="5"/>
    </row>
    <row r="39" spans="1:9" x14ac:dyDescent="0.25">
      <c r="A39">
        <v>1</v>
      </c>
      <c r="B39" s="54"/>
      <c r="C39" s="55"/>
      <c r="D39" s="55"/>
      <c r="E39" s="55"/>
      <c r="F39" s="55"/>
      <c r="G39" s="55"/>
      <c r="H39" s="56"/>
      <c r="I39" s="5"/>
    </row>
    <row r="40" spans="1:9" x14ac:dyDescent="0.25">
      <c r="A40">
        <v>2</v>
      </c>
      <c r="B40" s="57"/>
      <c r="C40" s="58"/>
      <c r="D40" s="58"/>
      <c r="E40" s="58"/>
      <c r="F40" s="58"/>
      <c r="G40" s="58"/>
      <c r="H40" s="59"/>
      <c r="I40" s="5"/>
    </row>
    <row r="41" spans="1:9" x14ac:dyDescent="0.25">
      <c r="A41">
        <v>3</v>
      </c>
      <c r="B41" s="57"/>
      <c r="C41" s="58"/>
      <c r="D41" s="58"/>
      <c r="E41" s="58"/>
      <c r="F41" s="58"/>
      <c r="G41" s="58"/>
      <c r="H41" s="59"/>
      <c r="I41" s="5"/>
    </row>
    <row r="42" spans="1:9" x14ac:dyDescent="0.25">
      <c r="A42">
        <v>4</v>
      </c>
      <c r="B42" s="57"/>
      <c r="C42" s="58"/>
      <c r="D42" s="58"/>
      <c r="E42" s="58"/>
      <c r="F42" s="58"/>
      <c r="G42" s="58"/>
      <c r="H42" s="59"/>
      <c r="I42" s="5"/>
    </row>
    <row r="43" spans="1:9" x14ac:dyDescent="0.25">
      <c r="A43">
        <v>5</v>
      </c>
      <c r="B43" s="57"/>
      <c r="C43" s="58"/>
      <c r="D43" s="58"/>
      <c r="E43" s="58"/>
      <c r="F43" s="58"/>
      <c r="G43" s="58"/>
      <c r="H43" s="59"/>
      <c r="I43" s="5"/>
    </row>
    <row r="44" spans="1:9" x14ac:dyDescent="0.25">
      <c r="A44">
        <v>6</v>
      </c>
      <c r="B44" s="57"/>
      <c r="C44" s="58"/>
      <c r="D44" s="58"/>
      <c r="E44" s="58"/>
      <c r="F44" s="58"/>
      <c r="G44" s="58"/>
      <c r="H44" s="59"/>
      <c r="I44" s="5"/>
    </row>
    <row r="45" spans="1:9" x14ac:dyDescent="0.25">
      <c r="A45">
        <v>7</v>
      </c>
      <c r="B45" s="57"/>
      <c r="C45" s="58"/>
      <c r="D45" s="58"/>
      <c r="E45" s="58"/>
      <c r="F45" s="58"/>
      <c r="G45" s="58"/>
      <c r="H45" s="59"/>
      <c r="I45" s="5"/>
    </row>
    <row r="46" spans="1:9" x14ac:dyDescent="0.25">
      <c r="A46">
        <v>8</v>
      </c>
      <c r="B46" s="57"/>
      <c r="C46" s="58"/>
      <c r="D46" s="58"/>
      <c r="E46" s="58"/>
      <c r="F46" s="58"/>
      <c r="G46" s="58"/>
      <c r="H46" s="59"/>
      <c r="I46" s="5"/>
    </row>
    <row r="47" spans="1:9" x14ac:dyDescent="0.25">
      <c r="A47">
        <v>9</v>
      </c>
      <c r="B47" s="57"/>
      <c r="C47" s="58"/>
      <c r="D47" s="58"/>
      <c r="E47" s="58"/>
      <c r="F47" s="58"/>
      <c r="G47" s="58"/>
      <c r="H47" s="59"/>
      <c r="I47" s="5"/>
    </row>
    <row r="48" spans="1:9" x14ac:dyDescent="0.25">
      <c r="A48">
        <v>10</v>
      </c>
      <c r="B48" s="57"/>
      <c r="C48" s="58"/>
      <c r="D48" s="58"/>
      <c r="E48" s="58"/>
      <c r="F48" s="58"/>
      <c r="G48" s="58"/>
      <c r="H48" s="59"/>
      <c r="I48" s="5"/>
    </row>
    <row r="49" spans="1:9" x14ac:dyDescent="0.25">
      <c r="A49">
        <v>11</v>
      </c>
      <c r="B49" s="57"/>
      <c r="C49" s="58"/>
      <c r="D49" s="58"/>
      <c r="E49" s="58"/>
      <c r="F49" s="58"/>
      <c r="G49" s="58"/>
      <c r="H49" s="59"/>
      <c r="I49" s="5"/>
    </row>
    <row r="50" spans="1:9" x14ac:dyDescent="0.25">
      <c r="A50">
        <v>12</v>
      </c>
      <c r="B50" s="57"/>
      <c r="C50" s="58"/>
      <c r="D50" s="58"/>
      <c r="E50" s="58"/>
      <c r="F50" s="58"/>
      <c r="G50" s="58"/>
      <c r="H50" s="59"/>
      <c r="I50" s="5"/>
    </row>
    <row r="51" spans="1:9" x14ac:dyDescent="0.25">
      <c r="A51">
        <v>13</v>
      </c>
      <c r="B51" s="57"/>
      <c r="C51" s="58"/>
      <c r="D51" s="58"/>
      <c r="E51" s="58"/>
      <c r="F51" s="58"/>
      <c r="G51" s="58"/>
      <c r="H51" s="59"/>
      <c r="I51" s="5"/>
    </row>
    <row r="52" spans="1:9" x14ac:dyDescent="0.25">
      <c r="A52">
        <v>14</v>
      </c>
      <c r="B52" s="57"/>
      <c r="C52" s="58"/>
      <c r="D52" s="58"/>
      <c r="E52" s="58"/>
      <c r="F52" s="58"/>
      <c r="G52" s="58"/>
      <c r="H52" s="59"/>
      <c r="I52" s="5"/>
    </row>
    <row r="53" spans="1:9" x14ac:dyDescent="0.25">
      <c r="A53">
        <v>15</v>
      </c>
      <c r="B53" s="57"/>
      <c r="C53" s="58"/>
      <c r="D53" s="58"/>
      <c r="E53" s="58"/>
      <c r="F53" s="58"/>
      <c r="G53" s="58"/>
      <c r="H53" s="59"/>
      <c r="I53" s="5"/>
    </row>
    <row r="54" spans="1:9" x14ac:dyDescent="0.25">
      <c r="A54">
        <v>16</v>
      </c>
      <c r="B54" s="57"/>
      <c r="C54" s="58"/>
      <c r="D54" s="58"/>
      <c r="E54" s="58"/>
      <c r="F54" s="58"/>
      <c r="G54" s="58"/>
      <c r="H54" s="59"/>
      <c r="I54" s="5"/>
    </row>
    <row r="55" spans="1:9" x14ac:dyDescent="0.25">
      <c r="A55">
        <v>17</v>
      </c>
      <c r="B55" s="57"/>
      <c r="C55" s="58"/>
      <c r="D55" s="58"/>
      <c r="E55" s="58"/>
      <c r="F55" s="58"/>
      <c r="G55" s="58"/>
      <c r="H55" s="59"/>
      <c r="I55" s="5"/>
    </row>
    <row r="56" spans="1:9" x14ac:dyDescent="0.25">
      <c r="A56">
        <v>18</v>
      </c>
      <c r="B56" s="57"/>
      <c r="C56" s="58"/>
      <c r="D56" s="58"/>
      <c r="E56" s="58"/>
      <c r="F56" s="58"/>
      <c r="G56" s="58"/>
      <c r="H56" s="59"/>
      <c r="I56" s="5"/>
    </row>
    <row r="57" spans="1:9" x14ac:dyDescent="0.25">
      <c r="A57">
        <v>19</v>
      </c>
      <c r="B57" s="57"/>
      <c r="C57" s="58"/>
      <c r="D57" s="58"/>
      <c r="E57" s="58"/>
      <c r="F57" s="58"/>
      <c r="G57" s="58"/>
      <c r="H57" s="59"/>
      <c r="I57" s="5"/>
    </row>
    <row r="58" spans="1:9" ht="15.75" thickBot="1" x14ac:dyDescent="0.3">
      <c r="A58">
        <v>20</v>
      </c>
      <c r="B58" s="60"/>
      <c r="C58" s="61"/>
      <c r="D58" s="61"/>
      <c r="E58" s="61"/>
      <c r="F58" s="61"/>
      <c r="G58" s="61"/>
      <c r="H58" s="62"/>
      <c r="I58" s="5"/>
    </row>
    <row r="59" spans="1:9" x14ac:dyDescent="0.25">
      <c r="B59" s="24"/>
      <c r="C59" s="24"/>
      <c r="D59" s="24"/>
      <c r="E59" s="24"/>
      <c r="F59" s="24"/>
      <c r="G59" s="24"/>
      <c r="H59" s="24"/>
      <c r="I59" s="5"/>
    </row>
    <row r="60" spans="1:9" x14ac:dyDescent="0.25">
      <c r="B60" s="49" t="s">
        <v>86</v>
      </c>
      <c r="C60" s="49" t="s">
        <v>87</v>
      </c>
      <c r="D60" s="49" t="s">
        <v>88</v>
      </c>
      <c r="E60" s="49" t="s">
        <v>89</v>
      </c>
      <c r="F60" s="49" t="s">
        <v>90</v>
      </c>
      <c r="G60" s="49" t="s">
        <v>126</v>
      </c>
      <c r="H60" s="24"/>
      <c r="I60" s="5"/>
    </row>
    <row r="61" spans="1:9" x14ac:dyDescent="0.25">
      <c r="A61" s="9" t="s">
        <v>127</v>
      </c>
      <c r="B61" s="37">
        <f>SUMIF(G14:G38,"DP",H14:H38)</f>
        <v>1.5</v>
      </c>
      <c r="C61" s="37">
        <f>SUMIF(G14:G38,"JC",H14:H38)</f>
        <v>0</v>
      </c>
      <c r="D61" s="37">
        <f>SUMIF($G14:$G38,"RB",$H14:$H38)</f>
        <v>0</v>
      </c>
      <c r="E61" s="37">
        <f>SUMIF($G14:$G38,"MS",$H14:$H38)</f>
        <v>0</v>
      </c>
      <c r="F61" s="37">
        <f>SUMIF($G14:$G38,"PC",$H14:$H38)</f>
        <v>0</v>
      </c>
      <c r="G61" s="37">
        <f>SUMIF($G14:$G38,"RC",$H14:$H38)</f>
        <v>0</v>
      </c>
      <c r="H61" s="24"/>
      <c r="I61" s="5"/>
    </row>
    <row r="62" spans="1:9" x14ac:dyDescent="0.25">
      <c r="A62" s="63" t="s">
        <v>107</v>
      </c>
      <c r="B62" s="50">
        <f t="shared" ref="B62:G62" si="0">100-B61</f>
        <v>98.5</v>
      </c>
      <c r="C62" s="50">
        <f t="shared" si="0"/>
        <v>100</v>
      </c>
      <c r="D62" s="50">
        <f>100-D61</f>
        <v>100</v>
      </c>
      <c r="E62" s="50">
        <f t="shared" si="0"/>
        <v>100</v>
      </c>
      <c r="F62" s="50">
        <f t="shared" si="0"/>
        <v>100</v>
      </c>
      <c r="G62" s="50">
        <f t="shared" si="0"/>
        <v>100</v>
      </c>
      <c r="H62" s="24"/>
      <c r="I62" s="5"/>
    </row>
    <row r="63" spans="1:9" x14ac:dyDescent="0.25">
      <c r="A63" s="9"/>
      <c r="B63" s="24"/>
      <c r="C63" s="24"/>
      <c r="D63" s="24"/>
      <c r="E63" s="24"/>
      <c r="F63" s="24"/>
      <c r="G63" s="24"/>
      <c r="H63" s="24"/>
      <c r="I63" s="5"/>
    </row>
    <row r="64" spans="1:9" x14ac:dyDescent="0.25">
      <c r="A64" s="9"/>
      <c r="B64" s="49" t="s">
        <v>91</v>
      </c>
      <c r="C64" s="49" t="s">
        <v>92</v>
      </c>
      <c r="D64" s="49" t="s">
        <v>93</v>
      </c>
      <c r="E64" s="49" t="s">
        <v>94</v>
      </c>
      <c r="F64" s="49" t="s">
        <v>95</v>
      </c>
      <c r="G64" s="49" t="s">
        <v>96</v>
      </c>
      <c r="H64" s="24"/>
      <c r="I64" s="5"/>
    </row>
    <row r="65" spans="1:9" x14ac:dyDescent="0.25">
      <c r="A65" s="9" t="s">
        <v>127</v>
      </c>
      <c r="B65" s="37">
        <f>SUMIF($G14:$G38,"EL",$H14:$H38)</f>
        <v>0</v>
      </c>
      <c r="C65" s="37">
        <f>SUMIF($G14:$G38,"JR",$H14:$H38)</f>
        <v>0</v>
      </c>
      <c r="D65" s="37">
        <f>SUMIF($G14:$G38,"UE",$H14:$H38)</f>
        <v>0</v>
      </c>
      <c r="E65" s="37">
        <f>SUMIF($G14:$G38,"FC",$H14:$H38)</f>
        <v>0</v>
      </c>
      <c r="F65" s="37">
        <f>SUMIF($G14:$G38,"CM",$H14:$H38)</f>
        <v>0</v>
      </c>
      <c r="G65" s="37">
        <f>SUMIF($G14:$G38,"RJ",$H14:$H38)</f>
        <v>0</v>
      </c>
      <c r="H65" s="24"/>
      <c r="I65" s="5"/>
    </row>
    <row r="66" spans="1:9" x14ac:dyDescent="0.25">
      <c r="A66" s="63" t="s">
        <v>107</v>
      </c>
      <c r="B66" s="50">
        <f>100-B65</f>
        <v>100</v>
      </c>
      <c r="C66" s="50">
        <f t="shared" ref="C66:G66" si="1">100-C65</f>
        <v>100</v>
      </c>
      <c r="D66" s="50">
        <f t="shared" si="1"/>
        <v>100</v>
      </c>
      <c r="E66" s="50">
        <f t="shared" si="1"/>
        <v>100</v>
      </c>
      <c r="F66" s="50">
        <f t="shared" si="1"/>
        <v>100</v>
      </c>
      <c r="G66" s="50">
        <f t="shared" si="1"/>
        <v>100</v>
      </c>
      <c r="H66" s="24"/>
      <c r="I66" s="5"/>
    </row>
    <row r="67" spans="1:9" x14ac:dyDescent="0.25">
      <c r="B67" s="24"/>
      <c r="C67" s="24"/>
      <c r="D67" s="24"/>
      <c r="E67" s="24"/>
      <c r="F67" s="24"/>
      <c r="G67" s="24"/>
      <c r="H67" s="24"/>
      <c r="I67" s="5"/>
    </row>
    <row r="68" spans="1:9" x14ac:dyDescent="0.25">
      <c r="B68" s="64" t="str">
        <f t="shared" ref="B68:G68" si="2">B60</f>
        <v>DANIEL</v>
      </c>
      <c r="C68" s="64" t="str">
        <f t="shared" si="2"/>
        <v>J CARLOS</v>
      </c>
      <c r="D68" s="64" t="str">
        <f t="shared" si="2"/>
        <v>ROBERTO</v>
      </c>
      <c r="E68" s="64" t="str">
        <f t="shared" si="2"/>
        <v>MIGUEL</v>
      </c>
      <c r="F68" s="64" t="str">
        <f t="shared" si="2"/>
        <v>PEDRO</v>
      </c>
      <c r="G68" s="64" t="str">
        <f t="shared" si="2"/>
        <v>RODRIGO</v>
      </c>
      <c r="H68" s="24"/>
      <c r="I68" s="5"/>
    </row>
    <row r="69" spans="1:9" x14ac:dyDescent="0.25">
      <c r="A69" s="9" t="s">
        <v>127</v>
      </c>
      <c r="B69" s="37">
        <f>SUMIF(G39:G58,"DP",H39:H58)</f>
        <v>0</v>
      </c>
      <c r="C69" s="37">
        <f>SUMIF(G39:G58,"JC",H39:H58)</f>
        <v>0</v>
      </c>
      <c r="D69" s="37">
        <f>SUMIF($G39:$G58,"RB",$H39:$H58)</f>
        <v>0</v>
      </c>
      <c r="E69" s="37">
        <f>SUMIF($G39:$G58,"MS",$H39:$H58)</f>
        <v>0</v>
      </c>
      <c r="F69" s="37">
        <f>SUMIF($G39:$G58,"PC",$H39:$H58)</f>
        <v>0</v>
      </c>
      <c r="G69" s="37">
        <f>SUMIF($G39:$G58,"RC",$H39:$H58)</f>
        <v>0</v>
      </c>
      <c r="H69" s="24"/>
      <c r="I69" s="5"/>
    </row>
    <row r="70" spans="1:9" x14ac:dyDescent="0.25">
      <c r="A70" s="65" t="s">
        <v>128</v>
      </c>
      <c r="B70" s="50">
        <f t="shared" ref="B70:G70" si="3">100-B69</f>
        <v>100</v>
      </c>
      <c r="C70" s="50">
        <f t="shared" si="3"/>
        <v>100</v>
      </c>
      <c r="D70" s="50">
        <f t="shared" si="3"/>
        <v>100</v>
      </c>
      <c r="E70" s="50">
        <f t="shared" si="3"/>
        <v>100</v>
      </c>
      <c r="F70" s="50">
        <f t="shared" si="3"/>
        <v>100</v>
      </c>
      <c r="G70" s="50">
        <f t="shared" si="3"/>
        <v>100</v>
      </c>
      <c r="H70" s="24"/>
      <c r="I70" s="5"/>
    </row>
    <row r="71" spans="1:9" x14ac:dyDescent="0.25">
      <c r="A71" s="9"/>
      <c r="B71" s="24"/>
      <c r="C71" s="24"/>
      <c r="D71" s="24"/>
      <c r="E71" s="24"/>
      <c r="F71" s="24"/>
      <c r="G71" s="24"/>
      <c r="H71" s="24"/>
      <c r="I71" s="5"/>
    </row>
    <row r="72" spans="1:9" x14ac:dyDescent="0.25">
      <c r="A72" s="9"/>
      <c r="B72" s="64" t="str">
        <f t="shared" ref="B72:G72" si="4">B64</f>
        <v>EDUARDO</v>
      </c>
      <c r="C72" s="64" t="str">
        <f t="shared" si="4"/>
        <v>JESUS</v>
      </c>
      <c r="D72" s="64" t="str">
        <f t="shared" si="4"/>
        <v>UBALDO</v>
      </c>
      <c r="E72" s="64" t="str">
        <f t="shared" si="4"/>
        <v>FRANCISCO</v>
      </c>
      <c r="F72" s="64" t="str">
        <f t="shared" si="4"/>
        <v>CARLOS</v>
      </c>
      <c r="G72" s="64" t="str">
        <f t="shared" si="4"/>
        <v>RAFAEL</v>
      </c>
      <c r="H72" s="24"/>
      <c r="I72" s="5"/>
    </row>
    <row r="73" spans="1:9" x14ac:dyDescent="0.25">
      <c r="A73" s="9" t="s">
        <v>127</v>
      </c>
      <c r="B73" s="37">
        <f>SUMIF($G39:$G58,"EL",$H39:$H58)</f>
        <v>0</v>
      </c>
      <c r="C73" s="37">
        <f>SUMIF($G39:$G58,"JR",$H39:$H58)</f>
        <v>0</v>
      </c>
      <c r="D73" s="37">
        <f>SUMIF($G39:$G58,"UE",$H39:$H58)</f>
        <v>0</v>
      </c>
      <c r="E73" s="37">
        <f>SUMIF($G39:$G58,"FC",$H39:$H58)</f>
        <v>0</v>
      </c>
      <c r="F73" s="37">
        <f>SUMIF($G39:$G58,"CM",$H39:$H58)</f>
        <v>0</v>
      </c>
      <c r="G73" s="37">
        <f>SUMIF($G39:$G58,"RJ",$H39:$H58)</f>
        <v>0</v>
      </c>
      <c r="H73" s="24"/>
      <c r="I73" s="5"/>
    </row>
    <row r="74" spans="1:9" x14ac:dyDescent="0.25">
      <c r="A74" s="65" t="s">
        <v>128</v>
      </c>
      <c r="B74" s="50">
        <f t="shared" ref="B74:G74" si="5">100-B73</f>
        <v>100</v>
      </c>
      <c r="C74" s="50">
        <f t="shared" si="5"/>
        <v>100</v>
      </c>
      <c r="D74" s="50">
        <f t="shared" si="5"/>
        <v>100</v>
      </c>
      <c r="E74" s="50">
        <f t="shared" si="5"/>
        <v>100</v>
      </c>
      <c r="F74" s="50">
        <f t="shared" si="5"/>
        <v>100</v>
      </c>
      <c r="G74" s="50">
        <f t="shared" si="5"/>
        <v>100</v>
      </c>
      <c r="H74" s="24"/>
      <c r="I74" s="5"/>
    </row>
    <row r="75" spans="1:9" x14ac:dyDescent="0.25">
      <c r="B75" s="24"/>
      <c r="C75" s="24"/>
      <c r="D75" s="24"/>
      <c r="E75" s="24"/>
      <c r="F75" s="24"/>
      <c r="G75" s="24"/>
      <c r="H75" s="24"/>
      <c r="I75" s="5"/>
    </row>
    <row r="76" spans="1:9" x14ac:dyDescent="0.25">
      <c r="B76" s="24"/>
      <c r="C76" s="24"/>
      <c r="D76" s="24"/>
      <c r="E76" s="24"/>
      <c r="F76" s="24"/>
      <c r="G76" s="24"/>
      <c r="H76" s="24"/>
      <c r="I76" s="5"/>
    </row>
  </sheetData>
  <mergeCells count="11">
    <mergeCell ref="D10:F10"/>
    <mergeCell ref="D11:F11"/>
    <mergeCell ref="D7:F7"/>
    <mergeCell ref="D8:F8"/>
    <mergeCell ref="D9:F9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Sanchez</dc:creator>
  <cp:lastModifiedBy>Franco Sanchez</cp:lastModifiedBy>
  <dcterms:created xsi:type="dcterms:W3CDTF">2026-02-09T17:50:22Z</dcterms:created>
  <dcterms:modified xsi:type="dcterms:W3CDTF">2026-04-07T19:24:11Z</dcterms:modified>
</cp:coreProperties>
</file>