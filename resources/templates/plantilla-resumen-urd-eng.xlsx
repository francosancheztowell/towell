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amirez\Documents\002_ModelosDB\"/>
    </mc:Choice>
  </mc:AlternateContent>
  <xr:revisionPtr revIDLastSave="0" documentId="8_{B25E55D6-5CFF-49F8-9F5A-5CBC2E616CF5}" xr6:coauthVersionLast="47" xr6:coauthVersionMax="47" xr10:uidLastSave="{00000000-0000-0000-0000-000000000000}"/>
  <bookViews>
    <workbookView xWindow="20370" yWindow="-7965" windowWidth="29040" windowHeight="15720" xr2:uid="{334D5C2B-EE49-4A5A-BFF0-6732B6D5789D}"/>
  </bookViews>
  <sheets>
    <sheet name="GRAE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5" i="1" l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Y231" i="1"/>
  <c r="X231" i="1"/>
  <c r="I231" i="1"/>
  <c r="H231" i="1"/>
  <c r="Y230" i="1"/>
  <c r="X230" i="1"/>
  <c r="I230" i="1"/>
  <c r="H230" i="1"/>
  <c r="Y229" i="1"/>
  <c r="X229" i="1"/>
  <c r="I229" i="1"/>
  <c r="H229" i="1"/>
  <c r="Y228" i="1"/>
  <c r="X228" i="1"/>
  <c r="I228" i="1"/>
  <c r="H228" i="1"/>
  <c r="Y227" i="1"/>
  <c r="X227" i="1"/>
  <c r="I227" i="1"/>
  <c r="H227" i="1"/>
  <c r="Y226" i="1"/>
  <c r="X226" i="1"/>
  <c r="I226" i="1"/>
  <c r="H226" i="1"/>
  <c r="Y225" i="1"/>
  <c r="X225" i="1"/>
  <c r="I225" i="1"/>
  <c r="H225" i="1"/>
  <c r="Y224" i="1"/>
  <c r="X224" i="1"/>
  <c r="I224" i="1"/>
  <c r="H224" i="1"/>
  <c r="Y223" i="1"/>
  <c r="X223" i="1"/>
  <c r="I223" i="1"/>
  <c r="H223" i="1"/>
  <c r="Y222" i="1"/>
  <c r="X222" i="1"/>
  <c r="I222" i="1"/>
  <c r="H222" i="1"/>
  <c r="Y221" i="1"/>
  <c r="X221" i="1"/>
  <c r="I221" i="1"/>
  <c r="H221" i="1"/>
  <c r="Y220" i="1"/>
  <c r="X220" i="1"/>
  <c r="I220" i="1"/>
  <c r="H220" i="1"/>
  <c r="Y219" i="1"/>
  <c r="X219" i="1"/>
  <c r="I219" i="1"/>
  <c r="H219" i="1"/>
  <c r="Y218" i="1"/>
  <c r="X218" i="1"/>
  <c r="I218" i="1"/>
  <c r="H218" i="1"/>
  <c r="Y217" i="1"/>
  <c r="X217" i="1"/>
  <c r="I217" i="1"/>
  <c r="H217" i="1"/>
  <c r="Y216" i="1"/>
  <c r="X216" i="1"/>
  <c r="I216" i="1"/>
  <c r="H216" i="1"/>
  <c r="Y215" i="1"/>
  <c r="X215" i="1"/>
  <c r="I215" i="1"/>
  <c r="H215" i="1"/>
  <c r="Y214" i="1"/>
  <c r="X214" i="1"/>
  <c r="I214" i="1"/>
  <c r="H214" i="1"/>
  <c r="Y213" i="1"/>
  <c r="X213" i="1"/>
  <c r="I213" i="1"/>
  <c r="H213" i="1"/>
  <c r="Y212" i="1"/>
  <c r="X212" i="1"/>
  <c r="I212" i="1"/>
  <c r="H212" i="1"/>
  <c r="Y211" i="1"/>
  <c r="X211" i="1"/>
  <c r="I211" i="1"/>
  <c r="H211" i="1"/>
  <c r="Y210" i="1"/>
  <c r="X210" i="1"/>
  <c r="I210" i="1"/>
  <c r="H210" i="1"/>
  <c r="Y209" i="1"/>
  <c r="X209" i="1"/>
  <c r="I209" i="1"/>
  <c r="H209" i="1"/>
  <c r="Y208" i="1"/>
  <c r="X208" i="1"/>
  <c r="I208" i="1"/>
  <c r="H208" i="1"/>
  <c r="Y207" i="1"/>
  <c r="X207" i="1"/>
  <c r="I207" i="1"/>
  <c r="H207" i="1"/>
  <c r="Y206" i="1"/>
  <c r="X206" i="1"/>
  <c r="I206" i="1"/>
  <c r="H206" i="1"/>
  <c r="Y205" i="1"/>
  <c r="X205" i="1"/>
  <c r="I205" i="1"/>
  <c r="H205" i="1"/>
  <c r="Y204" i="1"/>
  <c r="X204" i="1"/>
  <c r="I204" i="1"/>
  <c r="H204" i="1"/>
  <c r="Y203" i="1"/>
  <c r="X203" i="1"/>
  <c r="I203" i="1"/>
  <c r="H203" i="1"/>
  <c r="Y202" i="1"/>
  <c r="X202" i="1"/>
  <c r="I202" i="1"/>
  <c r="H202" i="1"/>
  <c r="Y201" i="1"/>
  <c r="X201" i="1"/>
  <c r="I201" i="1"/>
  <c r="H201" i="1"/>
  <c r="Y200" i="1"/>
  <c r="X200" i="1"/>
  <c r="I200" i="1"/>
  <c r="H200" i="1"/>
  <c r="Y199" i="1"/>
  <c r="X199" i="1"/>
  <c r="I199" i="1"/>
  <c r="H199" i="1"/>
  <c r="Y198" i="1"/>
  <c r="X198" i="1"/>
  <c r="I198" i="1"/>
  <c r="H198" i="1"/>
  <c r="Y197" i="1"/>
  <c r="X197" i="1"/>
  <c r="I197" i="1"/>
  <c r="H197" i="1"/>
  <c r="Y196" i="1"/>
  <c r="X196" i="1"/>
  <c r="I196" i="1"/>
  <c r="H196" i="1"/>
  <c r="Y195" i="1"/>
  <c r="X195" i="1"/>
  <c r="I195" i="1"/>
  <c r="H195" i="1"/>
  <c r="Y194" i="1"/>
  <c r="X194" i="1"/>
  <c r="I194" i="1"/>
  <c r="H194" i="1"/>
  <c r="Y193" i="1"/>
  <c r="X193" i="1"/>
  <c r="I193" i="1"/>
  <c r="H193" i="1"/>
  <c r="Y192" i="1"/>
  <c r="X192" i="1"/>
  <c r="I192" i="1"/>
  <c r="H192" i="1"/>
  <c r="Y191" i="1"/>
  <c r="X191" i="1"/>
  <c r="I191" i="1"/>
  <c r="H191" i="1"/>
  <c r="Y190" i="1"/>
  <c r="X190" i="1"/>
  <c r="I190" i="1"/>
  <c r="H190" i="1"/>
  <c r="Y189" i="1"/>
  <c r="X189" i="1"/>
  <c r="I189" i="1"/>
  <c r="H189" i="1"/>
  <c r="Y188" i="1"/>
  <c r="X188" i="1"/>
  <c r="I188" i="1"/>
  <c r="H188" i="1"/>
  <c r="Y187" i="1"/>
  <c r="X187" i="1"/>
  <c r="I187" i="1"/>
  <c r="H187" i="1"/>
  <c r="Y186" i="1"/>
  <c r="X186" i="1"/>
  <c r="I186" i="1"/>
  <c r="H186" i="1"/>
  <c r="Y185" i="1"/>
  <c r="X185" i="1"/>
  <c r="I185" i="1"/>
  <c r="H185" i="1"/>
  <c r="Y184" i="1"/>
  <c r="X184" i="1"/>
  <c r="I184" i="1"/>
  <c r="H184" i="1"/>
  <c r="Y183" i="1"/>
  <c r="X183" i="1"/>
  <c r="I183" i="1"/>
  <c r="H183" i="1"/>
  <c r="Y182" i="1"/>
  <c r="X182" i="1"/>
  <c r="I182" i="1"/>
  <c r="H182" i="1"/>
  <c r="Y181" i="1"/>
  <c r="X181" i="1"/>
  <c r="I181" i="1"/>
  <c r="H181" i="1"/>
  <c r="Y180" i="1"/>
  <c r="X180" i="1"/>
  <c r="I180" i="1"/>
  <c r="H180" i="1"/>
  <c r="Y179" i="1"/>
  <c r="X179" i="1"/>
  <c r="I179" i="1"/>
  <c r="H179" i="1"/>
  <c r="Y178" i="1"/>
  <c r="X178" i="1"/>
  <c r="I178" i="1"/>
  <c r="H178" i="1"/>
  <c r="Y177" i="1"/>
  <c r="X177" i="1"/>
  <c r="I177" i="1"/>
  <c r="H177" i="1"/>
  <c r="Y176" i="1"/>
  <c r="X176" i="1"/>
  <c r="I176" i="1"/>
  <c r="H176" i="1"/>
  <c r="Y175" i="1"/>
  <c r="X175" i="1"/>
  <c r="I175" i="1"/>
  <c r="H175" i="1"/>
  <c r="Y174" i="1"/>
  <c r="X174" i="1"/>
  <c r="I174" i="1"/>
  <c r="H174" i="1"/>
  <c r="Y173" i="1"/>
  <c r="X173" i="1"/>
  <c r="I173" i="1"/>
  <c r="H173" i="1"/>
  <c r="Y172" i="1"/>
  <c r="X172" i="1"/>
  <c r="I172" i="1"/>
  <c r="H172" i="1"/>
  <c r="Y171" i="1"/>
  <c r="X171" i="1"/>
  <c r="I171" i="1"/>
  <c r="H171" i="1"/>
  <c r="Y170" i="1"/>
  <c r="X170" i="1"/>
  <c r="I170" i="1"/>
  <c r="H170" i="1"/>
  <c r="Y169" i="1"/>
  <c r="X169" i="1"/>
  <c r="I169" i="1"/>
  <c r="H169" i="1"/>
  <c r="Y168" i="1"/>
  <c r="X168" i="1"/>
  <c r="I168" i="1"/>
  <c r="H168" i="1"/>
  <c r="Y167" i="1"/>
  <c r="X167" i="1"/>
  <c r="I167" i="1"/>
  <c r="H167" i="1"/>
  <c r="Y166" i="1"/>
  <c r="X166" i="1"/>
  <c r="I166" i="1"/>
  <c r="H166" i="1"/>
  <c r="Y165" i="1"/>
  <c r="X165" i="1"/>
  <c r="I165" i="1"/>
  <c r="H165" i="1"/>
  <c r="Y164" i="1"/>
  <c r="X164" i="1"/>
  <c r="I164" i="1"/>
  <c r="H164" i="1"/>
  <c r="Y163" i="1"/>
  <c r="X163" i="1"/>
  <c r="I163" i="1"/>
  <c r="H163" i="1"/>
  <c r="Y162" i="1"/>
  <c r="X162" i="1"/>
  <c r="I162" i="1"/>
  <c r="H162" i="1"/>
  <c r="Y161" i="1"/>
  <c r="X161" i="1"/>
  <c r="I161" i="1"/>
  <c r="H161" i="1"/>
  <c r="Y160" i="1"/>
  <c r="X160" i="1"/>
  <c r="I160" i="1"/>
  <c r="H160" i="1"/>
  <c r="Y159" i="1"/>
  <c r="X159" i="1"/>
  <c r="I159" i="1"/>
  <c r="H159" i="1"/>
  <c r="Y158" i="1"/>
  <c r="X158" i="1"/>
  <c r="I158" i="1"/>
  <c r="H158" i="1"/>
  <c r="Y157" i="1"/>
  <c r="X157" i="1"/>
  <c r="I157" i="1"/>
  <c r="H157" i="1"/>
  <c r="Y156" i="1"/>
  <c r="X156" i="1"/>
  <c r="I156" i="1"/>
  <c r="H156" i="1"/>
  <c r="Y155" i="1"/>
  <c r="X155" i="1"/>
  <c r="I155" i="1"/>
  <c r="H155" i="1"/>
  <c r="Y154" i="1"/>
  <c r="X154" i="1"/>
  <c r="I154" i="1"/>
  <c r="H154" i="1"/>
  <c r="Y153" i="1"/>
  <c r="X153" i="1"/>
  <c r="I153" i="1"/>
  <c r="H153" i="1"/>
  <c r="Y152" i="1"/>
  <c r="X152" i="1"/>
  <c r="I152" i="1"/>
  <c r="H152" i="1"/>
  <c r="Y151" i="1"/>
  <c r="X151" i="1"/>
  <c r="I151" i="1"/>
  <c r="H151" i="1"/>
  <c r="Y150" i="1"/>
  <c r="X150" i="1"/>
  <c r="I150" i="1"/>
  <c r="H150" i="1"/>
  <c r="Y149" i="1"/>
  <c r="X149" i="1"/>
  <c r="I149" i="1"/>
  <c r="H149" i="1"/>
  <c r="Y148" i="1"/>
  <c r="X148" i="1"/>
  <c r="I148" i="1"/>
  <c r="H148" i="1"/>
  <c r="Y147" i="1"/>
  <c r="X147" i="1"/>
  <c r="I147" i="1"/>
  <c r="H147" i="1"/>
  <c r="Y146" i="1"/>
  <c r="X146" i="1"/>
  <c r="I146" i="1"/>
  <c r="H146" i="1"/>
  <c r="Y145" i="1"/>
  <c r="X145" i="1"/>
  <c r="I145" i="1"/>
  <c r="H145" i="1"/>
  <c r="Y144" i="1"/>
  <c r="X144" i="1"/>
  <c r="I144" i="1"/>
  <c r="H144" i="1"/>
  <c r="Y143" i="1"/>
  <c r="X143" i="1"/>
  <c r="I143" i="1"/>
  <c r="H143" i="1"/>
  <c r="Y142" i="1"/>
  <c r="X142" i="1"/>
  <c r="I142" i="1"/>
  <c r="H142" i="1"/>
  <c r="Y141" i="1"/>
  <c r="X141" i="1"/>
  <c r="I141" i="1"/>
  <c r="H141" i="1"/>
  <c r="Y140" i="1"/>
  <c r="X140" i="1"/>
  <c r="I140" i="1"/>
  <c r="H140" i="1"/>
  <c r="Y139" i="1"/>
  <c r="X139" i="1"/>
  <c r="I139" i="1"/>
  <c r="H139" i="1"/>
  <c r="Y138" i="1"/>
  <c r="X138" i="1"/>
  <c r="I138" i="1"/>
  <c r="H138" i="1"/>
  <c r="Y137" i="1"/>
  <c r="X137" i="1"/>
  <c r="I137" i="1"/>
  <c r="H137" i="1"/>
  <c r="Y136" i="1"/>
  <c r="X136" i="1"/>
  <c r="I136" i="1"/>
  <c r="H136" i="1"/>
  <c r="Y135" i="1"/>
  <c r="X135" i="1"/>
  <c r="I135" i="1"/>
  <c r="H135" i="1"/>
  <c r="Y134" i="1"/>
  <c r="X134" i="1"/>
  <c r="I134" i="1"/>
  <c r="H134" i="1"/>
  <c r="Y133" i="1"/>
  <c r="X133" i="1"/>
  <c r="I133" i="1"/>
  <c r="H133" i="1"/>
  <c r="Y132" i="1"/>
  <c r="X132" i="1"/>
  <c r="I132" i="1"/>
  <c r="H132" i="1"/>
  <c r="Y131" i="1"/>
  <c r="X131" i="1"/>
  <c r="I131" i="1"/>
  <c r="H131" i="1"/>
  <c r="Y130" i="1"/>
  <c r="X130" i="1"/>
  <c r="I130" i="1"/>
  <c r="H130" i="1"/>
  <c r="Y129" i="1"/>
  <c r="X129" i="1"/>
  <c r="I129" i="1"/>
  <c r="H129" i="1"/>
  <c r="Y128" i="1"/>
  <c r="X128" i="1"/>
  <c r="I128" i="1"/>
  <c r="H128" i="1"/>
  <c r="Y127" i="1"/>
  <c r="X127" i="1"/>
  <c r="I127" i="1"/>
  <c r="H127" i="1"/>
  <c r="Y126" i="1"/>
  <c r="X126" i="1"/>
  <c r="I126" i="1"/>
  <c r="H126" i="1"/>
  <c r="Y125" i="1"/>
  <c r="X125" i="1"/>
  <c r="I125" i="1"/>
  <c r="H125" i="1"/>
  <c r="Y124" i="1"/>
  <c r="X124" i="1"/>
  <c r="I124" i="1"/>
  <c r="H124" i="1"/>
  <c r="Y123" i="1"/>
  <c r="X123" i="1"/>
  <c r="I123" i="1"/>
  <c r="H123" i="1"/>
  <c r="Y122" i="1"/>
  <c r="X122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C237" i="1" l="1"/>
</calcChain>
</file>

<file path=xl/sharedStrings.xml><?xml version="1.0" encoding="utf-8"?>
<sst xmlns="http://schemas.openxmlformats.org/spreadsheetml/2006/main" count="401" uniqueCount="179">
  <si>
    <t>ENGOMADO</t>
  </si>
  <si>
    <t>No. de ORDENES</t>
  </si>
  <si>
    <t>No. de julios</t>
  </si>
  <si>
    <t>KG</t>
  </si>
  <si>
    <t>Metros</t>
  </si>
  <si>
    <t>Peso promedio  por julio</t>
  </si>
  <si>
    <t>Metros promedio por julio</t>
  </si>
  <si>
    <t>Cuenta promedio por julio</t>
  </si>
  <si>
    <t>EFICIENCIA EN %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</si>
  <si>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</si>
  <si>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</si>
  <si>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</si>
  <si>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</si>
  <si>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</si>
  <si>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</si>
  <si>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</si>
  <si>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</si>
  <si>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</si>
  <si>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</si>
  <si>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</si>
  <si>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</si>
  <si>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</si>
  <si>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</si>
  <si>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</si>
  <si>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</si>
  <si>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</si>
  <si>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</si>
  <si>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</si>
  <si>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</si>
  <si>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</si>
  <si>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</si>
  <si>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</si>
  <si>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</si>
  <si>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</si>
  <si>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</si>
  <si>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</si>
  <si>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</si>
  <si>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</si>
  <si>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</si>
  <si>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</si>
  <si>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</si>
  <si>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</si>
  <si>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</si>
  <si>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</si>
  <si>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</si>
  <si>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</si>
  <si>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</si>
  <si>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</si>
  <si>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</si>
  <si>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</si>
  <si>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</si>
  <si>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</si>
  <si>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</si>
  <si>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</si>
  <si>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</si>
  <si>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</si>
  <si>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</si>
  <si>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</si>
  <si>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</si>
  <si>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</si>
  <si>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27</t>
  </si>
  <si>
    <t xml:space="preserve">No. de partidas </t>
  </si>
  <si>
    <t>|</t>
  </si>
  <si>
    <t>SEM 53</t>
  </si>
  <si>
    <t>SEM 01-24</t>
  </si>
  <si>
    <t>SEM 02-24</t>
  </si>
  <si>
    <t>SEM 03-24</t>
  </si>
  <si>
    <t>SEM 04-24</t>
  </si>
  <si>
    <t>SEM 05-24</t>
  </si>
  <si>
    <t>SEM 06-24</t>
  </si>
  <si>
    <t>SEM 07-24</t>
  </si>
  <si>
    <t>SEM 08-24</t>
  </si>
  <si>
    <t>SEM 09-24</t>
  </si>
  <si>
    <t>SEM 10-24</t>
  </si>
  <si>
    <t>SEM 11-24</t>
  </si>
  <si>
    <t>SEM 12-24</t>
  </si>
  <si>
    <t>SEM 13-24</t>
  </si>
  <si>
    <t>SEM 14-24</t>
  </si>
  <si>
    <t>SEM 15-24</t>
  </si>
  <si>
    <t>SEM 16-24</t>
  </si>
  <si>
    <t>SEM 17-24</t>
  </si>
  <si>
    <t>SEM 18-24</t>
  </si>
  <si>
    <t>SEM 19-24</t>
  </si>
  <si>
    <t>SEM 20-24</t>
  </si>
  <si>
    <t>SEM 21-24</t>
  </si>
  <si>
    <t>SEM 22-24</t>
  </si>
  <si>
    <t>SEM 23-24</t>
  </si>
  <si>
    <t>SEM 24-24</t>
  </si>
  <si>
    <t>SEM 25-24</t>
  </si>
  <si>
    <t>SEM 26-24</t>
  </si>
  <si>
    <t>SEM 27-24</t>
  </si>
  <si>
    <t>SEM 28-24</t>
  </si>
  <si>
    <t>SEM 29-24</t>
  </si>
  <si>
    <t>SEM 30-24</t>
  </si>
  <si>
    <t>SEM 31-24</t>
  </si>
  <si>
    <t>SEM 32-24</t>
  </si>
  <si>
    <t>SEM 33-24</t>
  </si>
  <si>
    <t>SEM 34-24</t>
  </si>
  <si>
    <t>SEM 35-24</t>
  </si>
  <si>
    <t>SEM 36-24</t>
  </si>
  <si>
    <t>SEM 37-24</t>
  </si>
  <si>
    <t>SEM 38-24</t>
  </si>
  <si>
    <t>SEM 39-24</t>
  </si>
  <si>
    <t>SEM-40-24</t>
  </si>
  <si>
    <t>SEM-41-24</t>
  </si>
  <si>
    <t>SEM-42-24</t>
  </si>
  <si>
    <t>SEM-43-24</t>
  </si>
  <si>
    <t>SEM-44-24</t>
  </si>
  <si>
    <t>SEM-45-24</t>
  </si>
  <si>
    <t>SEM-46-24</t>
  </si>
  <si>
    <t>SEM-47-24</t>
  </si>
  <si>
    <t>SEM-48-24</t>
  </si>
  <si>
    <t>SEM-49-24</t>
  </si>
  <si>
    <t>SEM-50-24</t>
  </si>
  <si>
    <t>SEM-51-24</t>
  </si>
  <si>
    <t>SEM-52-24</t>
  </si>
  <si>
    <t>SEM-01-25</t>
  </si>
  <si>
    <t>SEM-02-25</t>
  </si>
  <si>
    <t>SEM-03-25</t>
  </si>
  <si>
    <t>SEM-04-25</t>
  </si>
  <si>
    <t>SEM-05-25</t>
  </si>
  <si>
    <t>SEM-06-25</t>
  </si>
  <si>
    <t>SEM-07-25</t>
  </si>
  <si>
    <t>SEM-08-25</t>
  </si>
  <si>
    <t>SEM-09-25</t>
  </si>
  <si>
    <t>SEM-10-25</t>
  </si>
  <si>
    <t>SEM-11-25</t>
  </si>
  <si>
    <t>SEM-12-25</t>
  </si>
  <si>
    <t>SEM-13-25</t>
  </si>
  <si>
    <t>SEM-14-25</t>
  </si>
  <si>
    <t>SEM-15-25</t>
  </si>
  <si>
    <t>SEM-16-25</t>
  </si>
  <si>
    <t>SEM-17-25</t>
  </si>
  <si>
    <t>SEM-18-25</t>
  </si>
  <si>
    <t>SEM-19-25</t>
  </si>
  <si>
    <t>SEM-20-25</t>
  </si>
  <si>
    <t>SEM-21-25</t>
  </si>
  <si>
    <t>SEM-22-25</t>
  </si>
  <si>
    <t>SEM-23-25</t>
  </si>
  <si>
    <t>SEM-24-25</t>
  </si>
  <si>
    <t>SEM-25-25</t>
  </si>
  <si>
    <t>SEM-26-25</t>
  </si>
  <si>
    <t>SEM-27-25</t>
  </si>
  <si>
    <t>SEM-28-25</t>
  </si>
  <si>
    <t>SEM-29-25</t>
  </si>
  <si>
    <t>SEM-30-25</t>
  </si>
  <si>
    <t>SEM-31-25</t>
  </si>
  <si>
    <t>SEM-32-25</t>
  </si>
  <si>
    <t>SEM-33-25</t>
  </si>
  <si>
    <t>SEM-34-25</t>
  </si>
  <si>
    <t>SEM-35-25</t>
  </si>
  <si>
    <t>SEM-36-25</t>
  </si>
  <si>
    <t>SEM-37-25</t>
  </si>
  <si>
    <t>SEM-38-25</t>
  </si>
  <si>
    <t>SEM-39-25</t>
  </si>
  <si>
    <t>SEM-40-25</t>
  </si>
  <si>
    <t>SEM-41-25</t>
  </si>
  <si>
    <t>SEM-42-25</t>
  </si>
  <si>
    <t>SEM-43-25</t>
  </si>
  <si>
    <t>SEM-44-25</t>
  </si>
  <si>
    <t>SEM-45-25</t>
  </si>
  <si>
    <t>SEM-46-25</t>
  </si>
  <si>
    <t>SEM-47-25</t>
  </si>
  <si>
    <t>SEM-48-25</t>
  </si>
  <si>
    <t>SEM-49-25</t>
  </si>
  <si>
    <t>SEM-50-25</t>
  </si>
  <si>
    <t>SEM-51-25</t>
  </si>
  <si>
    <t>SEM-52-25</t>
  </si>
  <si>
    <t>SEM-01-26</t>
  </si>
  <si>
    <t>SEM-02-26</t>
  </si>
  <si>
    <t>SEM-03-26</t>
  </si>
  <si>
    <t>SEM-04-26</t>
  </si>
  <si>
    <t>SEM-05-26</t>
  </si>
  <si>
    <t>SEM-06-26</t>
  </si>
  <si>
    <t>SEM-07-26</t>
  </si>
  <si>
    <t>SEM-08-26</t>
  </si>
  <si>
    <t>SEM-09-27</t>
  </si>
  <si>
    <t>SEM-10-26</t>
  </si>
  <si>
    <t>SEM-11-26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</si>
</sst>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3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Border="1"/>
    <xf numFmtId="1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0" xfId="0" applyFill="1"/>
    <xf numFmtId="0" fontId="2" fillId="4" borderId="0" xfId="0" applyFont="1" applyFill="1"/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[1]GRAENG!$B$58:$B$109</c:f>
              <c:strCache>
                <c:ptCount val="52"/>
                <c:pt idx="0">
                  <c:v>SEM 02</c:v>
                </c:pt>
                <c:pt idx="1">
                  <c:v>SEM 03</c:v>
                </c:pt>
                <c:pt idx="2">
                  <c:v>SEM 04</c:v>
                </c:pt>
                <c:pt idx="3">
                  <c:v>SEM 05</c:v>
                </c:pt>
                <c:pt idx="4">
                  <c:v>SEM 06</c:v>
                </c:pt>
                <c:pt idx="5">
                  <c:v>SEM 07</c:v>
                </c:pt>
                <c:pt idx="6">
                  <c:v>SEM 08</c:v>
                </c:pt>
                <c:pt idx="7">
                  <c:v>SEM 09</c:v>
                </c:pt>
                <c:pt idx="8">
                  <c:v>SEM 10</c:v>
                </c:pt>
                <c:pt idx="9">
                  <c:v>SEM 11</c:v>
                </c:pt>
                <c:pt idx="10">
                  <c:v>SEM 12</c:v>
                </c:pt>
                <c:pt idx="11">
                  <c:v>SEM 13</c:v>
                </c:pt>
                <c:pt idx="12">
                  <c:v>SEM 14</c:v>
                </c:pt>
                <c:pt idx="13">
                  <c:v>SEM 15</c:v>
                </c:pt>
                <c:pt idx="14">
                  <c:v>SEM 16</c:v>
                </c:pt>
                <c:pt idx="15">
                  <c:v>SEM 17</c:v>
                </c:pt>
                <c:pt idx="16">
                  <c:v>SEM 18</c:v>
                </c:pt>
                <c:pt idx="17">
                  <c:v>SEM 19</c:v>
                </c:pt>
                <c:pt idx="18">
                  <c:v>SEM 20</c:v>
                </c:pt>
                <c:pt idx="19">
                  <c:v>SEM 21</c:v>
                </c:pt>
                <c:pt idx="20">
                  <c:v>SEM 22</c:v>
                </c:pt>
                <c:pt idx="21">
                  <c:v>SEM 23</c:v>
                </c:pt>
                <c:pt idx="22">
                  <c:v>SEM 24</c:v>
                </c:pt>
                <c:pt idx="23">
                  <c:v>SEM 25</c:v>
                </c:pt>
                <c:pt idx="24">
                  <c:v>SEM 26</c:v>
                </c:pt>
                <c:pt idx="25">
                  <c:v>SEM 27</c:v>
                </c:pt>
                <c:pt idx="26">
                  <c:v>SEM 28</c:v>
                </c:pt>
                <c:pt idx="27">
                  <c:v>SEM 29</c:v>
                </c:pt>
                <c:pt idx="28">
                  <c:v>SEM 30</c:v>
                </c:pt>
                <c:pt idx="29">
                  <c:v>SEM 31</c:v>
                </c:pt>
                <c:pt idx="30">
                  <c:v>SEM 32</c:v>
                </c:pt>
                <c:pt idx="31">
                  <c:v>SEM 33</c:v>
                </c:pt>
                <c:pt idx="32">
                  <c:v>SEM 34</c:v>
                </c:pt>
                <c:pt idx="33">
                  <c:v>SEM 35</c:v>
                </c:pt>
                <c:pt idx="34">
                  <c:v>SEM 36</c:v>
                </c:pt>
                <c:pt idx="35">
                  <c:v>SEM 37</c:v>
                </c:pt>
                <c:pt idx="36">
                  <c:v>SEM 38</c:v>
                </c:pt>
                <c:pt idx="37">
                  <c:v>SEM 39</c:v>
                </c:pt>
                <c:pt idx="38">
                  <c:v>SEM 40</c:v>
                </c:pt>
                <c:pt idx="39">
                  <c:v>SEM 41</c:v>
                </c:pt>
                <c:pt idx="40">
                  <c:v>SEM 42</c:v>
                </c:pt>
                <c:pt idx="41">
                  <c:v>SEM 43</c:v>
                </c:pt>
                <c:pt idx="42">
                  <c:v>SEM 44</c:v>
                </c:pt>
                <c:pt idx="43">
                  <c:v>SEM 45</c:v>
                </c:pt>
                <c:pt idx="44">
                  <c:v>SEM 46</c:v>
                </c:pt>
                <c:pt idx="45">
                  <c:v>SEM 47</c:v>
                </c:pt>
                <c:pt idx="46">
                  <c:v>SEM 48</c:v>
                </c:pt>
                <c:pt idx="47">
                  <c:v>SEM 49</c:v>
                </c:pt>
                <c:pt idx="48">
                  <c:v>SEM 50</c:v>
                </c:pt>
                <c:pt idx="49">
                  <c:v>SEM 51</c:v>
                </c:pt>
                <c:pt idx="50">
                  <c:v>SEM 01</c:v>
                </c:pt>
                <c:pt idx="51">
                  <c:v>SEM 02</c:v>
                </c:pt>
              </c:strCache>
            </c:strRef>
          </c:cat>
          <c:val>
            <c:numRef>
              <c:f>[1]GRAENG!$C$58:$C$109</c:f>
              <c:numCache>
                <c:formatCode>General</c:formatCode>
                <c:ptCount val="52"/>
                <c:pt idx="0">
                  <c:v>33</c:v>
                </c:pt>
                <c:pt idx="1">
                  <c:v>29</c:v>
                </c:pt>
                <c:pt idx="2">
                  <c:v>36</c:v>
                </c:pt>
                <c:pt idx="3">
                  <c:v>35</c:v>
                </c:pt>
                <c:pt idx="4">
                  <c:v>31</c:v>
                </c:pt>
                <c:pt idx="5">
                  <c:v>39</c:v>
                </c:pt>
                <c:pt idx="6">
                  <c:v>33</c:v>
                </c:pt>
                <c:pt idx="7">
                  <c:v>31</c:v>
                </c:pt>
                <c:pt idx="8">
                  <c:v>33</c:v>
                </c:pt>
                <c:pt idx="9">
                  <c:v>34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37</c:v>
                </c:pt>
                <c:pt idx="14">
                  <c:v>15</c:v>
                </c:pt>
                <c:pt idx="15">
                  <c:v>24</c:v>
                </c:pt>
                <c:pt idx="16">
                  <c:v>31</c:v>
                </c:pt>
                <c:pt idx="17">
                  <c:v>31</c:v>
                </c:pt>
                <c:pt idx="18">
                  <c:v>30</c:v>
                </c:pt>
                <c:pt idx="19">
                  <c:v>27</c:v>
                </c:pt>
                <c:pt idx="20">
                  <c:v>32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34</c:v>
                </c:pt>
                <c:pt idx="25">
                  <c:v>37</c:v>
                </c:pt>
                <c:pt idx="26">
                  <c:v>35</c:v>
                </c:pt>
                <c:pt idx="27">
                  <c:v>37</c:v>
                </c:pt>
                <c:pt idx="28">
                  <c:v>33</c:v>
                </c:pt>
                <c:pt idx="29">
                  <c:v>36</c:v>
                </c:pt>
                <c:pt idx="30">
                  <c:v>45</c:v>
                </c:pt>
                <c:pt idx="31">
                  <c:v>45</c:v>
                </c:pt>
                <c:pt idx="32">
                  <c:v>41</c:v>
                </c:pt>
                <c:pt idx="33">
                  <c:v>35</c:v>
                </c:pt>
                <c:pt idx="34">
                  <c:v>34</c:v>
                </c:pt>
                <c:pt idx="35">
                  <c:v>39</c:v>
                </c:pt>
                <c:pt idx="36">
                  <c:v>23</c:v>
                </c:pt>
                <c:pt idx="37">
                  <c:v>28</c:v>
                </c:pt>
                <c:pt idx="38">
                  <c:v>41</c:v>
                </c:pt>
                <c:pt idx="39">
                  <c:v>33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34</c:v>
                </c:pt>
                <c:pt idx="44">
                  <c:v>38</c:v>
                </c:pt>
                <c:pt idx="45">
                  <c:v>35</c:v>
                </c:pt>
                <c:pt idx="46">
                  <c:v>34</c:v>
                </c:pt>
                <c:pt idx="47">
                  <c:v>33</c:v>
                </c:pt>
                <c:pt idx="48">
                  <c:v>26</c:v>
                </c:pt>
                <c:pt idx="49">
                  <c:v>29</c:v>
                </c:pt>
                <c:pt idx="50">
                  <c:v>21</c:v>
                </c:pt>
                <c:pt idx="5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4-45C3-86C4-FD736AA1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791279"/>
        <c:axId val="1128799599"/>
      </c:barChart>
      <c:catAx>
        <c:axId val="112879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8799599"/>
        <c:crosses val="autoZero"/>
        <c:auto val="1"/>
        <c:lblAlgn val="ctr"/>
        <c:lblOffset val="100"/>
        <c:noMultiLvlLbl val="0"/>
      </c:catAx>
      <c:valAx>
        <c:axId val="11287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879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INDICE DE KGS POR   ORDEN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9575452260440874E-2"/>
          <c:y val="0.15948326307148208"/>
          <c:w val="0.95989292115057978"/>
          <c:h val="0.73599733334912565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[1]GRAENG!$K$58:$K$109</c:f>
              <c:numCache>
                <c:formatCode>General</c:formatCode>
                <c:ptCount val="52"/>
              </c:numCache>
            </c:numRef>
          </c:cat>
          <c:val>
            <c:numRef>
              <c:f>[1]GRAENG!$L$58:$L$109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0-4D55-A4B4-A057B7D995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1889375"/>
        <c:axId val="1321891455"/>
      </c:lineChart>
      <c:catAx>
        <c:axId val="13218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891455"/>
        <c:crosses val="autoZero"/>
        <c:auto val="1"/>
        <c:lblAlgn val="ctr"/>
        <c:lblOffset val="100"/>
        <c:noMultiLvlLbl val="0"/>
      </c:catAx>
      <c:valAx>
        <c:axId val="1321891455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88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METROS</a:t>
            </a:r>
            <a:r>
              <a:rPr lang="es-MX" baseline="0"/>
              <a:t> POR ORDEN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t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[1]GRAENG!$M$58:$M$109</c:f>
              <c:numCache>
                <c:formatCode>General</c:formatCode>
                <c:ptCount val="52"/>
              </c:numCache>
            </c:numRef>
          </c:cat>
          <c:val>
            <c:numRef>
              <c:f>[1]GRAENG!$N$58:$N$109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1-41D5-9500-A96E2D221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776096"/>
        <c:axId val="229771104"/>
      </c:lineChart>
      <c:catAx>
        <c:axId val="2297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9771104"/>
        <c:crosses val="autoZero"/>
        <c:auto val="1"/>
        <c:lblAlgn val="ctr"/>
        <c:lblOffset val="100"/>
        <c:noMultiLvlLbl val="0"/>
      </c:catAx>
      <c:valAx>
        <c:axId val="229771104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97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476258</xdr:colOff>
      <xdr:row>71</xdr:row>
      <xdr:rowOff>113846</xdr:rowOff>
    </xdr:from>
    <xdr:to>
      <xdr:col>46</xdr:col>
      <xdr:colOff>380999</xdr:colOff>
      <xdr:row>89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660F4A-BB6E-4DD3-AB97-8C0DB11B1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131537</xdr:colOff>
      <xdr:row>75</xdr:row>
      <xdr:rowOff>174625</xdr:rowOff>
    </xdr:from>
    <xdr:to>
      <xdr:col>34</xdr:col>
      <xdr:colOff>376464</xdr:colOff>
      <xdr:row>94</xdr:row>
      <xdr:rowOff>196850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039DC2-C132-45A6-85EA-8D299128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4328</xdr:colOff>
      <xdr:row>57</xdr:row>
      <xdr:rowOff>142875</xdr:rowOff>
    </xdr:from>
    <xdr:to>
      <xdr:col>34</xdr:col>
      <xdr:colOff>380999</xdr:colOff>
      <xdr:row>75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F6A7421-B528-49D3-8B5B-EEDCEDED5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hernandez/Documents/graficas%20urdido%20y%20engomado22.xlsx" TargetMode="External"/><Relationship Id="rId2" Type="http://schemas.openxmlformats.org/officeDocument/2006/relationships/externalLinkPath" Target="file:///C:\Users\ehernandez\Documents\graficas%20urdido%20y%20engomado22.xlsx" TargetMode="External"/><Relationship Id="rId1" Type="http://schemas.openxmlformats.org/officeDocument/2006/relationships/externalLinkPath" Target="/Users/ehernandez/Documents/graficas%20urdido%20y%20engomado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URD"/>
      <sheetName val="GRAENG"/>
      <sheetName val="URD"/>
      <sheetName val="ENGOM"/>
      <sheetName val="Hoja1"/>
      <sheetName val="agosto"/>
      <sheetName val="orden(8)"/>
      <sheetName val="orden(7)"/>
      <sheetName val="orden(6)"/>
      <sheetName val="orden(5)"/>
      <sheetName val="orden(4)"/>
      <sheetName val="orden(3)"/>
      <sheetName val="orden(2)"/>
      <sheetName val="orden(01)"/>
      <sheetName val="urden(52)"/>
      <sheetName val="urden(51)"/>
      <sheetName val="urden(50)"/>
      <sheetName val="urden(49)"/>
      <sheetName val="urden(48)"/>
      <sheetName val="urden(47)"/>
      <sheetName val="urden(46)"/>
      <sheetName val="urden(45)"/>
      <sheetName val="urden(44)"/>
      <sheetName val="urden(43)"/>
      <sheetName val="urden(42)"/>
      <sheetName val="urden(41)"/>
      <sheetName val="urden(40)"/>
      <sheetName val="urden(39)"/>
      <sheetName val="urden(38)"/>
      <sheetName val="urden(37)"/>
      <sheetName val="urden(36)"/>
      <sheetName val="urden(35)"/>
      <sheetName val="urden(34)"/>
      <sheetName val="urden(33)"/>
      <sheetName val="urden(32)"/>
      <sheetName val="urden(31)"/>
      <sheetName val="urden(30)"/>
      <sheetName val="urden(29)"/>
      <sheetName val="urden(28)"/>
      <sheetName val="urden(27)"/>
      <sheetName val="urden(26)"/>
      <sheetName val="urden(25)"/>
      <sheetName val="urden(24)"/>
      <sheetName val="urden(23)"/>
      <sheetName val="MAYO"/>
      <sheetName val="urden(22)"/>
      <sheetName val="urden(21)"/>
      <sheetName val="urden(20)"/>
      <sheetName val="urden(19)"/>
      <sheetName val="urden(18)"/>
      <sheetName val="urden(17)"/>
      <sheetName val="urden(16)"/>
      <sheetName val="urden(15)"/>
      <sheetName val="urden(14)"/>
      <sheetName val="urden(13)"/>
      <sheetName val="urden(12)"/>
      <sheetName val="urden(11)"/>
      <sheetName val="urden(10)"/>
      <sheetName val="urden8"/>
      <sheetName val="urden9(9)"/>
    </sheetNames>
    <sheetDataSet>
      <sheetData sheetId="0"/>
      <sheetData sheetId="1">
        <row r="6">
          <cell r="B6" t="str">
            <v>SEM 02</v>
          </cell>
        </row>
        <row r="58">
          <cell r="B58" t="str">
            <v>SEM 02</v>
          </cell>
          <cell r="C58">
            <v>33</v>
          </cell>
        </row>
        <row r="59">
          <cell r="B59" t="str">
            <v>SEM 03</v>
          </cell>
          <cell r="C59">
            <v>29</v>
          </cell>
        </row>
        <row r="60">
          <cell r="B60" t="str">
            <v>SEM 04</v>
          </cell>
          <cell r="C60">
            <v>36</v>
          </cell>
        </row>
        <row r="61">
          <cell r="B61" t="str">
            <v>SEM 05</v>
          </cell>
          <cell r="C61">
            <v>35</v>
          </cell>
        </row>
        <row r="62">
          <cell r="B62" t="str">
            <v>SEM 06</v>
          </cell>
          <cell r="C62">
            <v>31</v>
          </cell>
        </row>
        <row r="63">
          <cell r="B63" t="str">
            <v>SEM 07</v>
          </cell>
          <cell r="C63">
            <v>39</v>
          </cell>
        </row>
        <row r="64">
          <cell r="B64" t="str">
            <v>SEM 08</v>
          </cell>
          <cell r="C64">
            <v>33</v>
          </cell>
        </row>
        <row r="65">
          <cell r="B65" t="str">
            <v>SEM 09</v>
          </cell>
          <cell r="C65">
            <v>31</v>
          </cell>
        </row>
        <row r="66">
          <cell r="B66" t="str">
            <v>SEM 10</v>
          </cell>
          <cell r="C66">
            <v>33</v>
          </cell>
        </row>
        <row r="67">
          <cell r="B67" t="str">
            <v>SEM 11</v>
          </cell>
          <cell r="C67">
            <v>34</v>
          </cell>
        </row>
        <row r="68">
          <cell r="B68" t="str">
            <v>SEM 12</v>
          </cell>
          <cell r="C68">
            <v>30</v>
          </cell>
        </row>
        <row r="69">
          <cell r="B69" t="str">
            <v>SEM 13</v>
          </cell>
          <cell r="C69">
            <v>30</v>
          </cell>
        </row>
        <row r="70">
          <cell r="B70" t="str">
            <v>SEM 14</v>
          </cell>
          <cell r="C70">
            <v>30</v>
          </cell>
        </row>
        <row r="71">
          <cell r="B71" t="str">
            <v>SEM 15</v>
          </cell>
          <cell r="C71">
            <v>37</v>
          </cell>
        </row>
        <row r="72">
          <cell r="B72" t="str">
            <v>SEM 16</v>
          </cell>
          <cell r="C72">
            <v>15</v>
          </cell>
        </row>
        <row r="73">
          <cell r="B73" t="str">
            <v>SEM 17</v>
          </cell>
          <cell r="C73">
            <v>24</v>
          </cell>
        </row>
        <row r="74">
          <cell r="B74" t="str">
            <v>SEM 18</v>
          </cell>
          <cell r="C74">
            <v>31</v>
          </cell>
        </row>
        <row r="75">
          <cell r="B75" t="str">
            <v>SEM 19</v>
          </cell>
          <cell r="C75">
            <v>31</v>
          </cell>
        </row>
        <row r="76">
          <cell r="B76" t="str">
            <v>SEM 20</v>
          </cell>
          <cell r="C76">
            <v>30</v>
          </cell>
        </row>
        <row r="77">
          <cell r="B77" t="str">
            <v>SEM 21</v>
          </cell>
          <cell r="C77">
            <v>27</v>
          </cell>
        </row>
        <row r="78">
          <cell r="B78" t="str">
            <v>SEM 22</v>
          </cell>
          <cell r="C78">
            <v>32</v>
          </cell>
        </row>
        <row r="79">
          <cell r="B79" t="str">
            <v>SEM 23</v>
          </cell>
          <cell r="C79">
            <v>37</v>
          </cell>
        </row>
        <row r="80">
          <cell r="B80" t="str">
            <v>SEM 24</v>
          </cell>
          <cell r="C80">
            <v>37</v>
          </cell>
        </row>
        <row r="81">
          <cell r="B81" t="str">
            <v>SEM 25</v>
          </cell>
          <cell r="C81">
            <v>37</v>
          </cell>
        </row>
        <row r="82">
          <cell r="B82" t="str">
            <v>SEM 26</v>
          </cell>
          <cell r="C82">
            <v>34</v>
          </cell>
        </row>
        <row r="83">
          <cell r="B83" t="str">
            <v>SEM 27</v>
          </cell>
          <cell r="C83">
            <v>37</v>
          </cell>
        </row>
        <row r="84">
          <cell r="B84" t="str">
            <v>SEM 28</v>
          </cell>
          <cell r="C84">
            <v>35</v>
          </cell>
        </row>
        <row r="85">
          <cell r="B85" t="str">
            <v>SEM 29</v>
          </cell>
          <cell r="C85">
            <v>37</v>
          </cell>
        </row>
        <row r="86">
          <cell r="B86" t="str">
            <v>SEM 30</v>
          </cell>
          <cell r="C86">
            <v>33</v>
          </cell>
        </row>
        <row r="87">
          <cell r="B87" t="str">
            <v>SEM 31</v>
          </cell>
          <cell r="C87">
            <v>36</v>
          </cell>
        </row>
        <row r="88">
          <cell r="B88" t="str">
            <v>SEM 32</v>
          </cell>
          <cell r="C88">
            <v>45</v>
          </cell>
        </row>
        <row r="89">
          <cell r="B89" t="str">
            <v>SEM 33</v>
          </cell>
          <cell r="C89">
            <v>45</v>
          </cell>
        </row>
        <row r="90">
          <cell r="B90" t="str">
            <v>SEM 34</v>
          </cell>
          <cell r="C90">
            <v>41</v>
          </cell>
        </row>
        <row r="91">
          <cell r="B91" t="str">
            <v>SEM 35</v>
          </cell>
          <cell r="C91">
            <v>35</v>
          </cell>
        </row>
        <row r="92">
          <cell r="B92" t="str">
            <v>SEM 36</v>
          </cell>
          <cell r="C92">
            <v>34</v>
          </cell>
        </row>
        <row r="93">
          <cell r="B93" t="str">
            <v>SEM 37</v>
          </cell>
          <cell r="C93">
            <v>39</v>
          </cell>
        </row>
        <row r="94">
          <cell r="B94" t="str">
            <v>SEM 38</v>
          </cell>
          <cell r="C94">
            <v>23</v>
          </cell>
        </row>
        <row r="95">
          <cell r="B95" t="str">
            <v>SEM 39</v>
          </cell>
          <cell r="C95">
            <v>28</v>
          </cell>
        </row>
        <row r="96">
          <cell r="B96" t="str">
            <v>SEM 40</v>
          </cell>
          <cell r="C96">
            <v>41</v>
          </cell>
        </row>
        <row r="97">
          <cell r="B97" t="str">
            <v>SEM 41</v>
          </cell>
          <cell r="C97">
            <v>33</v>
          </cell>
        </row>
        <row r="98">
          <cell r="B98" t="str">
            <v>SEM 42</v>
          </cell>
          <cell r="C98">
            <v>35</v>
          </cell>
        </row>
        <row r="99">
          <cell r="B99" t="str">
            <v>SEM 43</v>
          </cell>
          <cell r="C99">
            <v>36</v>
          </cell>
        </row>
        <row r="100">
          <cell r="B100" t="str">
            <v>SEM 44</v>
          </cell>
          <cell r="C100">
            <v>37</v>
          </cell>
        </row>
        <row r="101">
          <cell r="B101" t="str">
            <v>SEM 45</v>
          </cell>
          <cell r="C101">
            <v>34</v>
          </cell>
        </row>
        <row r="102">
          <cell r="B102" t="str">
            <v>SEM 46</v>
          </cell>
          <cell r="C102">
            <v>38</v>
          </cell>
        </row>
        <row r="103">
          <cell r="B103" t="str">
            <v>SEM 47</v>
          </cell>
          <cell r="C103">
            <v>35</v>
          </cell>
        </row>
        <row r="104">
          <cell r="B104" t="str">
            <v>SEM 48</v>
          </cell>
          <cell r="C104">
            <v>34</v>
          </cell>
        </row>
        <row r="105">
          <cell r="B105" t="str">
            <v>SEM 49</v>
          </cell>
          <cell r="C105">
            <v>33</v>
          </cell>
        </row>
        <row r="106">
          <cell r="B106" t="str">
            <v>SEM 50</v>
          </cell>
          <cell r="C106">
            <v>26</v>
          </cell>
        </row>
        <row r="107">
          <cell r="B107" t="str">
            <v>SEM 51</v>
          </cell>
          <cell r="C107">
            <v>29</v>
          </cell>
        </row>
        <row r="108">
          <cell r="B108" t="str">
            <v>SEM 01</v>
          </cell>
          <cell r="C108">
            <v>21</v>
          </cell>
        </row>
        <row r="109">
          <cell r="B109" t="str">
            <v>SEM 02</v>
          </cell>
          <cell r="C109">
            <v>23</v>
          </cell>
        </row>
      </sheetData>
      <sheetData sheetId="2"/>
      <sheetData sheetId="3">
        <row r="2">
          <cell r="A2">
            <v>34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97C5-C7CD-4EF2-A379-033DE86E9F7E}">
  <dimension ref="A2:AA291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295" sqref="I295"/>
    </sheetView>
  </sheetViews>
  <sheetFormatPr baseColWidth="10" defaultRowHeight="15" x14ac:dyDescent="0.25"/>
  <cols>
    <col min="1" max="7" width="17.7109375" customWidth="1"/>
    <col min="8" max="10" width="17.7109375" style="27" customWidth="1"/>
    <col min="11" max="12" width="17.7109375" customWidth="1"/>
  </cols>
  <sheetData>
    <row r="2" spans="1:12" ht="30" x14ac:dyDescent="0.4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1"/>
    </row>
    <row r="4" spans="1:12" s="32" customFormat="1" ht="47.25" x14ac:dyDescent="0.25">
      <c r="A4" s="28"/>
      <c r="B4" s="29"/>
      <c r="C4" s="30" t="s">
        <v>1</v>
      </c>
      <c r="D4" s="30" t="s">
        <v>2</v>
      </c>
      <c r="E4" s="30" t="s">
        <v>3</v>
      </c>
      <c r="F4" s="30" t="s">
        <v>4</v>
      </c>
      <c r="G4" s="30" t="s">
        <v>5</v>
      </c>
      <c r="H4" s="30" t="s">
        <v>6</v>
      </c>
      <c r="I4" s="30" t="s">
        <v>7</v>
      </c>
      <c r="J4" s="30" t="s">
        <v>8</v>
      </c>
      <c r="K4" s="31"/>
    </row>
    <row r="5" spans="1:12" ht="20.25" hidden="1" customHeight="1" x14ac:dyDescent="0.25">
      <c r="B5" s="5" t="s">
        <v>9</v>
      </c>
      <c r="C5" s="6">
        <v>33</v>
      </c>
      <c r="D5" s="6">
        <v>71</v>
      </c>
      <c r="E5" s="7">
        <v>57337.499999999993</v>
      </c>
      <c r="F5" s="7">
        <v>344635</v>
      </c>
      <c r="G5" s="7"/>
      <c r="H5" s="8">
        <f t="shared" ref="H5:H68" si="0">E5/D5</f>
        <v>807.57042253521115</v>
      </c>
      <c r="I5" s="8">
        <f t="shared" ref="I5:I68" si="1">F5/D5</f>
        <v>4854.0140845070418</v>
      </c>
      <c r="J5" s="8">
        <v>3317</v>
      </c>
      <c r="K5" s="9">
        <v>63</v>
      </c>
      <c r="L5" s="10"/>
    </row>
    <row r="6" spans="1:12" ht="20.25" hidden="1" customHeight="1" x14ac:dyDescent="0.25">
      <c r="B6" s="5" t="s">
        <v>10</v>
      </c>
      <c r="C6" s="6">
        <v>35</v>
      </c>
      <c r="D6" s="6">
        <v>73</v>
      </c>
      <c r="E6" s="7">
        <v>60841</v>
      </c>
      <c r="F6" s="7">
        <v>371344</v>
      </c>
      <c r="G6" s="7"/>
      <c r="H6" s="8">
        <f t="shared" si="0"/>
        <v>833.43835616438355</v>
      </c>
      <c r="I6" s="8">
        <f t="shared" si="1"/>
        <v>5086.9041095890407</v>
      </c>
      <c r="J6" s="8">
        <v>3336</v>
      </c>
      <c r="K6" s="9">
        <v>41</v>
      </c>
      <c r="L6" s="10"/>
    </row>
    <row r="7" spans="1:12" ht="20.25" hidden="1" customHeight="1" x14ac:dyDescent="0.25">
      <c r="B7" s="5" t="s">
        <v>11</v>
      </c>
      <c r="C7" s="6">
        <v>30</v>
      </c>
      <c r="D7" s="6">
        <v>69</v>
      </c>
      <c r="E7" s="7">
        <v>57414.599999999991</v>
      </c>
      <c r="F7" s="7">
        <v>353946</v>
      </c>
      <c r="G7" s="7"/>
      <c r="H7" s="8">
        <f t="shared" si="0"/>
        <v>832.09565217391287</v>
      </c>
      <c r="I7" s="8">
        <f t="shared" si="1"/>
        <v>5129.652173913043</v>
      </c>
      <c r="J7" s="8">
        <v>3280</v>
      </c>
      <c r="K7" s="9">
        <v>91</v>
      </c>
      <c r="L7" s="10"/>
    </row>
    <row r="8" spans="1:12" ht="20.25" hidden="1" customHeight="1" x14ac:dyDescent="0.25">
      <c r="B8" s="5" t="s">
        <v>12</v>
      </c>
      <c r="C8" s="6">
        <v>28</v>
      </c>
      <c r="D8" s="6">
        <v>63</v>
      </c>
      <c r="E8" s="7">
        <v>52445.999999999978</v>
      </c>
      <c r="F8" s="7">
        <v>311342</v>
      </c>
      <c r="G8" s="7"/>
      <c r="H8" s="8">
        <f t="shared" si="0"/>
        <v>832.47619047619014</v>
      </c>
      <c r="I8" s="8">
        <f t="shared" si="1"/>
        <v>4941.936507936508</v>
      </c>
      <c r="J8" s="8">
        <v>3280</v>
      </c>
      <c r="K8" s="9">
        <v>98</v>
      </c>
      <c r="L8" s="10"/>
    </row>
    <row r="9" spans="1:12" ht="20.25" hidden="1" customHeight="1" x14ac:dyDescent="0.25">
      <c r="B9" s="5" t="s">
        <v>13</v>
      </c>
      <c r="C9" s="6">
        <v>28</v>
      </c>
      <c r="D9" s="6">
        <v>63</v>
      </c>
      <c r="E9" s="7">
        <v>49307.5</v>
      </c>
      <c r="F9" s="7">
        <v>280250</v>
      </c>
      <c r="G9" s="7"/>
      <c r="H9" s="8">
        <f t="shared" si="0"/>
        <v>782.65873015873012</v>
      </c>
      <c r="I9" s="8">
        <f t="shared" si="1"/>
        <v>4448.4126984126988</v>
      </c>
      <c r="J9" s="8">
        <v>3405</v>
      </c>
      <c r="K9" s="9">
        <v>99</v>
      </c>
      <c r="L9" s="10"/>
    </row>
    <row r="10" spans="1:12" ht="20.25" hidden="1" customHeight="1" x14ac:dyDescent="0.25">
      <c r="B10" s="5" t="s">
        <v>14</v>
      </c>
      <c r="C10" s="6">
        <v>33</v>
      </c>
      <c r="D10" s="6">
        <v>67</v>
      </c>
      <c r="E10" s="7">
        <v>56731.600000000006</v>
      </c>
      <c r="F10" s="7">
        <v>343761</v>
      </c>
      <c r="G10" s="7"/>
      <c r="H10" s="8">
        <f t="shared" si="0"/>
        <v>846.74029850746274</v>
      </c>
      <c r="I10" s="8">
        <f t="shared" si="1"/>
        <v>5130.7611940298511</v>
      </c>
      <c r="J10" s="8">
        <v>3334</v>
      </c>
      <c r="K10" s="9">
        <v>76</v>
      </c>
      <c r="L10" s="10"/>
    </row>
    <row r="11" spans="1:12" ht="20.25" hidden="1" customHeight="1" x14ac:dyDescent="0.25">
      <c r="B11" s="5" t="s">
        <v>15</v>
      </c>
      <c r="C11" s="6">
        <v>21</v>
      </c>
      <c r="D11" s="6">
        <v>43</v>
      </c>
      <c r="E11" s="7">
        <v>36414.200000000004</v>
      </c>
      <c r="F11" s="7">
        <v>295678</v>
      </c>
      <c r="G11" s="7"/>
      <c r="H11" s="8">
        <f t="shared" si="0"/>
        <v>846.84186046511638</v>
      </c>
      <c r="I11" s="8">
        <f t="shared" si="1"/>
        <v>6876.2325581395353</v>
      </c>
      <c r="J11" s="8">
        <v>3283</v>
      </c>
      <c r="K11" s="9">
        <v>77</v>
      </c>
      <c r="L11" s="10"/>
    </row>
    <row r="12" spans="1:12" ht="20.25" hidden="1" customHeight="1" x14ac:dyDescent="0.25">
      <c r="B12" s="5" t="s">
        <v>16</v>
      </c>
      <c r="C12" s="6">
        <v>31</v>
      </c>
      <c r="D12" s="6">
        <v>64</v>
      </c>
      <c r="E12" s="7">
        <v>56652.60000000002</v>
      </c>
      <c r="F12" s="7">
        <v>340139</v>
      </c>
      <c r="G12" s="7"/>
      <c r="H12" s="8">
        <f t="shared" si="0"/>
        <v>885.19687500000032</v>
      </c>
      <c r="I12" s="8">
        <f t="shared" si="1"/>
        <v>5314.671875</v>
      </c>
      <c r="J12" s="8">
        <v>3341</v>
      </c>
      <c r="K12" s="9">
        <v>96</v>
      </c>
      <c r="L12" s="10"/>
    </row>
    <row r="13" spans="1:12" ht="20.25" hidden="1" customHeight="1" x14ac:dyDescent="0.25">
      <c r="B13" s="5" t="s">
        <v>17</v>
      </c>
      <c r="C13" s="6">
        <v>29</v>
      </c>
      <c r="D13" s="6">
        <v>62</v>
      </c>
      <c r="E13" s="7">
        <v>44505.43</v>
      </c>
      <c r="F13" s="7">
        <v>254397</v>
      </c>
      <c r="G13" s="7"/>
      <c r="H13" s="8">
        <f t="shared" si="0"/>
        <v>717.8295161290323</v>
      </c>
      <c r="I13" s="8">
        <f t="shared" si="1"/>
        <v>4103.177419354839</v>
      </c>
      <c r="J13" s="8">
        <v>3333</v>
      </c>
      <c r="K13" s="9">
        <v>84</v>
      </c>
      <c r="L13" s="10"/>
    </row>
    <row r="14" spans="1:12" ht="20.25" hidden="1" customHeight="1" x14ac:dyDescent="0.25">
      <c r="B14" s="5" t="s">
        <v>18</v>
      </c>
      <c r="C14" s="6">
        <v>23</v>
      </c>
      <c r="D14" s="6">
        <v>52</v>
      </c>
      <c r="E14" s="7">
        <v>38674.299999999996</v>
      </c>
      <c r="F14" s="7">
        <v>246964</v>
      </c>
      <c r="G14" s="7"/>
      <c r="H14" s="8">
        <f t="shared" si="0"/>
        <v>743.73653846153843</v>
      </c>
      <c r="I14" s="8">
        <f t="shared" si="1"/>
        <v>4749.3076923076924</v>
      </c>
      <c r="J14" s="8">
        <v>3171</v>
      </c>
      <c r="K14" s="9">
        <v>91</v>
      </c>
      <c r="L14" s="10"/>
    </row>
    <row r="15" spans="1:12" ht="20.25" hidden="1" customHeight="1" x14ac:dyDescent="0.25">
      <c r="B15" s="5" t="s">
        <v>19</v>
      </c>
      <c r="C15" s="6">
        <v>31</v>
      </c>
      <c r="D15" s="6">
        <v>70</v>
      </c>
      <c r="E15" s="7">
        <v>55558.399999999994</v>
      </c>
      <c r="F15" s="7">
        <v>325689</v>
      </c>
      <c r="G15" s="7"/>
      <c r="H15" s="8">
        <f t="shared" si="0"/>
        <v>793.69142857142845</v>
      </c>
      <c r="I15" s="8">
        <f t="shared" si="1"/>
        <v>4652.7</v>
      </c>
      <c r="J15" s="8">
        <v>3266</v>
      </c>
      <c r="K15" s="9">
        <v>90</v>
      </c>
      <c r="L15" s="10"/>
    </row>
    <row r="16" spans="1:12" ht="20.25" hidden="1" customHeight="1" x14ac:dyDescent="0.25">
      <c r="B16" s="5" t="s">
        <v>20</v>
      </c>
      <c r="C16" s="6">
        <v>26</v>
      </c>
      <c r="D16" s="6">
        <v>52</v>
      </c>
      <c r="E16" s="7">
        <v>42708</v>
      </c>
      <c r="F16" s="7">
        <v>260442</v>
      </c>
      <c r="G16" s="7"/>
      <c r="H16" s="8">
        <f t="shared" si="0"/>
        <v>821.30769230769226</v>
      </c>
      <c r="I16" s="8">
        <f t="shared" si="1"/>
        <v>5008.5</v>
      </c>
      <c r="J16" s="8">
        <v>3280</v>
      </c>
      <c r="K16" s="9">
        <v>90</v>
      </c>
      <c r="L16" s="10"/>
    </row>
    <row r="17" spans="1:12" ht="20.25" hidden="1" customHeight="1" x14ac:dyDescent="0.25">
      <c r="B17" s="5" t="s">
        <v>21</v>
      </c>
      <c r="C17" s="6">
        <v>19</v>
      </c>
      <c r="D17" s="6">
        <v>34</v>
      </c>
      <c r="E17" s="7">
        <v>29205.269999999993</v>
      </c>
      <c r="F17" s="7">
        <v>185460</v>
      </c>
      <c r="G17" s="7"/>
      <c r="H17" s="8">
        <f t="shared" si="0"/>
        <v>858.9785294117645</v>
      </c>
      <c r="I17" s="8">
        <f t="shared" si="1"/>
        <v>5454.7058823529414</v>
      </c>
      <c r="J17" s="8">
        <v>3280</v>
      </c>
      <c r="K17" s="9">
        <v>95</v>
      </c>
      <c r="L17" s="10"/>
    </row>
    <row r="18" spans="1:12" ht="20.25" hidden="1" customHeight="1" x14ac:dyDescent="0.25">
      <c r="B18" s="5" t="s">
        <v>22</v>
      </c>
      <c r="C18" s="6">
        <v>30</v>
      </c>
      <c r="D18" s="6">
        <v>61</v>
      </c>
      <c r="E18" s="7">
        <v>49225.5</v>
      </c>
      <c r="F18" s="7">
        <v>300015</v>
      </c>
      <c r="G18" s="7"/>
      <c r="H18" s="8">
        <f t="shared" si="0"/>
        <v>806.97540983606552</v>
      </c>
      <c r="I18" s="8">
        <f t="shared" si="1"/>
        <v>4918.2786885245905</v>
      </c>
      <c r="J18" s="8">
        <v>3280</v>
      </c>
      <c r="K18" s="9">
        <v>95</v>
      </c>
      <c r="L18" s="10"/>
    </row>
    <row r="19" spans="1:12" ht="20.25" hidden="1" customHeight="1" x14ac:dyDescent="0.25">
      <c r="B19" s="5" t="s">
        <v>22</v>
      </c>
      <c r="C19" s="6">
        <v>25</v>
      </c>
      <c r="D19" s="6">
        <v>56</v>
      </c>
      <c r="E19" s="7">
        <v>42122.200000000004</v>
      </c>
      <c r="F19" s="7">
        <v>248446</v>
      </c>
      <c r="G19" s="7"/>
      <c r="H19" s="8">
        <f t="shared" si="0"/>
        <v>752.18214285714294</v>
      </c>
      <c r="I19" s="8">
        <f t="shared" si="1"/>
        <v>4436.5357142857147</v>
      </c>
      <c r="J19" s="8">
        <v>3325</v>
      </c>
      <c r="K19" s="9">
        <v>87</v>
      </c>
      <c r="L19" s="10"/>
    </row>
    <row r="20" spans="1:12" ht="20.25" hidden="1" customHeight="1" x14ac:dyDescent="0.25">
      <c r="B20" s="5" t="s">
        <v>23</v>
      </c>
      <c r="C20" s="6">
        <v>25</v>
      </c>
      <c r="D20" s="6">
        <v>64</v>
      </c>
      <c r="E20" s="7">
        <v>50842.300000000032</v>
      </c>
      <c r="F20" s="7">
        <v>306267</v>
      </c>
      <c r="G20" s="7"/>
      <c r="H20" s="8">
        <f t="shared" si="0"/>
        <v>794.4109375000005</v>
      </c>
      <c r="I20" s="8">
        <f t="shared" si="1"/>
        <v>4785.421875</v>
      </c>
      <c r="J20" s="8">
        <v>3314</v>
      </c>
      <c r="K20" s="9">
        <v>88</v>
      </c>
      <c r="L20" s="10"/>
    </row>
    <row r="21" spans="1:12" ht="20.25" hidden="1" customHeight="1" x14ac:dyDescent="0.25">
      <c r="B21" s="5" t="s">
        <v>24</v>
      </c>
      <c r="C21" s="6">
        <v>34</v>
      </c>
      <c r="D21" s="6">
        <v>72</v>
      </c>
      <c r="E21" s="7">
        <v>61812.899999999987</v>
      </c>
      <c r="F21" s="7">
        <v>369326</v>
      </c>
      <c r="G21" s="7"/>
      <c r="H21" s="8">
        <f t="shared" si="0"/>
        <v>858.51249999999982</v>
      </c>
      <c r="I21" s="8">
        <f t="shared" si="1"/>
        <v>5129.5277777777774</v>
      </c>
      <c r="J21" s="8">
        <v>3314</v>
      </c>
      <c r="K21" s="9">
        <v>88</v>
      </c>
      <c r="L21" s="10"/>
    </row>
    <row r="22" spans="1:12" ht="20.25" hidden="1" customHeight="1" x14ac:dyDescent="0.25">
      <c r="B22" s="5" t="s">
        <v>25</v>
      </c>
      <c r="C22" s="6">
        <v>27</v>
      </c>
      <c r="D22" s="6">
        <v>54</v>
      </c>
      <c r="E22" s="7">
        <v>45623.80000000001</v>
      </c>
      <c r="F22" s="7">
        <v>288219</v>
      </c>
      <c r="G22" s="7"/>
      <c r="H22" s="8">
        <f t="shared" si="0"/>
        <v>844.88518518518538</v>
      </c>
      <c r="I22" s="8">
        <f t="shared" si="1"/>
        <v>5337.3888888888887</v>
      </c>
      <c r="J22" s="8">
        <v>3153</v>
      </c>
      <c r="K22" s="9">
        <v>83</v>
      </c>
      <c r="L22" s="10"/>
    </row>
    <row r="23" spans="1:12" ht="20.25" hidden="1" customHeight="1" x14ac:dyDescent="0.25">
      <c r="B23" s="5" t="s">
        <v>26</v>
      </c>
      <c r="C23" s="6">
        <v>34</v>
      </c>
      <c r="D23" s="6">
        <v>70</v>
      </c>
      <c r="E23" s="7">
        <v>52793.799999999988</v>
      </c>
      <c r="F23" s="7">
        <v>339381</v>
      </c>
      <c r="G23" s="7"/>
      <c r="H23" s="8">
        <f t="shared" si="0"/>
        <v>754.19714285714269</v>
      </c>
      <c r="I23" s="8">
        <f t="shared" si="1"/>
        <v>4848.3</v>
      </c>
      <c r="J23" s="8">
        <v>3153</v>
      </c>
      <c r="K23" s="9">
        <v>90</v>
      </c>
      <c r="L23" s="10"/>
    </row>
    <row r="24" spans="1:12" ht="20.25" hidden="1" customHeight="1" x14ac:dyDescent="0.25">
      <c r="B24" s="5" t="s">
        <v>27</v>
      </c>
      <c r="C24" s="6">
        <v>29</v>
      </c>
      <c r="D24" s="6">
        <v>63</v>
      </c>
      <c r="E24" s="7">
        <v>43962.500000000015</v>
      </c>
      <c r="F24" s="7">
        <v>276680</v>
      </c>
      <c r="G24" s="7"/>
      <c r="H24" s="8">
        <f t="shared" si="0"/>
        <v>697.81746031746059</v>
      </c>
      <c r="I24" s="8">
        <f t="shared" si="1"/>
        <v>4391.7460317460318</v>
      </c>
      <c r="J24" s="8">
        <v>3258</v>
      </c>
      <c r="K24" s="9">
        <v>93</v>
      </c>
      <c r="L24" s="10"/>
    </row>
    <row r="25" spans="1:12" ht="20.25" hidden="1" customHeight="1" x14ac:dyDescent="0.25">
      <c r="B25" s="5" t="s">
        <v>28</v>
      </c>
      <c r="C25" s="6">
        <v>32</v>
      </c>
      <c r="D25" s="6">
        <v>61</v>
      </c>
      <c r="E25" s="7">
        <v>47398.400000000009</v>
      </c>
      <c r="F25" s="7">
        <v>294147</v>
      </c>
      <c r="G25" s="7"/>
      <c r="H25" s="8">
        <f t="shared" si="0"/>
        <v>777.02295081967225</v>
      </c>
      <c r="I25" s="8">
        <f t="shared" si="1"/>
        <v>4822.0819672131147</v>
      </c>
      <c r="J25" s="8">
        <v>3258</v>
      </c>
      <c r="K25" s="9">
        <v>94</v>
      </c>
      <c r="L25" s="10"/>
    </row>
    <row r="26" spans="1:12" ht="20.25" hidden="1" customHeight="1" x14ac:dyDescent="0.25">
      <c r="B26" s="5" t="s">
        <v>29</v>
      </c>
      <c r="C26" s="6">
        <v>31</v>
      </c>
      <c r="D26" s="6">
        <v>64</v>
      </c>
      <c r="E26" s="7">
        <v>52029.7</v>
      </c>
      <c r="F26" s="7">
        <v>328401</v>
      </c>
      <c r="G26" s="7"/>
      <c r="H26" s="8">
        <f t="shared" si="0"/>
        <v>812.96406249999995</v>
      </c>
      <c r="I26" s="8">
        <f t="shared" si="1"/>
        <v>5131.265625</v>
      </c>
      <c r="J26" s="8">
        <v>3353</v>
      </c>
      <c r="K26" s="9">
        <v>89</v>
      </c>
      <c r="L26" s="10"/>
    </row>
    <row r="27" spans="1:12" ht="20.25" hidden="1" customHeight="1" x14ac:dyDescent="0.25">
      <c r="B27" s="5" t="s">
        <v>30</v>
      </c>
      <c r="C27" s="6">
        <v>30</v>
      </c>
      <c r="D27" s="6">
        <v>59</v>
      </c>
      <c r="E27" s="7">
        <v>48384.600000000006</v>
      </c>
      <c r="F27" s="7">
        <v>292917</v>
      </c>
      <c r="G27" s="7"/>
      <c r="H27" s="8">
        <f t="shared" si="0"/>
        <v>820.07796610169498</v>
      </c>
      <c r="I27" s="8">
        <f t="shared" si="1"/>
        <v>4964.6949152542375</v>
      </c>
      <c r="J27" s="8">
        <v>3295</v>
      </c>
      <c r="K27" s="9">
        <v>91</v>
      </c>
      <c r="L27" s="10"/>
    </row>
    <row r="28" spans="1:12" ht="20.25" hidden="1" customHeight="1" x14ac:dyDescent="0.25">
      <c r="B28" s="5" t="s">
        <v>31</v>
      </c>
      <c r="C28" s="6">
        <v>32</v>
      </c>
      <c r="D28" s="6">
        <v>59</v>
      </c>
      <c r="E28" s="7">
        <v>48384.600000000006</v>
      </c>
      <c r="F28" s="7">
        <v>292917</v>
      </c>
      <c r="G28" s="7"/>
      <c r="H28" s="8">
        <f t="shared" si="0"/>
        <v>820.07796610169498</v>
      </c>
      <c r="I28" s="8">
        <f t="shared" si="1"/>
        <v>4964.6949152542375</v>
      </c>
      <c r="J28" s="8">
        <v>3295</v>
      </c>
      <c r="K28" s="9">
        <v>91</v>
      </c>
      <c r="L28" s="10"/>
    </row>
    <row r="29" spans="1:12" ht="20.25" hidden="1" customHeight="1" x14ac:dyDescent="0.25">
      <c r="B29" s="5" t="s">
        <v>32</v>
      </c>
      <c r="C29" s="6">
        <v>32</v>
      </c>
      <c r="D29" s="6">
        <v>67</v>
      </c>
      <c r="E29" s="7">
        <v>55705.399999999994</v>
      </c>
      <c r="F29" s="7">
        <v>327798</v>
      </c>
      <c r="G29" s="7"/>
      <c r="H29" s="8">
        <f t="shared" si="0"/>
        <v>831.42388059701489</v>
      </c>
      <c r="I29" s="8">
        <f t="shared" si="1"/>
        <v>4892.5074626865671</v>
      </c>
      <c r="J29" s="8">
        <v>3266</v>
      </c>
      <c r="K29" s="9">
        <v>88</v>
      </c>
      <c r="L29" s="10"/>
    </row>
    <row r="30" spans="1:12" ht="20.25" hidden="1" customHeight="1" x14ac:dyDescent="0.25">
      <c r="B30" s="5" t="s">
        <v>33</v>
      </c>
      <c r="C30" s="6">
        <v>32</v>
      </c>
      <c r="D30" s="6">
        <v>69</v>
      </c>
      <c r="E30" s="7">
        <v>54164.250000000015</v>
      </c>
      <c r="F30" s="7">
        <v>326712</v>
      </c>
      <c r="G30" s="7"/>
      <c r="H30" s="8">
        <f t="shared" si="0"/>
        <v>784.98913043478285</v>
      </c>
      <c r="I30" s="8">
        <f t="shared" si="1"/>
        <v>4734.95652173913</v>
      </c>
      <c r="J30" s="8">
        <v>3316</v>
      </c>
      <c r="K30" s="9">
        <v>87</v>
      </c>
      <c r="L30" s="10"/>
    </row>
    <row r="31" spans="1:12" ht="20.25" hidden="1" customHeight="1" x14ac:dyDescent="0.25">
      <c r="B31" s="5" t="s">
        <v>34</v>
      </c>
      <c r="C31" s="6">
        <v>25</v>
      </c>
      <c r="D31" s="6">
        <v>47</v>
      </c>
      <c r="E31" s="7">
        <v>35056.300000000003</v>
      </c>
      <c r="F31" s="7">
        <v>222304</v>
      </c>
      <c r="G31" s="7"/>
      <c r="H31" s="8">
        <f t="shared" si="0"/>
        <v>745.87872340425542</v>
      </c>
      <c r="I31" s="8">
        <f t="shared" si="1"/>
        <v>4729.8723404255315</v>
      </c>
      <c r="J31" s="8">
        <v>3263</v>
      </c>
      <c r="K31" s="9">
        <v>97</v>
      </c>
      <c r="L31" s="10"/>
    </row>
    <row r="32" spans="1:12" ht="20.25" hidden="1" customHeight="1" x14ac:dyDescent="0.25">
      <c r="A32" s="11"/>
      <c r="B32" s="5" t="s">
        <v>35</v>
      </c>
      <c r="C32" s="6">
        <v>31</v>
      </c>
      <c r="D32" s="6">
        <v>57</v>
      </c>
      <c r="E32" s="7">
        <v>46010.5</v>
      </c>
      <c r="F32" s="7">
        <v>283046</v>
      </c>
      <c r="G32" s="7"/>
      <c r="H32" s="8">
        <f t="shared" si="0"/>
        <v>807.20175438596493</v>
      </c>
      <c r="I32" s="8">
        <f t="shared" si="1"/>
        <v>4965.7192982456145</v>
      </c>
      <c r="J32" s="8">
        <v>3251</v>
      </c>
      <c r="K32" s="9">
        <v>97</v>
      </c>
      <c r="L32" s="10"/>
    </row>
    <row r="33" spans="2:12" ht="20.25" hidden="1" customHeight="1" x14ac:dyDescent="0.25">
      <c r="B33" s="5" t="s">
        <v>36</v>
      </c>
      <c r="C33" s="6">
        <v>31</v>
      </c>
      <c r="D33" s="6">
        <v>69</v>
      </c>
      <c r="E33" s="7">
        <v>48882.799999999974</v>
      </c>
      <c r="F33" s="7">
        <v>306249</v>
      </c>
      <c r="G33" s="7"/>
      <c r="H33" s="8">
        <f t="shared" si="0"/>
        <v>708.44637681159384</v>
      </c>
      <c r="I33" s="8">
        <f t="shared" si="1"/>
        <v>4438.391304347826</v>
      </c>
      <c r="J33" s="8">
        <v>3350</v>
      </c>
      <c r="K33" s="9">
        <v>83</v>
      </c>
      <c r="L33" s="10"/>
    </row>
    <row r="34" spans="2:12" ht="20.25" hidden="1" customHeight="1" x14ac:dyDescent="0.25">
      <c r="B34" s="5" t="s">
        <v>37</v>
      </c>
      <c r="C34" s="6">
        <v>31</v>
      </c>
      <c r="D34" s="6">
        <v>69</v>
      </c>
      <c r="E34" s="7">
        <v>48882.799999999974</v>
      </c>
      <c r="F34" s="7">
        <v>306249</v>
      </c>
      <c r="G34" s="7"/>
      <c r="H34" s="8">
        <f t="shared" si="0"/>
        <v>708.44637681159384</v>
      </c>
      <c r="I34" s="8">
        <f t="shared" si="1"/>
        <v>4438.391304347826</v>
      </c>
      <c r="J34" s="8">
        <v>3350</v>
      </c>
      <c r="K34" s="9">
        <v>74</v>
      </c>
      <c r="L34" s="10"/>
    </row>
    <row r="35" spans="2:12" ht="20.25" hidden="1" customHeight="1" x14ac:dyDescent="0.25">
      <c r="B35" s="5" t="s">
        <v>38</v>
      </c>
      <c r="C35" s="6">
        <v>30</v>
      </c>
      <c r="D35" s="6">
        <v>62</v>
      </c>
      <c r="E35" s="7">
        <v>51322.39999999998</v>
      </c>
      <c r="F35" s="7">
        <v>316672</v>
      </c>
      <c r="G35" s="7"/>
      <c r="H35" s="8">
        <f t="shared" si="0"/>
        <v>827.78064516128995</v>
      </c>
      <c r="I35" s="8">
        <f t="shared" si="1"/>
        <v>5107.6129032258068</v>
      </c>
      <c r="J35" s="8">
        <v>3278</v>
      </c>
      <c r="K35" s="9">
        <v>82</v>
      </c>
      <c r="L35" s="10"/>
    </row>
    <row r="36" spans="2:12" ht="20.25" hidden="1" customHeight="1" x14ac:dyDescent="0.25">
      <c r="B36" s="5" t="s">
        <v>39</v>
      </c>
      <c r="C36" s="6">
        <v>31</v>
      </c>
      <c r="D36" s="6">
        <v>69</v>
      </c>
      <c r="E36" s="7">
        <v>49953.579999999973</v>
      </c>
      <c r="F36" s="7">
        <v>297207</v>
      </c>
      <c r="G36" s="7"/>
      <c r="H36" s="8">
        <f t="shared" si="0"/>
        <v>723.96492753623147</v>
      </c>
      <c r="I36" s="8">
        <f t="shared" si="1"/>
        <v>4307.347826086957</v>
      </c>
      <c r="J36" s="8">
        <v>3188</v>
      </c>
      <c r="K36" s="9">
        <v>79</v>
      </c>
      <c r="L36" s="10"/>
    </row>
    <row r="37" spans="2:12" ht="20.25" hidden="1" customHeight="1" x14ac:dyDescent="0.25">
      <c r="B37" s="5" t="s">
        <v>40</v>
      </c>
      <c r="C37" s="6">
        <v>32</v>
      </c>
      <c r="D37" s="6">
        <v>53</v>
      </c>
      <c r="E37" s="7">
        <v>43787.7</v>
      </c>
      <c r="F37" s="7">
        <v>276801</v>
      </c>
      <c r="G37" s="7"/>
      <c r="H37" s="8">
        <f t="shared" si="0"/>
        <v>826.18301886792449</v>
      </c>
      <c r="I37" s="8">
        <f t="shared" si="1"/>
        <v>5222.6603773584902</v>
      </c>
      <c r="J37" s="8">
        <v>3188</v>
      </c>
      <c r="K37" s="9">
        <v>84</v>
      </c>
      <c r="L37" s="10"/>
    </row>
    <row r="38" spans="2:12" ht="20.25" hidden="1" customHeight="1" x14ac:dyDescent="0.25">
      <c r="B38" s="5" t="s">
        <v>41</v>
      </c>
      <c r="C38" s="6">
        <v>33</v>
      </c>
      <c r="D38" s="6">
        <v>65</v>
      </c>
      <c r="E38" s="7">
        <v>46046.999999999993</v>
      </c>
      <c r="F38" s="7">
        <v>286308</v>
      </c>
      <c r="G38" s="7"/>
      <c r="H38" s="8">
        <f t="shared" si="0"/>
        <v>708.41538461538448</v>
      </c>
      <c r="I38" s="8">
        <f t="shared" si="1"/>
        <v>4404.7384615384617</v>
      </c>
      <c r="J38" s="8">
        <v>3383</v>
      </c>
      <c r="K38" s="9">
        <v>89</v>
      </c>
      <c r="L38" s="10"/>
    </row>
    <row r="39" spans="2:12" ht="20.25" hidden="1" customHeight="1" x14ac:dyDescent="0.25">
      <c r="B39" s="5" t="s">
        <v>42</v>
      </c>
      <c r="C39" s="6">
        <v>37</v>
      </c>
      <c r="D39" s="6">
        <v>65</v>
      </c>
      <c r="E39" s="7">
        <v>52751.19999999999</v>
      </c>
      <c r="F39" s="7">
        <v>334544</v>
      </c>
      <c r="G39" s="7"/>
      <c r="H39" s="8">
        <f t="shared" si="0"/>
        <v>811.55692307692289</v>
      </c>
      <c r="I39" s="8">
        <f t="shared" si="1"/>
        <v>5146.830769230769</v>
      </c>
      <c r="J39" s="8">
        <v>3383</v>
      </c>
      <c r="K39" s="9">
        <v>86</v>
      </c>
      <c r="L39" s="10"/>
    </row>
    <row r="40" spans="2:12" ht="20.25" hidden="1" customHeight="1" x14ac:dyDescent="0.25">
      <c r="B40" s="5" t="s">
        <v>43</v>
      </c>
      <c r="C40" s="6">
        <v>35</v>
      </c>
      <c r="D40" s="6">
        <v>74</v>
      </c>
      <c r="E40" s="7">
        <v>55619.899999999994</v>
      </c>
      <c r="F40" s="7">
        <v>350122</v>
      </c>
      <c r="G40" s="7"/>
      <c r="H40" s="8">
        <f t="shared" si="0"/>
        <v>751.62027027027023</v>
      </c>
      <c r="I40" s="8">
        <f t="shared" si="1"/>
        <v>4731.3783783783783</v>
      </c>
      <c r="J40" s="8">
        <v>3314</v>
      </c>
      <c r="K40" s="9">
        <v>81</v>
      </c>
      <c r="L40" s="10"/>
    </row>
    <row r="41" spans="2:12" ht="20.25" hidden="1" customHeight="1" x14ac:dyDescent="0.25">
      <c r="B41" s="5" t="s">
        <v>44</v>
      </c>
      <c r="C41" s="6">
        <v>36</v>
      </c>
      <c r="D41" s="6">
        <v>65</v>
      </c>
      <c r="E41" s="7">
        <v>48212.920000000006</v>
      </c>
      <c r="F41" s="7">
        <v>300292</v>
      </c>
      <c r="G41" s="7"/>
      <c r="H41" s="8">
        <f t="shared" si="0"/>
        <v>741.73723076923091</v>
      </c>
      <c r="I41" s="8">
        <f t="shared" si="1"/>
        <v>4619.876923076923</v>
      </c>
      <c r="J41" s="8">
        <v>3310</v>
      </c>
      <c r="K41" s="9">
        <v>90</v>
      </c>
      <c r="L41" s="10"/>
    </row>
    <row r="42" spans="2:12" ht="20.25" hidden="1" customHeight="1" x14ac:dyDescent="0.25">
      <c r="B42" s="5" t="s">
        <v>45</v>
      </c>
      <c r="C42" s="6">
        <v>32</v>
      </c>
      <c r="D42" s="6">
        <v>64</v>
      </c>
      <c r="E42" s="7">
        <v>45640.19999999999</v>
      </c>
      <c r="F42" s="7">
        <v>292741</v>
      </c>
      <c r="G42" s="7"/>
      <c r="H42" s="8">
        <f t="shared" si="0"/>
        <v>713.12812499999984</v>
      </c>
      <c r="I42" s="8">
        <f t="shared" si="1"/>
        <v>4574.078125</v>
      </c>
      <c r="J42" s="8">
        <v>3314</v>
      </c>
      <c r="K42" s="9">
        <v>91</v>
      </c>
      <c r="L42" s="10"/>
    </row>
    <row r="43" spans="2:12" ht="20.25" hidden="1" customHeight="1" x14ac:dyDescent="0.25">
      <c r="B43" s="5" t="s">
        <v>46</v>
      </c>
      <c r="C43" s="6">
        <v>33</v>
      </c>
      <c r="D43" s="6">
        <v>65</v>
      </c>
      <c r="E43" s="7">
        <v>49141.9</v>
      </c>
      <c r="F43" s="7">
        <v>312304</v>
      </c>
      <c r="G43" s="7"/>
      <c r="H43" s="8">
        <f t="shared" si="0"/>
        <v>756.02923076923082</v>
      </c>
      <c r="I43" s="8">
        <f t="shared" si="1"/>
        <v>4804.6769230769232</v>
      </c>
      <c r="J43" s="8">
        <v>3271</v>
      </c>
      <c r="K43" s="9">
        <v>84</v>
      </c>
      <c r="L43" s="10"/>
    </row>
    <row r="44" spans="2:12" ht="20.25" hidden="1" customHeight="1" x14ac:dyDescent="0.25">
      <c r="B44" s="5" t="s">
        <v>47</v>
      </c>
      <c r="C44" s="6">
        <v>32</v>
      </c>
      <c r="D44" s="6">
        <v>68</v>
      </c>
      <c r="E44" s="7">
        <v>50568.19999999999</v>
      </c>
      <c r="F44" s="7">
        <v>322964</v>
      </c>
      <c r="G44" s="7"/>
      <c r="H44" s="8">
        <f t="shared" si="0"/>
        <v>743.64999999999986</v>
      </c>
      <c r="I44" s="8">
        <f t="shared" si="1"/>
        <v>4749.4705882352937</v>
      </c>
      <c r="J44" s="8">
        <v>3387</v>
      </c>
      <c r="K44" s="9">
        <v>83</v>
      </c>
      <c r="L44" s="10"/>
    </row>
    <row r="45" spans="2:12" ht="20.25" hidden="1" customHeight="1" x14ac:dyDescent="0.25">
      <c r="B45" s="5" t="s">
        <v>48</v>
      </c>
      <c r="C45" s="6">
        <v>35</v>
      </c>
      <c r="D45" s="6">
        <v>72</v>
      </c>
      <c r="E45" s="7">
        <v>52151.499999999993</v>
      </c>
      <c r="F45" s="7">
        <v>334457</v>
      </c>
      <c r="G45" s="7"/>
      <c r="H45" s="8">
        <f t="shared" si="0"/>
        <v>724.3263888888888</v>
      </c>
      <c r="I45" s="8">
        <f t="shared" si="1"/>
        <v>4645.2361111111113</v>
      </c>
      <c r="J45" s="8">
        <v>3387</v>
      </c>
      <c r="K45" s="9">
        <v>77</v>
      </c>
      <c r="L45" s="10"/>
    </row>
    <row r="46" spans="2:12" ht="20.25" hidden="1" customHeight="1" x14ac:dyDescent="0.25">
      <c r="B46" s="5" t="s">
        <v>49</v>
      </c>
      <c r="C46" s="6">
        <v>35</v>
      </c>
      <c r="D46" s="6">
        <v>72</v>
      </c>
      <c r="E46" s="7">
        <v>52151.499999999993</v>
      </c>
      <c r="F46" s="7">
        <v>334457</v>
      </c>
      <c r="G46" s="7"/>
      <c r="H46" s="8">
        <f t="shared" si="0"/>
        <v>724.3263888888888</v>
      </c>
      <c r="I46" s="8">
        <f t="shared" si="1"/>
        <v>4645.2361111111113</v>
      </c>
      <c r="J46" s="8">
        <v>3387</v>
      </c>
      <c r="K46" s="9">
        <v>81</v>
      </c>
      <c r="L46" s="10"/>
    </row>
    <row r="47" spans="2:12" ht="20.25" hidden="1" customHeight="1" x14ac:dyDescent="0.25">
      <c r="B47" s="5" t="s">
        <v>50</v>
      </c>
      <c r="C47" s="6">
        <v>34</v>
      </c>
      <c r="D47" s="6">
        <v>55</v>
      </c>
      <c r="E47" s="7">
        <v>43412.30000000001</v>
      </c>
      <c r="F47" s="7">
        <v>256946</v>
      </c>
      <c r="G47" s="7"/>
      <c r="H47" s="8">
        <f t="shared" si="0"/>
        <v>789.31454545454562</v>
      </c>
      <c r="I47" s="8">
        <f t="shared" si="1"/>
        <v>4671.7454545454548</v>
      </c>
      <c r="J47" s="8">
        <v>3348</v>
      </c>
      <c r="K47" s="9">
        <v>88</v>
      </c>
      <c r="L47" s="10"/>
    </row>
    <row r="48" spans="2:12" ht="20.25" hidden="1" customHeight="1" x14ac:dyDescent="0.25">
      <c r="B48" s="5" t="s">
        <v>51</v>
      </c>
      <c r="C48" s="6">
        <v>31</v>
      </c>
      <c r="D48" s="6">
        <v>63</v>
      </c>
      <c r="E48" s="7">
        <v>39808.299999999996</v>
      </c>
      <c r="F48" s="7">
        <v>240154</v>
      </c>
      <c r="G48" s="7"/>
      <c r="H48" s="8">
        <f t="shared" si="0"/>
        <v>631.87777777777774</v>
      </c>
      <c r="I48" s="8">
        <f t="shared" si="1"/>
        <v>3811.968253968254</v>
      </c>
      <c r="J48" s="8">
        <v>3349</v>
      </c>
      <c r="K48" s="9">
        <v>88</v>
      </c>
      <c r="L48" s="10"/>
    </row>
    <row r="49" spans="2:15" ht="20.25" hidden="1" customHeight="1" x14ac:dyDescent="0.25">
      <c r="B49" s="5" t="s">
        <v>52</v>
      </c>
      <c r="C49" s="6">
        <v>31</v>
      </c>
      <c r="D49" s="6">
        <v>63</v>
      </c>
      <c r="E49" s="7">
        <v>36824.099999999991</v>
      </c>
      <c r="F49" s="7">
        <v>220426</v>
      </c>
      <c r="G49" s="7"/>
      <c r="H49" s="8">
        <f t="shared" si="0"/>
        <v>584.50952380952367</v>
      </c>
      <c r="I49" s="8">
        <f t="shared" si="1"/>
        <v>3498.8253968253966</v>
      </c>
      <c r="J49" s="8">
        <v>3349</v>
      </c>
      <c r="K49" s="9">
        <v>79</v>
      </c>
      <c r="L49" s="10"/>
    </row>
    <row r="50" spans="2:15" ht="20.25" hidden="1" customHeight="1" x14ac:dyDescent="0.25">
      <c r="B50" s="5" t="s">
        <v>53</v>
      </c>
      <c r="C50" s="6">
        <v>38</v>
      </c>
      <c r="D50" s="6">
        <v>70</v>
      </c>
      <c r="E50" s="7">
        <v>52444.400000000016</v>
      </c>
      <c r="F50" s="7">
        <v>330431</v>
      </c>
      <c r="G50" s="7"/>
      <c r="H50" s="8">
        <f t="shared" si="0"/>
        <v>749.20571428571452</v>
      </c>
      <c r="I50" s="8">
        <f t="shared" si="1"/>
        <v>4720.4428571428571</v>
      </c>
      <c r="J50" s="8">
        <v>3349</v>
      </c>
      <c r="K50" s="9">
        <v>80</v>
      </c>
      <c r="L50" s="10"/>
    </row>
    <row r="51" spans="2:15" ht="20.25" hidden="1" customHeight="1" x14ac:dyDescent="0.25">
      <c r="B51" s="5" t="s">
        <v>54</v>
      </c>
      <c r="C51" s="6">
        <v>35</v>
      </c>
      <c r="D51" s="6">
        <v>66</v>
      </c>
      <c r="E51" s="7">
        <v>49875.1</v>
      </c>
      <c r="F51" s="7">
        <v>306283</v>
      </c>
      <c r="G51" s="7"/>
      <c r="H51" s="8">
        <f t="shared" si="0"/>
        <v>755.68333333333328</v>
      </c>
      <c r="I51" s="8">
        <f t="shared" si="1"/>
        <v>4640.651515151515</v>
      </c>
      <c r="J51" s="8">
        <v>3349</v>
      </c>
      <c r="K51" s="9">
        <v>80</v>
      </c>
      <c r="L51" s="10"/>
    </row>
    <row r="52" spans="2:15" ht="20.25" hidden="1" customHeight="1" x14ac:dyDescent="0.25">
      <c r="B52" s="5" t="s">
        <v>55</v>
      </c>
      <c r="C52" s="6">
        <v>33</v>
      </c>
      <c r="D52" s="6">
        <v>61</v>
      </c>
      <c r="E52" s="7">
        <v>47537.999999999993</v>
      </c>
      <c r="F52" s="7">
        <v>291482</v>
      </c>
      <c r="G52" s="7"/>
      <c r="H52" s="8">
        <f t="shared" si="0"/>
        <v>779.31147540983591</v>
      </c>
      <c r="I52" s="8">
        <f t="shared" si="1"/>
        <v>4778.3934426229507</v>
      </c>
      <c r="J52" s="8">
        <v>3350</v>
      </c>
      <c r="K52" s="9">
        <v>78</v>
      </c>
      <c r="L52" s="10"/>
    </row>
    <row r="53" spans="2:15" ht="20.25" hidden="1" customHeight="1" x14ac:dyDescent="0.25">
      <c r="B53" s="5" t="s">
        <v>56</v>
      </c>
      <c r="C53" s="6">
        <v>38</v>
      </c>
      <c r="D53" s="6">
        <v>62</v>
      </c>
      <c r="E53" s="7">
        <v>47286.6</v>
      </c>
      <c r="F53" s="7">
        <v>286021</v>
      </c>
      <c r="G53" s="7"/>
      <c r="H53" s="8">
        <f t="shared" si="0"/>
        <v>762.68709677419349</v>
      </c>
      <c r="I53" s="8">
        <f t="shared" si="1"/>
        <v>4613.2419354838712</v>
      </c>
      <c r="J53" s="8">
        <v>3350</v>
      </c>
      <c r="K53" s="9">
        <v>74</v>
      </c>
      <c r="L53" s="10"/>
    </row>
    <row r="54" spans="2:15" ht="20.25" hidden="1" customHeight="1" x14ac:dyDescent="0.25">
      <c r="B54" s="5" t="s">
        <v>57</v>
      </c>
      <c r="C54" s="6">
        <v>33</v>
      </c>
      <c r="D54" s="6">
        <v>63</v>
      </c>
      <c r="E54" s="7">
        <v>47455.600000000013</v>
      </c>
      <c r="F54" s="7">
        <v>277600</v>
      </c>
      <c r="G54" s="7"/>
      <c r="H54" s="8">
        <f t="shared" si="0"/>
        <v>753.26349206349232</v>
      </c>
      <c r="I54" s="8">
        <f t="shared" si="1"/>
        <v>4406.3492063492067</v>
      </c>
      <c r="J54" s="8">
        <v>3350</v>
      </c>
      <c r="K54" s="9">
        <v>92</v>
      </c>
      <c r="L54" s="10"/>
    </row>
    <row r="55" spans="2:15" ht="20.25" hidden="1" customHeight="1" x14ac:dyDescent="0.25">
      <c r="B55" s="5" t="s">
        <v>58</v>
      </c>
      <c r="C55" s="6">
        <v>38</v>
      </c>
      <c r="D55" s="6">
        <v>71</v>
      </c>
      <c r="E55" s="7">
        <v>54079.9</v>
      </c>
      <c r="F55" s="7">
        <v>346091</v>
      </c>
      <c r="G55" s="7"/>
      <c r="H55" s="8">
        <f t="shared" si="0"/>
        <v>761.68873239436618</v>
      </c>
      <c r="I55" s="8">
        <f t="shared" si="1"/>
        <v>4874.5211267605637</v>
      </c>
      <c r="J55" s="8">
        <v>3350</v>
      </c>
      <c r="K55" s="9">
        <v>94</v>
      </c>
      <c r="L55" s="10"/>
    </row>
    <row r="56" spans="2:15" ht="20.25" hidden="1" customHeight="1" x14ac:dyDescent="0.25">
      <c r="B56" s="5" t="s">
        <v>59</v>
      </c>
      <c r="C56" s="6">
        <v>20</v>
      </c>
      <c r="D56" s="6">
        <v>43</v>
      </c>
      <c r="E56" s="7">
        <v>33416.599999999991</v>
      </c>
      <c r="F56" s="7">
        <v>197476</v>
      </c>
      <c r="G56" s="7"/>
      <c r="H56" s="8">
        <f t="shared" si="0"/>
        <v>777.13023255813937</v>
      </c>
      <c r="I56" s="8">
        <f t="shared" si="1"/>
        <v>4592.4651162790697</v>
      </c>
      <c r="J56" s="8">
        <v>3316</v>
      </c>
      <c r="K56" s="9">
        <v>86</v>
      </c>
      <c r="L56" s="10"/>
    </row>
    <row r="57" spans="2:15" ht="20.25" hidden="1" customHeight="1" x14ac:dyDescent="0.25">
      <c r="B57" s="5" t="s">
        <v>9</v>
      </c>
      <c r="C57" s="6">
        <v>20</v>
      </c>
      <c r="D57" s="6">
        <v>34</v>
      </c>
      <c r="E57" s="7">
        <v>27776.799999999999</v>
      </c>
      <c r="F57" s="7">
        <v>173806</v>
      </c>
      <c r="G57" s="7"/>
      <c r="H57" s="8">
        <f t="shared" si="0"/>
        <v>816.96470588235297</v>
      </c>
      <c r="I57" s="8">
        <f t="shared" si="1"/>
        <v>5111.9411764705883</v>
      </c>
      <c r="J57" s="8">
        <v>3219</v>
      </c>
      <c r="K57" s="9">
        <v>79</v>
      </c>
      <c r="L57" s="10"/>
    </row>
    <row r="58" spans="2:15" ht="18" hidden="1" customHeight="1" x14ac:dyDescent="0.25">
      <c r="B58" s="5" t="s">
        <v>10</v>
      </c>
      <c r="C58" s="6">
        <v>33</v>
      </c>
      <c r="D58" s="6">
        <v>71</v>
      </c>
      <c r="E58" s="7">
        <v>57337.499999999993</v>
      </c>
      <c r="F58" s="7">
        <v>344635</v>
      </c>
      <c r="G58" s="7"/>
      <c r="H58" s="8">
        <f t="shared" si="0"/>
        <v>807.57042253521115</v>
      </c>
      <c r="I58" s="8">
        <f t="shared" si="1"/>
        <v>4854.0140845070418</v>
      </c>
      <c r="J58" s="8">
        <v>3317</v>
      </c>
      <c r="K58" s="9">
        <v>80</v>
      </c>
      <c r="L58" s="5"/>
      <c r="M58" s="12"/>
      <c r="N58" s="5"/>
      <c r="O58" s="12"/>
    </row>
    <row r="59" spans="2:15" ht="18" hidden="1" customHeight="1" x14ac:dyDescent="0.25">
      <c r="B59" s="5" t="s">
        <v>11</v>
      </c>
      <c r="C59" s="6">
        <v>29</v>
      </c>
      <c r="D59" s="6">
        <v>55</v>
      </c>
      <c r="E59" s="7">
        <v>44069.3</v>
      </c>
      <c r="F59" s="7">
        <v>267077</v>
      </c>
      <c r="G59" s="7"/>
      <c r="H59" s="8">
        <f t="shared" si="0"/>
        <v>801.2600000000001</v>
      </c>
      <c r="I59" s="8">
        <f t="shared" si="1"/>
        <v>4855.9454545454546</v>
      </c>
      <c r="J59" s="8">
        <v>3336</v>
      </c>
      <c r="K59" s="9">
        <v>88</v>
      </c>
      <c r="L59" s="5"/>
      <c r="M59" s="12"/>
      <c r="N59" s="5"/>
      <c r="O59" s="12"/>
    </row>
    <row r="60" spans="2:15" ht="18" hidden="1" customHeight="1" x14ac:dyDescent="0.25">
      <c r="B60" s="5" t="s">
        <v>12</v>
      </c>
      <c r="C60" s="6">
        <v>36</v>
      </c>
      <c r="D60" s="6">
        <v>74</v>
      </c>
      <c r="E60" s="7">
        <v>63987</v>
      </c>
      <c r="F60" s="7">
        <v>419885</v>
      </c>
      <c r="G60" s="7"/>
      <c r="H60" s="8">
        <f t="shared" si="0"/>
        <v>864.68918918918916</v>
      </c>
      <c r="I60" s="8">
        <f t="shared" si="1"/>
        <v>5674.1216216216217</v>
      </c>
      <c r="J60" s="8">
        <v>3233</v>
      </c>
      <c r="K60" s="9">
        <v>94</v>
      </c>
      <c r="L60" s="5"/>
      <c r="M60" s="12"/>
      <c r="N60" s="5"/>
      <c r="O60" s="12"/>
    </row>
    <row r="61" spans="2:15" ht="18" hidden="1" customHeight="1" x14ac:dyDescent="0.25">
      <c r="B61" s="5" t="s">
        <v>13</v>
      </c>
      <c r="C61" s="6">
        <v>35</v>
      </c>
      <c r="D61" s="6">
        <v>66</v>
      </c>
      <c r="E61" s="7">
        <v>53497.400000000009</v>
      </c>
      <c r="F61" s="7">
        <v>347859</v>
      </c>
      <c r="G61" s="7"/>
      <c r="H61" s="8">
        <f t="shared" si="0"/>
        <v>810.56666666666683</v>
      </c>
      <c r="I61" s="8">
        <f t="shared" si="1"/>
        <v>5270.590909090909</v>
      </c>
      <c r="J61" s="8">
        <v>3280</v>
      </c>
      <c r="K61" s="9">
        <v>87</v>
      </c>
      <c r="L61" s="5"/>
      <c r="M61" s="12"/>
      <c r="N61" s="5"/>
      <c r="O61" s="12"/>
    </row>
    <row r="62" spans="2:15" ht="18" hidden="1" customHeight="1" x14ac:dyDescent="0.25">
      <c r="B62" s="5" t="s">
        <v>14</v>
      </c>
      <c r="C62" s="6">
        <v>31</v>
      </c>
      <c r="D62" s="6">
        <v>222</v>
      </c>
      <c r="E62" s="7">
        <v>53571.200000000004</v>
      </c>
      <c r="F62" s="7">
        <v>2399000</v>
      </c>
      <c r="G62" s="7"/>
      <c r="H62" s="8">
        <f t="shared" si="0"/>
        <v>241.31171171171172</v>
      </c>
      <c r="I62" s="8">
        <f t="shared" si="1"/>
        <v>10806.306306306305</v>
      </c>
      <c r="J62" s="8">
        <v>3285</v>
      </c>
      <c r="K62" s="9">
        <v>89</v>
      </c>
      <c r="L62" s="5"/>
      <c r="M62" s="12"/>
      <c r="N62" s="5"/>
      <c r="O62" s="12"/>
    </row>
    <row r="63" spans="2:15" ht="18" hidden="1" customHeight="1" x14ac:dyDescent="0.25">
      <c r="B63" s="5" t="s">
        <v>15</v>
      </c>
      <c r="C63" s="6">
        <v>39</v>
      </c>
      <c r="D63" s="6">
        <v>73</v>
      </c>
      <c r="E63" s="7">
        <v>57056.900000000023</v>
      </c>
      <c r="F63" s="7">
        <v>344932</v>
      </c>
      <c r="G63" s="7"/>
      <c r="H63" s="8">
        <f t="shared" si="0"/>
        <v>781.60136986301404</v>
      </c>
      <c r="I63" s="8">
        <f t="shared" si="1"/>
        <v>4725.0958904109593</v>
      </c>
      <c r="J63" s="8">
        <v>3349</v>
      </c>
      <c r="K63" s="9">
        <v>80</v>
      </c>
      <c r="L63" s="5"/>
      <c r="M63" s="12"/>
      <c r="N63" s="5"/>
      <c r="O63" s="12"/>
    </row>
    <row r="64" spans="2:15" ht="18" hidden="1" customHeight="1" x14ac:dyDescent="0.25">
      <c r="B64" s="5" t="s">
        <v>16</v>
      </c>
      <c r="C64" s="6">
        <v>33</v>
      </c>
      <c r="D64" s="6">
        <v>58</v>
      </c>
      <c r="E64" s="7">
        <v>45763.199999999997</v>
      </c>
      <c r="F64" s="7">
        <v>291690</v>
      </c>
      <c r="G64" s="7"/>
      <c r="H64" s="8">
        <f t="shared" si="0"/>
        <v>789.02068965517242</v>
      </c>
      <c r="I64" s="8">
        <f t="shared" si="1"/>
        <v>5029.1379310344828</v>
      </c>
      <c r="J64" s="8">
        <v>3221</v>
      </c>
      <c r="K64" s="9">
        <v>83</v>
      </c>
      <c r="L64" s="5"/>
      <c r="M64" s="12"/>
      <c r="N64" s="5"/>
      <c r="O64" s="12"/>
    </row>
    <row r="65" spans="2:15" ht="18" hidden="1" customHeight="1" x14ac:dyDescent="0.25">
      <c r="B65" s="5" t="s">
        <v>17</v>
      </c>
      <c r="C65" s="6">
        <v>31</v>
      </c>
      <c r="D65" s="6">
        <v>63</v>
      </c>
      <c r="E65" s="7">
        <v>49867.1</v>
      </c>
      <c r="F65" s="7">
        <v>314922</v>
      </c>
      <c r="G65" s="7"/>
      <c r="H65" s="8">
        <f t="shared" si="0"/>
        <v>791.54126984126981</v>
      </c>
      <c r="I65" s="8">
        <f t="shared" si="1"/>
        <v>4998.7619047619046</v>
      </c>
      <c r="J65" s="8">
        <v>3238</v>
      </c>
      <c r="K65" s="9">
        <v>79</v>
      </c>
      <c r="L65" s="5"/>
      <c r="M65" s="12"/>
      <c r="N65" s="5"/>
      <c r="O65" s="12"/>
    </row>
    <row r="66" spans="2:15" ht="18" hidden="1" customHeight="1" x14ac:dyDescent="0.25">
      <c r="B66" s="5" t="s">
        <v>18</v>
      </c>
      <c r="C66" s="6">
        <v>33</v>
      </c>
      <c r="D66" s="6">
        <v>70</v>
      </c>
      <c r="E66" s="7">
        <v>48194.6</v>
      </c>
      <c r="F66" s="7">
        <v>297028</v>
      </c>
      <c r="G66" s="7"/>
      <c r="H66" s="8">
        <f t="shared" si="0"/>
        <v>688.49428571428564</v>
      </c>
      <c r="I66" s="8">
        <f t="shared" si="1"/>
        <v>4243.2571428571428</v>
      </c>
      <c r="J66" s="8">
        <v>3221</v>
      </c>
      <c r="K66" s="9">
        <v>80</v>
      </c>
      <c r="L66" s="5"/>
      <c r="M66" s="12"/>
      <c r="N66" s="5"/>
      <c r="O66" s="12"/>
    </row>
    <row r="67" spans="2:15" ht="18" hidden="1" customHeight="1" x14ac:dyDescent="0.25">
      <c r="B67" s="5" t="s">
        <v>19</v>
      </c>
      <c r="C67" s="6">
        <v>34</v>
      </c>
      <c r="D67" s="6">
        <v>73</v>
      </c>
      <c r="E67" s="7">
        <v>50283.69999999999</v>
      </c>
      <c r="F67" s="7">
        <v>301038</v>
      </c>
      <c r="G67" s="7"/>
      <c r="H67" s="8">
        <f t="shared" si="0"/>
        <v>688.81780821917789</v>
      </c>
      <c r="I67" s="8">
        <f t="shared" si="1"/>
        <v>4123.8082191780823</v>
      </c>
      <c r="J67" s="8">
        <v>3270</v>
      </c>
      <c r="K67" s="9">
        <v>79</v>
      </c>
      <c r="L67" s="5"/>
      <c r="M67" s="12"/>
      <c r="N67" s="5"/>
      <c r="O67" s="12"/>
    </row>
    <row r="68" spans="2:15" ht="18" hidden="1" customHeight="1" x14ac:dyDescent="0.25">
      <c r="B68" s="5" t="s">
        <v>20</v>
      </c>
      <c r="C68" s="6">
        <v>30</v>
      </c>
      <c r="D68" s="6">
        <v>71</v>
      </c>
      <c r="E68" s="7">
        <v>54073.700000000004</v>
      </c>
      <c r="F68" s="7">
        <v>325537</v>
      </c>
      <c r="G68" s="7"/>
      <c r="H68" s="8">
        <f t="shared" si="0"/>
        <v>761.6014084507043</v>
      </c>
      <c r="I68" s="8">
        <f t="shared" si="1"/>
        <v>4585.0281690140846</v>
      </c>
      <c r="J68" s="8">
        <v>3317</v>
      </c>
      <c r="K68" s="9">
        <v>75</v>
      </c>
      <c r="L68" s="5"/>
      <c r="M68" s="12"/>
      <c r="N68" s="5"/>
      <c r="O68" s="12"/>
    </row>
    <row r="69" spans="2:15" ht="18" hidden="1" customHeight="1" x14ac:dyDescent="0.25">
      <c r="B69" s="5" t="s">
        <v>21</v>
      </c>
      <c r="C69" s="6">
        <v>30</v>
      </c>
      <c r="D69" s="6">
        <v>58</v>
      </c>
      <c r="E69" s="7">
        <v>43741.500000000015</v>
      </c>
      <c r="F69" s="7">
        <v>267084</v>
      </c>
      <c r="G69" s="7"/>
      <c r="H69" s="8">
        <f t="shared" ref="H69:H132" si="2">E69/D69</f>
        <v>754.16379310344848</v>
      </c>
      <c r="I69" s="8">
        <f t="shared" ref="I69:I132" si="3">F69/D69</f>
        <v>4604.8965517241377</v>
      </c>
      <c r="J69" s="8">
        <v>3270</v>
      </c>
      <c r="K69" s="9">
        <v>77</v>
      </c>
      <c r="L69" s="5"/>
      <c r="M69" s="12"/>
      <c r="N69" s="5"/>
      <c r="O69" s="12"/>
    </row>
    <row r="70" spans="2:15" ht="18" hidden="1" customHeight="1" x14ac:dyDescent="0.25">
      <c r="B70" s="5" t="s">
        <v>22</v>
      </c>
      <c r="C70" s="6">
        <v>30</v>
      </c>
      <c r="D70" s="6">
        <v>64</v>
      </c>
      <c r="E70" s="7">
        <v>47236.4</v>
      </c>
      <c r="F70" s="7">
        <v>295609</v>
      </c>
      <c r="G70" s="7"/>
      <c r="H70" s="8">
        <f t="shared" si="2"/>
        <v>738.06875000000002</v>
      </c>
      <c r="I70" s="8">
        <f t="shared" si="3"/>
        <v>4618.890625</v>
      </c>
      <c r="J70" s="8">
        <v>3276</v>
      </c>
      <c r="K70" s="9">
        <v>84</v>
      </c>
      <c r="L70" s="5"/>
      <c r="M70" s="12"/>
      <c r="N70" s="5"/>
      <c r="O70" s="12"/>
    </row>
    <row r="71" spans="2:15" ht="18" hidden="1" customHeight="1" x14ac:dyDescent="0.25">
      <c r="B71" s="5" t="s">
        <v>23</v>
      </c>
      <c r="C71" s="6">
        <v>37</v>
      </c>
      <c r="D71" s="6">
        <v>76</v>
      </c>
      <c r="E71" s="7">
        <v>57029.700000000026</v>
      </c>
      <c r="F71" s="7">
        <v>350340</v>
      </c>
      <c r="G71" s="7"/>
      <c r="H71" s="8">
        <f t="shared" si="2"/>
        <v>750.39078947368455</v>
      </c>
      <c r="I71" s="8">
        <f t="shared" si="3"/>
        <v>4609.7368421052633</v>
      </c>
      <c r="J71" s="8">
        <v>3221</v>
      </c>
      <c r="K71" s="9">
        <v>83</v>
      </c>
      <c r="L71" s="5"/>
      <c r="M71" s="12"/>
      <c r="N71" s="5"/>
      <c r="O71" s="12"/>
    </row>
    <row r="72" spans="2:15" ht="18" hidden="1" customHeight="1" x14ac:dyDescent="0.25">
      <c r="B72" s="5" t="s">
        <v>24</v>
      </c>
      <c r="C72" s="6">
        <v>15</v>
      </c>
      <c r="D72" s="6">
        <v>30</v>
      </c>
      <c r="E72" s="7">
        <v>22672.999999999996</v>
      </c>
      <c r="F72" s="7">
        <v>143267</v>
      </c>
      <c r="G72" s="7"/>
      <c r="H72" s="8">
        <f t="shared" si="2"/>
        <v>755.76666666666654</v>
      </c>
      <c r="I72" s="8">
        <f t="shared" si="3"/>
        <v>4775.5666666666666</v>
      </c>
      <c r="J72" s="8">
        <v>3297</v>
      </c>
      <c r="K72" s="9">
        <v>82</v>
      </c>
      <c r="L72" s="5"/>
      <c r="M72" s="12"/>
      <c r="N72" s="5"/>
      <c r="O72" s="12"/>
    </row>
    <row r="73" spans="2:15" ht="18" hidden="1" customHeight="1" x14ac:dyDescent="0.25">
      <c r="B73" s="5" t="s">
        <v>25</v>
      </c>
      <c r="C73" s="6">
        <v>24</v>
      </c>
      <c r="D73" s="6">
        <v>41</v>
      </c>
      <c r="E73" s="7">
        <v>32590.600000000006</v>
      </c>
      <c r="F73" s="7">
        <v>206952</v>
      </c>
      <c r="G73" s="7"/>
      <c r="H73" s="8">
        <f t="shared" si="2"/>
        <v>794.89268292682937</v>
      </c>
      <c r="I73" s="8">
        <f t="shared" si="3"/>
        <v>5047.6097560975613</v>
      </c>
      <c r="J73" s="8">
        <v>3221</v>
      </c>
      <c r="K73" s="9">
        <v>77</v>
      </c>
      <c r="L73" s="5"/>
      <c r="M73" s="12"/>
      <c r="N73" s="5"/>
      <c r="O73" s="12"/>
    </row>
    <row r="74" spans="2:15" ht="18" hidden="1" customHeight="1" x14ac:dyDescent="0.25">
      <c r="B74" s="5" t="s">
        <v>26</v>
      </c>
      <c r="C74" s="6">
        <v>31</v>
      </c>
      <c r="D74" s="6">
        <v>57</v>
      </c>
      <c r="E74" s="7">
        <v>42265.7</v>
      </c>
      <c r="F74" s="7">
        <v>250790</v>
      </c>
      <c r="G74" s="7"/>
      <c r="H74" s="8">
        <f t="shared" si="2"/>
        <v>741.50350877192977</v>
      </c>
      <c r="I74" s="8">
        <f t="shared" si="3"/>
        <v>4399.8245614035086</v>
      </c>
      <c r="J74" s="8">
        <v>3314</v>
      </c>
      <c r="K74" s="9">
        <v>76</v>
      </c>
      <c r="L74" s="5"/>
      <c r="M74" s="12"/>
      <c r="N74" s="5"/>
      <c r="O74" s="12"/>
    </row>
    <row r="75" spans="2:15" ht="18" hidden="1" customHeight="1" x14ac:dyDescent="0.25">
      <c r="B75" s="5" t="s">
        <v>27</v>
      </c>
      <c r="C75" s="6">
        <v>31</v>
      </c>
      <c r="D75" s="6">
        <v>50</v>
      </c>
      <c r="E75" s="7">
        <v>39717.300000000003</v>
      </c>
      <c r="F75" s="7">
        <v>231020</v>
      </c>
      <c r="G75" s="7"/>
      <c r="H75" s="8">
        <f t="shared" si="2"/>
        <v>794.346</v>
      </c>
      <c r="I75" s="8">
        <f t="shared" si="3"/>
        <v>4620.3999999999996</v>
      </c>
      <c r="J75" s="8">
        <v>3282</v>
      </c>
      <c r="K75" s="9">
        <v>74</v>
      </c>
      <c r="L75" s="5"/>
      <c r="M75" s="12"/>
      <c r="N75" s="5"/>
      <c r="O75" s="12"/>
    </row>
    <row r="76" spans="2:15" ht="18" hidden="1" customHeight="1" x14ac:dyDescent="0.25">
      <c r="B76" s="5" t="s">
        <v>28</v>
      </c>
      <c r="C76" s="6">
        <v>30</v>
      </c>
      <c r="D76" s="6">
        <v>53</v>
      </c>
      <c r="E76" s="7">
        <v>44233.399999999994</v>
      </c>
      <c r="F76" s="7">
        <v>269403</v>
      </c>
      <c r="G76" s="7"/>
      <c r="H76" s="8">
        <f t="shared" si="2"/>
        <v>834.59245283018856</v>
      </c>
      <c r="I76" s="8">
        <f t="shared" si="3"/>
        <v>5083.0754716981128</v>
      </c>
      <c r="J76" s="8">
        <v>3221</v>
      </c>
      <c r="K76" s="9">
        <v>84</v>
      </c>
      <c r="L76" s="5"/>
      <c r="M76" s="12"/>
      <c r="N76" s="5"/>
      <c r="O76" s="12"/>
    </row>
    <row r="77" spans="2:15" ht="18" hidden="1" customHeight="1" x14ac:dyDescent="0.25">
      <c r="B77" s="5" t="s">
        <v>29</v>
      </c>
      <c r="C77" s="6">
        <v>27</v>
      </c>
      <c r="D77" s="6">
        <v>50</v>
      </c>
      <c r="E77" s="7">
        <v>33271</v>
      </c>
      <c r="F77" s="7">
        <v>197584</v>
      </c>
      <c r="G77" s="7"/>
      <c r="H77" s="8">
        <f t="shared" si="2"/>
        <v>665.42</v>
      </c>
      <c r="I77" s="8">
        <f t="shared" si="3"/>
        <v>3951.68</v>
      </c>
      <c r="J77" s="8">
        <v>3221</v>
      </c>
      <c r="K77" s="9">
        <v>79</v>
      </c>
      <c r="L77" s="5"/>
      <c r="M77" s="12"/>
      <c r="N77" s="5"/>
      <c r="O77" s="12"/>
    </row>
    <row r="78" spans="2:15" ht="18" hidden="1" customHeight="1" x14ac:dyDescent="0.25">
      <c r="B78" s="5" t="s">
        <v>30</v>
      </c>
      <c r="C78" s="6">
        <v>32</v>
      </c>
      <c r="D78" s="6">
        <v>43</v>
      </c>
      <c r="E78" s="7">
        <v>29412.399999999994</v>
      </c>
      <c r="F78" s="7">
        <v>178504</v>
      </c>
      <c r="G78" s="7"/>
      <c r="H78" s="8">
        <f t="shared" si="2"/>
        <v>684.0093023255813</v>
      </c>
      <c r="I78" s="8">
        <f t="shared" si="3"/>
        <v>4151.2558139534885</v>
      </c>
      <c r="J78" s="8">
        <v>3295</v>
      </c>
      <c r="K78" s="9">
        <v>80</v>
      </c>
      <c r="L78" s="5"/>
      <c r="M78" s="12"/>
      <c r="N78" s="5"/>
      <c r="O78" s="12"/>
    </row>
    <row r="79" spans="2:15" ht="18" hidden="1" customHeight="1" x14ac:dyDescent="0.25">
      <c r="B79" s="5" t="s">
        <v>31</v>
      </c>
      <c r="C79" s="6">
        <v>37</v>
      </c>
      <c r="D79" s="6">
        <v>61</v>
      </c>
      <c r="E79" s="7">
        <v>43416.899999999994</v>
      </c>
      <c r="F79" s="7">
        <v>259884</v>
      </c>
      <c r="G79" s="7"/>
      <c r="H79" s="8">
        <f t="shared" si="2"/>
        <v>711.75245901639335</v>
      </c>
      <c r="I79" s="8">
        <f t="shared" si="3"/>
        <v>4260.3934426229507</v>
      </c>
      <c r="J79" s="8">
        <v>3361</v>
      </c>
      <c r="K79" s="9">
        <v>83</v>
      </c>
      <c r="L79" s="5"/>
      <c r="M79" s="12"/>
      <c r="N79" s="5"/>
      <c r="O79" s="12"/>
    </row>
    <row r="80" spans="2:15" ht="18" hidden="1" customHeight="1" x14ac:dyDescent="0.25">
      <c r="B80" s="5" t="s">
        <v>32</v>
      </c>
      <c r="C80" s="6">
        <v>37</v>
      </c>
      <c r="D80" s="6">
        <v>58</v>
      </c>
      <c r="E80" s="7">
        <v>45767.999999999985</v>
      </c>
      <c r="F80" s="7">
        <v>274790</v>
      </c>
      <c r="G80" s="7"/>
      <c r="H80" s="8">
        <f t="shared" si="2"/>
        <v>789.10344827586187</v>
      </c>
      <c r="I80" s="8">
        <f t="shared" si="3"/>
        <v>4737.7586206896549</v>
      </c>
      <c r="J80" s="8">
        <v>3302</v>
      </c>
      <c r="K80" s="9">
        <v>84</v>
      </c>
      <c r="L80" s="5"/>
      <c r="M80" s="12"/>
      <c r="N80" s="5"/>
      <c r="O80" s="12"/>
    </row>
    <row r="81" spans="2:15" ht="18" hidden="1" customHeight="1" x14ac:dyDescent="0.25">
      <c r="B81" s="5" t="s">
        <v>33</v>
      </c>
      <c r="C81" s="6">
        <v>37</v>
      </c>
      <c r="D81" s="6">
        <v>67</v>
      </c>
      <c r="E81" s="7">
        <v>47733.599999999999</v>
      </c>
      <c r="F81" s="7">
        <v>281729</v>
      </c>
      <c r="G81" s="7"/>
      <c r="H81" s="8">
        <f t="shared" si="2"/>
        <v>712.4417910447761</v>
      </c>
      <c r="I81" s="8">
        <f t="shared" si="3"/>
        <v>4204.9104477611936</v>
      </c>
      <c r="J81" s="8">
        <v>3291</v>
      </c>
      <c r="K81" s="9">
        <v>79</v>
      </c>
      <c r="L81" s="5"/>
      <c r="M81" s="12"/>
      <c r="N81" s="5"/>
      <c r="O81" s="12"/>
    </row>
    <row r="82" spans="2:15" ht="18" hidden="1" customHeight="1" x14ac:dyDescent="0.25">
      <c r="B82" s="5" t="s">
        <v>34</v>
      </c>
      <c r="C82" s="6">
        <v>34</v>
      </c>
      <c r="D82" s="6">
        <v>53</v>
      </c>
      <c r="E82" s="7">
        <v>39112.099999999991</v>
      </c>
      <c r="F82" s="7">
        <v>230430</v>
      </c>
      <c r="G82" s="7"/>
      <c r="H82" s="8">
        <f t="shared" si="2"/>
        <v>737.96415094339602</v>
      </c>
      <c r="I82" s="8">
        <f t="shared" si="3"/>
        <v>4347.7358490566039</v>
      </c>
      <c r="J82" s="8">
        <v>3299</v>
      </c>
      <c r="K82" s="9">
        <v>76</v>
      </c>
      <c r="L82" s="5"/>
      <c r="M82" s="12"/>
      <c r="N82" s="5"/>
      <c r="O82" s="12"/>
    </row>
    <row r="83" spans="2:15" ht="18" hidden="1" customHeight="1" x14ac:dyDescent="0.25">
      <c r="B83" s="5" t="s">
        <v>60</v>
      </c>
      <c r="C83" s="6">
        <v>37</v>
      </c>
      <c r="D83" s="6">
        <v>62</v>
      </c>
      <c r="E83" s="7">
        <v>41402.500000000015</v>
      </c>
      <c r="F83" s="7">
        <v>240493</v>
      </c>
      <c r="G83" s="7"/>
      <c r="H83" s="8">
        <f t="shared" si="2"/>
        <v>667.78225806451633</v>
      </c>
      <c r="I83" s="8">
        <f t="shared" si="3"/>
        <v>3878.9193548387098</v>
      </c>
      <c r="J83" s="8">
        <v>3286</v>
      </c>
      <c r="K83" s="9">
        <v>78</v>
      </c>
      <c r="L83" s="5"/>
      <c r="M83" s="12"/>
      <c r="N83" s="5"/>
      <c r="O83" s="12"/>
    </row>
    <row r="84" spans="2:15" ht="18" hidden="1" customHeight="1" x14ac:dyDescent="0.25">
      <c r="B84" s="5" t="s">
        <v>35</v>
      </c>
      <c r="C84" s="6">
        <v>35</v>
      </c>
      <c r="D84" s="6">
        <v>57</v>
      </c>
      <c r="E84" s="7">
        <v>42958.100000000006</v>
      </c>
      <c r="F84" s="7">
        <v>265145</v>
      </c>
      <c r="G84" s="7"/>
      <c r="H84" s="8">
        <f t="shared" si="2"/>
        <v>753.65087719298253</v>
      </c>
      <c r="I84" s="8">
        <f t="shared" si="3"/>
        <v>4651.666666666667</v>
      </c>
      <c r="J84" s="8">
        <v>3263</v>
      </c>
      <c r="K84" s="9">
        <v>89</v>
      </c>
      <c r="L84" s="5"/>
      <c r="M84" s="12"/>
      <c r="N84" s="5"/>
      <c r="O84" s="12"/>
    </row>
    <row r="85" spans="2:15" ht="18" hidden="1" customHeight="1" x14ac:dyDescent="0.25">
      <c r="B85" s="5" t="s">
        <v>36</v>
      </c>
      <c r="C85" s="6">
        <v>37</v>
      </c>
      <c r="D85" s="6">
        <v>58</v>
      </c>
      <c r="E85" s="7">
        <v>42483.599999999984</v>
      </c>
      <c r="F85" s="7">
        <v>256825</v>
      </c>
      <c r="G85" s="7"/>
      <c r="H85" s="8">
        <f t="shared" si="2"/>
        <v>732.47586206896528</v>
      </c>
      <c r="I85" s="8">
        <f t="shared" si="3"/>
        <v>4428.0172413793107</v>
      </c>
      <c r="J85" s="8">
        <v>3337</v>
      </c>
      <c r="K85" s="9">
        <v>92</v>
      </c>
      <c r="L85" s="5"/>
      <c r="M85" s="12"/>
      <c r="N85" s="5"/>
      <c r="O85" s="12"/>
    </row>
    <row r="86" spans="2:15" ht="18" hidden="1" customHeight="1" x14ac:dyDescent="0.25">
      <c r="B86" s="5" t="s">
        <v>37</v>
      </c>
      <c r="C86" s="6">
        <v>33</v>
      </c>
      <c r="D86" s="6">
        <v>49</v>
      </c>
      <c r="E86" s="7">
        <v>36779.1</v>
      </c>
      <c r="F86" s="7">
        <v>222278</v>
      </c>
      <c r="G86" s="7"/>
      <c r="H86" s="8">
        <f t="shared" si="2"/>
        <v>750.59387755102034</v>
      </c>
      <c r="I86" s="8">
        <f t="shared" si="3"/>
        <v>4536.2857142857147</v>
      </c>
      <c r="J86" s="8">
        <v>3287</v>
      </c>
      <c r="K86" s="9">
        <v>86</v>
      </c>
      <c r="L86" s="5"/>
      <c r="M86" s="12"/>
      <c r="N86" s="5"/>
      <c r="O86" s="12"/>
    </row>
    <row r="87" spans="2:15" ht="18" hidden="1" customHeight="1" x14ac:dyDescent="0.25">
      <c r="B87" s="5" t="s">
        <v>38</v>
      </c>
      <c r="C87" s="6">
        <v>36</v>
      </c>
      <c r="D87" s="6">
        <v>60</v>
      </c>
      <c r="E87" s="7">
        <v>42796.100000000006</v>
      </c>
      <c r="F87" s="7">
        <v>257133</v>
      </c>
      <c r="G87" s="7"/>
      <c r="H87" s="8">
        <f t="shared" si="2"/>
        <v>713.26833333333343</v>
      </c>
      <c r="I87" s="8">
        <f t="shared" si="3"/>
        <v>4285.55</v>
      </c>
      <c r="J87" s="8">
        <v>3312</v>
      </c>
      <c r="K87" s="9">
        <v>83</v>
      </c>
      <c r="L87" s="5"/>
      <c r="M87" s="12"/>
      <c r="N87" s="5"/>
      <c r="O87" s="12"/>
    </row>
    <row r="88" spans="2:15" ht="18" hidden="1" customHeight="1" x14ac:dyDescent="0.25">
      <c r="B88" s="5" t="s">
        <v>39</v>
      </c>
      <c r="C88" s="6">
        <v>45</v>
      </c>
      <c r="D88" s="6">
        <v>82</v>
      </c>
      <c r="E88" s="7">
        <v>58155.500000000029</v>
      </c>
      <c r="F88" s="7">
        <v>335308</v>
      </c>
      <c r="G88" s="7"/>
      <c r="H88" s="8">
        <f t="shared" si="2"/>
        <v>709.21341463414672</v>
      </c>
      <c r="I88" s="8">
        <f t="shared" si="3"/>
        <v>4089.1219512195121</v>
      </c>
      <c r="J88" s="8">
        <v>3323</v>
      </c>
      <c r="K88" s="9">
        <v>83</v>
      </c>
      <c r="L88" s="5"/>
      <c r="M88" s="12"/>
      <c r="N88" s="5"/>
      <c r="O88" s="12"/>
    </row>
    <row r="89" spans="2:15" ht="18" hidden="1" customHeight="1" x14ac:dyDescent="0.25">
      <c r="B89" s="5" t="s">
        <v>40</v>
      </c>
      <c r="C89" s="6">
        <v>45</v>
      </c>
      <c r="D89" s="6">
        <v>70</v>
      </c>
      <c r="E89" s="7">
        <v>51776.200000000004</v>
      </c>
      <c r="F89" s="7">
        <v>321973</v>
      </c>
      <c r="G89" s="7"/>
      <c r="H89" s="8">
        <f t="shared" si="2"/>
        <v>739.66000000000008</v>
      </c>
      <c r="I89" s="8">
        <f t="shared" si="3"/>
        <v>4599.6142857142859</v>
      </c>
      <c r="J89" s="8">
        <v>3233</v>
      </c>
      <c r="K89" s="9">
        <v>84</v>
      </c>
      <c r="L89" s="5"/>
      <c r="M89" s="12"/>
      <c r="N89" s="5"/>
      <c r="O89" s="12"/>
    </row>
    <row r="90" spans="2:15" ht="18" hidden="1" customHeight="1" x14ac:dyDescent="0.25">
      <c r="B90" s="5" t="s">
        <v>41</v>
      </c>
      <c r="C90" s="6">
        <v>41</v>
      </c>
      <c r="D90" s="6">
        <v>70</v>
      </c>
      <c r="E90" s="7">
        <v>54099.299999999996</v>
      </c>
      <c r="F90" s="7">
        <v>320145</v>
      </c>
      <c r="G90" s="7"/>
      <c r="H90" s="8">
        <f t="shared" si="2"/>
        <v>772.84714285714279</v>
      </c>
      <c r="I90" s="8">
        <f t="shared" si="3"/>
        <v>4573.5</v>
      </c>
      <c r="J90" s="8">
        <v>3303</v>
      </c>
      <c r="K90" s="9">
        <v>88</v>
      </c>
      <c r="L90" s="5"/>
      <c r="M90" s="12"/>
      <c r="N90" s="5"/>
      <c r="O90" s="12"/>
    </row>
    <row r="91" spans="2:15" ht="17.25" hidden="1" customHeight="1" x14ac:dyDescent="0.25">
      <c r="B91" s="5" t="s">
        <v>42</v>
      </c>
      <c r="C91" s="6">
        <v>35</v>
      </c>
      <c r="D91" s="6">
        <v>65</v>
      </c>
      <c r="E91" s="7">
        <v>53640.9</v>
      </c>
      <c r="F91" s="7">
        <v>327872</v>
      </c>
      <c r="G91" s="7"/>
      <c r="H91" s="8">
        <f t="shared" si="2"/>
        <v>825.24461538461537</v>
      </c>
      <c r="I91" s="8">
        <f t="shared" si="3"/>
        <v>5044.1846153846154</v>
      </c>
      <c r="J91" s="8">
        <v>3296</v>
      </c>
      <c r="K91" s="9">
        <v>82</v>
      </c>
      <c r="L91" s="5"/>
      <c r="M91" s="12"/>
      <c r="N91" s="5"/>
      <c r="O91" s="12"/>
    </row>
    <row r="92" spans="2:15" ht="18.75" hidden="1" customHeight="1" x14ac:dyDescent="0.25">
      <c r="B92" s="5" t="s">
        <v>43</v>
      </c>
      <c r="C92" s="6">
        <v>34</v>
      </c>
      <c r="D92" s="6">
        <v>60</v>
      </c>
      <c r="E92" s="7">
        <v>46067.9</v>
      </c>
      <c r="F92" s="7">
        <v>276997</v>
      </c>
      <c r="G92" s="7"/>
      <c r="H92" s="8">
        <f t="shared" si="2"/>
        <v>767.7983333333334</v>
      </c>
      <c r="I92" s="8">
        <f t="shared" si="3"/>
        <v>4616.6166666666668</v>
      </c>
      <c r="J92" s="8">
        <v>3221</v>
      </c>
      <c r="K92" s="9">
        <v>85</v>
      </c>
      <c r="L92" s="5"/>
      <c r="M92" s="12"/>
      <c r="N92" s="5"/>
      <c r="O92" s="12"/>
    </row>
    <row r="93" spans="2:15" ht="20.25" hidden="1" customHeight="1" x14ac:dyDescent="0.25">
      <c r="B93" s="5" t="s">
        <v>44</v>
      </c>
      <c r="C93" s="6">
        <v>39</v>
      </c>
      <c r="D93" s="6">
        <v>69</v>
      </c>
      <c r="E93" s="7">
        <v>51336.099999999977</v>
      </c>
      <c r="F93" s="7">
        <v>310984</v>
      </c>
      <c r="G93" s="7"/>
      <c r="H93" s="8">
        <f t="shared" si="2"/>
        <v>744.00144927536201</v>
      </c>
      <c r="I93" s="8">
        <f t="shared" si="3"/>
        <v>4507.014492753623</v>
      </c>
      <c r="J93" s="8">
        <v>3306</v>
      </c>
      <c r="K93" s="9">
        <v>86</v>
      </c>
      <c r="L93" s="5"/>
      <c r="M93" s="12"/>
      <c r="N93" s="5"/>
      <c r="O93" s="12"/>
    </row>
    <row r="94" spans="2:15" ht="21.75" hidden="1" customHeight="1" x14ac:dyDescent="0.25">
      <c r="B94" s="5" t="s">
        <v>45</v>
      </c>
      <c r="C94" s="6">
        <v>23</v>
      </c>
      <c r="D94" s="6">
        <v>36</v>
      </c>
      <c r="E94" s="7">
        <v>26172.6</v>
      </c>
      <c r="F94" s="7">
        <v>156825</v>
      </c>
      <c r="G94" s="7"/>
      <c r="H94" s="8">
        <f t="shared" si="2"/>
        <v>727.01666666666665</v>
      </c>
      <c r="I94" s="8">
        <f t="shared" si="3"/>
        <v>4356.25</v>
      </c>
      <c r="J94" s="8">
        <v>3365</v>
      </c>
      <c r="K94" s="9">
        <v>89</v>
      </c>
      <c r="L94" s="5"/>
      <c r="M94" s="12"/>
      <c r="N94" s="5"/>
      <c r="O94" s="12"/>
    </row>
    <row r="95" spans="2:15" ht="17.25" hidden="1" customHeight="1" x14ac:dyDescent="0.25">
      <c r="B95" s="5" t="s">
        <v>46</v>
      </c>
      <c r="C95" s="6">
        <v>28</v>
      </c>
      <c r="D95" s="6">
        <v>46</v>
      </c>
      <c r="E95" s="7">
        <v>35167.399999999994</v>
      </c>
      <c r="F95" s="7">
        <v>217290</v>
      </c>
      <c r="G95" s="7"/>
      <c r="H95" s="8">
        <f t="shared" si="2"/>
        <v>764.50869565217374</v>
      </c>
      <c r="I95" s="8">
        <f t="shared" si="3"/>
        <v>4723.695652173913</v>
      </c>
      <c r="J95" s="8">
        <v>3311</v>
      </c>
      <c r="K95" s="9">
        <v>75</v>
      </c>
      <c r="L95" s="5"/>
      <c r="M95" s="12"/>
      <c r="N95" s="5"/>
      <c r="O95" s="12"/>
    </row>
    <row r="96" spans="2:15" ht="21" hidden="1" customHeight="1" x14ac:dyDescent="0.25">
      <c r="B96" s="5" t="s">
        <v>47</v>
      </c>
      <c r="C96" s="6">
        <v>41</v>
      </c>
      <c r="D96" s="6">
        <v>270</v>
      </c>
      <c r="E96" s="7">
        <v>49112.74</v>
      </c>
      <c r="F96" s="7">
        <v>2113110</v>
      </c>
      <c r="G96" s="7"/>
      <c r="H96" s="8">
        <f t="shared" si="2"/>
        <v>181.89903703703703</v>
      </c>
      <c r="I96" s="8">
        <f t="shared" si="3"/>
        <v>7826.333333333333</v>
      </c>
      <c r="J96" s="8">
        <v>3311</v>
      </c>
      <c r="K96" s="9">
        <v>78</v>
      </c>
      <c r="L96" s="5"/>
      <c r="M96" s="12"/>
      <c r="N96" s="5"/>
      <c r="O96" s="12"/>
    </row>
    <row r="97" spans="2:15" ht="21" hidden="1" customHeight="1" x14ac:dyDescent="0.25">
      <c r="B97" s="5" t="s">
        <v>48</v>
      </c>
      <c r="C97" s="6">
        <v>33</v>
      </c>
      <c r="D97" s="6">
        <v>54</v>
      </c>
      <c r="E97" s="7">
        <v>43697.1</v>
      </c>
      <c r="F97" s="7">
        <v>256279</v>
      </c>
      <c r="G97" s="7"/>
      <c r="H97" s="8">
        <f t="shared" si="2"/>
        <v>809.20555555555552</v>
      </c>
      <c r="I97" s="8">
        <f t="shared" si="3"/>
        <v>4745.9074074074078</v>
      </c>
      <c r="J97" s="8">
        <v>3221</v>
      </c>
      <c r="K97" s="9">
        <v>83.4</v>
      </c>
      <c r="L97" s="5"/>
      <c r="M97" s="12"/>
      <c r="N97" s="5"/>
      <c r="O97" s="12"/>
    </row>
    <row r="98" spans="2:15" ht="21" hidden="1" customHeight="1" x14ac:dyDescent="0.25">
      <c r="B98" s="5" t="s">
        <v>49</v>
      </c>
      <c r="C98" s="6">
        <v>35</v>
      </c>
      <c r="D98" s="6">
        <v>57</v>
      </c>
      <c r="E98" s="7">
        <v>43104.800000000003</v>
      </c>
      <c r="F98" s="7">
        <v>269940</v>
      </c>
      <c r="G98" s="7"/>
      <c r="H98" s="8">
        <f t="shared" si="2"/>
        <v>756.2245614035088</v>
      </c>
      <c r="I98" s="8">
        <f t="shared" si="3"/>
        <v>4735.7894736842109</v>
      </c>
      <c r="J98" s="8">
        <v>3305</v>
      </c>
      <c r="K98" s="9">
        <v>83.6</v>
      </c>
      <c r="L98" s="5"/>
      <c r="M98" s="12"/>
      <c r="N98" s="5"/>
      <c r="O98" s="12"/>
    </row>
    <row r="99" spans="2:15" ht="21" hidden="1" customHeight="1" x14ac:dyDescent="0.25">
      <c r="B99" s="5" t="s">
        <v>50</v>
      </c>
      <c r="C99" s="6">
        <v>36</v>
      </c>
      <c r="D99" s="6">
        <v>58</v>
      </c>
      <c r="E99" s="7">
        <v>44765.299999999988</v>
      </c>
      <c r="F99" s="7">
        <v>267238</v>
      </c>
      <c r="G99" s="7"/>
      <c r="H99" s="8">
        <f t="shared" si="2"/>
        <v>771.8155172413791</v>
      </c>
      <c r="I99" s="8">
        <f t="shared" si="3"/>
        <v>4607.5517241379312</v>
      </c>
      <c r="J99" s="8">
        <v>3221</v>
      </c>
      <c r="K99" s="9">
        <v>84</v>
      </c>
      <c r="L99" s="5"/>
      <c r="M99" s="12"/>
      <c r="N99" s="5"/>
      <c r="O99" s="12"/>
    </row>
    <row r="100" spans="2:15" ht="21" hidden="1" customHeight="1" x14ac:dyDescent="0.25">
      <c r="B100" s="5" t="s">
        <v>51</v>
      </c>
      <c r="C100" s="6">
        <v>37</v>
      </c>
      <c r="D100" s="6">
        <v>141</v>
      </c>
      <c r="E100" s="7">
        <v>23892.1</v>
      </c>
      <c r="F100" s="7">
        <v>1104003</v>
      </c>
      <c r="G100" s="7"/>
      <c r="H100" s="8">
        <f t="shared" si="2"/>
        <v>169.44751773049646</v>
      </c>
      <c r="I100" s="8">
        <f t="shared" si="3"/>
        <v>7829.8085106382978</v>
      </c>
      <c r="J100" s="8">
        <v>3276</v>
      </c>
      <c r="K100" s="9">
        <v>85</v>
      </c>
      <c r="L100" s="5"/>
      <c r="M100" s="12"/>
      <c r="N100" s="5"/>
      <c r="O100" s="12"/>
    </row>
    <row r="101" spans="2:15" ht="21" hidden="1" customHeight="1" x14ac:dyDescent="0.25">
      <c r="B101" s="5" t="s">
        <v>52</v>
      </c>
      <c r="C101" s="6">
        <v>34</v>
      </c>
      <c r="D101" s="6">
        <v>64</v>
      </c>
      <c r="E101" s="7">
        <v>44379.199999999997</v>
      </c>
      <c r="F101" s="7">
        <v>264163</v>
      </c>
      <c r="G101" s="7"/>
      <c r="H101" s="8">
        <f t="shared" si="2"/>
        <v>693.42499999999995</v>
      </c>
      <c r="I101" s="8">
        <f t="shared" si="3"/>
        <v>4127.546875</v>
      </c>
      <c r="J101" s="8">
        <v>3213</v>
      </c>
      <c r="K101" s="9">
        <v>83</v>
      </c>
      <c r="L101" s="5"/>
      <c r="M101" s="12"/>
      <c r="N101" s="5"/>
      <c r="O101" s="12"/>
    </row>
    <row r="102" spans="2:15" ht="21" hidden="1" customHeight="1" x14ac:dyDescent="0.25">
      <c r="B102" s="5" t="s">
        <v>53</v>
      </c>
      <c r="C102" s="6">
        <v>38</v>
      </c>
      <c r="D102" s="6">
        <v>72</v>
      </c>
      <c r="E102" s="7">
        <v>49400.499999999993</v>
      </c>
      <c r="F102" s="7">
        <v>300095</v>
      </c>
      <c r="G102" s="7"/>
      <c r="H102" s="8">
        <f t="shared" si="2"/>
        <v>686.11805555555543</v>
      </c>
      <c r="I102" s="8">
        <f t="shared" si="3"/>
        <v>4167.9861111111113</v>
      </c>
      <c r="J102" s="8">
        <v>3218</v>
      </c>
      <c r="K102" s="9">
        <v>85</v>
      </c>
      <c r="L102" s="5"/>
      <c r="M102" s="12"/>
      <c r="N102" s="5"/>
      <c r="O102" s="12"/>
    </row>
    <row r="103" spans="2:15" ht="21" hidden="1" customHeight="1" x14ac:dyDescent="0.25">
      <c r="B103" s="5" t="s">
        <v>54</v>
      </c>
      <c r="C103" s="6">
        <v>35</v>
      </c>
      <c r="D103" s="6">
        <v>63</v>
      </c>
      <c r="E103" s="7">
        <v>42582.600000000006</v>
      </c>
      <c r="F103" s="7">
        <v>254625</v>
      </c>
      <c r="G103" s="7"/>
      <c r="H103" s="8">
        <f t="shared" si="2"/>
        <v>675.91428571428582</v>
      </c>
      <c r="I103" s="8">
        <f t="shared" si="3"/>
        <v>4041.6666666666665</v>
      </c>
      <c r="J103" s="8">
        <v>3312</v>
      </c>
      <c r="K103" s="9">
        <v>85</v>
      </c>
      <c r="L103" s="5"/>
      <c r="M103" s="12"/>
      <c r="N103" s="5"/>
      <c r="O103" s="12"/>
    </row>
    <row r="104" spans="2:15" ht="17.25" hidden="1" customHeight="1" x14ac:dyDescent="0.25">
      <c r="B104" s="5" t="s">
        <v>55</v>
      </c>
      <c r="C104" s="6">
        <v>34</v>
      </c>
      <c r="D104" s="6">
        <v>70</v>
      </c>
      <c r="E104" s="7">
        <v>47919.6</v>
      </c>
      <c r="F104" s="7">
        <v>281727</v>
      </c>
      <c r="G104" s="7"/>
      <c r="H104" s="8">
        <f t="shared" si="2"/>
        <v>684.56571428571431</v>
      </c>
      <c r="I104" s="8">
        <f t="shared" si="3"/>
        <v>4024.6714285714284</v>
      </c>
      <c r="J104" s="8">
        <v>3295</v>
      </c>
      <c r="K104" s="9">
        <v>83</v>
      </c>
      <c r="L104" s="5"/>
      <c r="M104" s="12"/>
      <c r="N104" s="5"/>
      <c r="O104" s="12"/>
    </row>
    <row r="105" spans="2:15" ht="15.75" hidden="1" x14ac:dyDescent="0.25">
      <c r="B105" s="5" t="s">
        <v>56</v>
      </c>
      <c r="C105" s="6">
        <v>33</v>
      </c>
      <c r="D105" s="6">
        <v>61</v>
      </c>
      <c r="E105" s="7">
        <v>46432.299999999981</v>
      </c>
      <c r="F105" s="7">
        <v>281941</v>
      </c>
      <c r="G105" s="7"/>
      <c r="H105" s="8">
        <f t="shared" si="2"/>
        <v>761.18524590163906</v>
      </c>
      <c r="I105" s="8">
        <f t="shared" si="3"/>
        <v>4621.9836065573772</v>
      </c>
      <c r="J105" s="8">
        <v>3274</v>
      </c>
      <c r="K105" s="9">
        <v>83</v>
      </c>
      <c r="L105" s="5"/>
      <c r="M105" s="12"/>
      <c r="N105" s="5"/>
      <c r="O105" s="12"/>
    </row>
    <row r="106" spans="2:15" ht="15.75" hidden="1" x14ac:dyDescent="0.25">
      <c r="B106" s="5" t="s">
        <v>57</v>
      </c>
      <c r="C106" s="6">
        <v>26</v>
      </c>
      <c r="D106" s="6">
        <v>51</v>
      </c>
      <c r="E106" s="7">
        <v>35884.099999999991</v>
      </c>
      <c r="F106" s="7">
        <v>218241</v>
      </c>
      <c r="G106" s="7"/>
      <c r="H106" s="8">
        <f t="shared" si="2"/>
        <v>703.60980392156841</v>
      </c>
      <c r="I106" s="8">
        <f t="shared" si="3"/>
        <v>4279.2352941176468</v>
      </c>
      <c r="J106" s="8">
        <v>3279</v>
      </c>
      <c r="K106" s="9">
        <v>86</v>
      </c>
      <c r="L106" s="5"/>
      <c r="M106" s="12"/>
      <c r="N106" s="5"/>
      <c r="O106" s="12"/>
    </row>
    <row r="107" spans="2:15" ht="15.75" hidden="1" x14ac:dyDescent="0.25">
      <c r="B107" s="5" t="s">
        <v>58</v>
      </c>
      <c r="C107" s="6">
        <v>29</v>
      </c>
      <c r="D107" s="6">
        <v>56</v>
      </c>
      <c r="E107" s="7">
        <v>41044.399999999987</v>
      </c>
      <c r="F107" s="7">
        <v>245314</v>
      </c>
      <c r="G107" s="7"/>
      <c r="H107" s="8">
        <f t="shared" si="2"/>
        <v>732.93571428571408</v>
      </c>
      <c r="I107" s="8">
        <f t="shared" si="3"/>
        <v>4380.6071428571431</v>
      </c>
      <c r="J107" s="8">
        <v>3309</v>
      </c>
      <c r="K107" s="9">
        <v>84</v>
      </c>
      <c r="L107" s="5"/>
      <c r="M107" s="12"/>
      <c r="N107" s="5"/>
      <c r="O107" s="12"/>
    </row>
    <row r="108" spans="2:15" ht="15.75" hidden="1" x14ac:dyDescent="0.25">
      <c r="B108" s="5" t="s">
        <v>9</v>
      </c>
      <c r="C108" s="6">
        <v>21</v>
      </c>
      <c r="D108" s="6">
        <v>44</v>
      </c>
      <c r="E108" s="7">
        <v>31471.400000000009</v>
      </c>
      <c r="F108" s="7">
        <v>197515</v>
      </c>
      <c r="G108" s="7"/>
      <c r="H108" s="8">
        <f t="shared" si="2"/>
        <v>715.25909090909113</v>
      </c>
      <c r="I108" s="8">
        <f t="shared" si="3"/>
        <v>4488.977272727273</v>
      </c>
      <c r="J108" s="8">
        <v>3247</v>
      </c>
      <c r="K108" s="9">
        <v>84</v>
      </c>
      <c r="L108" s="5"/>
      <c r="M108" s="12"/>
      <c r="N108" s="5"/>
      <c r="O108" s="12"/>
    </row>
    <row r="109" spans="2:15" ht="15.75" hidden="1" x14ac:dyDescent="0.25">
      <c r="B109" s="5" t="s">
        <v>10</v>
      </c>
      <c r="C109" s="6">
        <v>23</v>
      </c>
      <c r="D109" s="6">
        <v>47</v>
      </c>
      <c r="E109" s="7">
        <v>30573</v>
      </c>
      <c r="F109" s="7">
        <v>180212</v>
      </c>
      <c r="G109" s="7"/>
      <c r="H109" s="8">
        <f t="shared" si="2"/>
        <v>650.48936170212767</v>
      </c>
      <c r="I109" s="8">
        <f t="shared" si="3"/>
        <v>3834.2978723404253</v>
      </c>
      <c r="J109" s="8">
        <v>3361</v>
      </c>
      <c r="K109" s="9">
        <v>84</v>
      </c>
      <c r="L109" s="5"/>
      <c r="M109" s="12"/>
      <c r="N109" s="5"/>
      <c r="O109" s="12"/>
    </row>
    <row r="110" spans="2:15" ht="14.25" hidden="1" customHeight="1" x14ac:dyDescent="0.25">
      <c r="B110" s="5" t="s">
        <v>11</v>
      </c>
      <c r="C110" s="6">
        <v>39</v>
      </c>
      <c r="D110" s="6">
        <v>75</v>
      </c>
      <c r="E110" s="7">
        <v>51797.600000000006</v>
      </c>
      <c r="F110" s="7">
        <v>322705</v>
      </c>
      <c r="G110" s="7"/>
      <c r="H110" s="8">
        <f t="shared" si="2"/>
        <v>690.6346666666667</v>
      </c>
      <c r="I110" s="8">
        <f t="shared" si="3"/>
        <v>4302.7333333333336</v>
      </c>
      <c r="J110" s="8">
        <v>3274</v>
      </c>
      <c r="K110" s="9">
        <v>87</v>
      </c>
      <c r="L110" s="5"/>
    </row>
    <row r="111" spans="2:15" s="16" customFormat="1" ht="15.75" hidden="1" x14ac:dyDescent="0.25">
      <c r="B111" s="13" t="s">
        <v>12</v>
      </c>
      <c r="C111" s="14">
        <v>35</v>
      </c>
      <c r="D111" s="15">
        <v>74</v>
      </c>
      <c r="E111" s="15">
        <v>48280.4</v>
      </c>
      <c r="F111" s="15">
        <v>289210</v>
      </c>
      <c r="G111" s="15"/>
      <c r="H111" s="8">
        <f t="shared" si="2"/>
        <v>652.43783783783783</v>
      </c>
      <c r="I111" s="8">
        <f t="shared" si="3"/>
        <v>3908.2432432432433</v>
      </c>
      <c r="J111" s="8">
        <v>3274</v>
      </c>
      <c r="K111" s="9">
        <v>86</v>
      </c>
    </row>
    <row r="112" spans="2:15" ht="15.75" hidden="1" x14ac:dyDescent="0.25">
      <c r="B112" s="5" t="s">
        <v>13</v>
      </c>
      <c r="C112" s="6">
        <v>32</v>
      </c>
      <c r="D112" s="6">
        <v>63</v>
      </c>
      <c r="E112" s="7">
        <v>43314.000000000015</v>
      </c>
      <c r="F112" s="7">
        <v>268710</v>
      </c>
      <c r="G112" s="7"/>
      <c r="H112" s="8">
        <f t="shared" si="2"/>
        <v>687.52380952380975</v>
      </c>
      <c r="I112" s="8">
        <f t="shared" si="3"/>
        <v>4265.2380952380954</v>
      </c>
      <c r="J112" s="8">
        <v>3198</v>
      </c>
      <c r="K112" s="9">
        <v>88</v>
      </c>
    </row>
    <row r="113" spans="2:27" ht="15.75" hidden="1" x14ac:dyDescent="0.25">
      <c r="B113" s="5" t="s">
        <v>14</v>
      </c>
      <c r="C113" s="14">
        <v>35</v>
      </c>
      <c r="D113" s="15">
        <v>78</v>
      </c>
      <c r="E113" s="15">
        <v>54194.700000000004</v>
      </c>
      <c r="F113" s="7">
        <v>340045</v>
      </c>
      <c r="G113" s="7"/>
      <c r="H113" s="8">
        <f t="shared" si="2"/>
        <v>694.80384615384617</v>
      </c>
      <c r="I113" s="8">
        <f t="shared" si="3"/>
        <v>4359.5512820512822</v>
      </c>
      <c r="J113" s="8">
        <v>3180</v>
      </c>
      <c r="K113" s="9">
        <v>83</v>
      </c>
    </row>
    <row r="114" spans="2:27" ht="15.75" hidden="1" x14ac:dyDescent="0.25">
      <c r="B114" s="5" t="s">
        <v>15</v>
      </c>
      <c r="C114" s="6">
        <v>31</v>
      </c>
      <c r="D114" s="6">
        <v>64</v>
      </c>
      <c r="E114" s="7">
        <v>48137.4</v>
      </c>
      <c r="F114" s="7">
        <v>291085</v>
      </c>
      <c r="G114" s="7"/>
      <c r="H114" s="8">
        <f t="shared" si="2"/>
        <v>752.14687500000002</v>
      </c>
      <c r="I114" s="8">
        <f t="shared" si="3"/>
        <v>4548.203125</v>
      </c>
      <c r="J114" s="8">
        <v>3239</v>
      </c>
      <c r="K114" s="9">
        <v>81</v>
      </c>
    </row>
    <row r="115" spans="2:27" ht="15.75" hidden="1" x14ac:dyDescent="0.25">
      <c r="B115" s="5" t="s">
        <v>16</v>
      </c>
      <c r="C115" s="6">
        <v>33</v>
      </c>
      <c r="D115" s="6">
        <v>91</v>
      </c>
      <c r="E115" s="7">
        <v>65983.7</v>
      </c>
      <c r="F115" s="7">
        <v>411149</v>
      </c>
      <c r="G115" s="7"/>
      <c r="H115" s="8">
        <f t="shared" si="2"/>
        <v>725.09560439560437</v>
      </c>
      <c r="I115" s="8">
        <f t="shared" si="3"/>
        <v>4518.1208791208792</v>
      </c>
      <c r="J115" s="8">
        <v>3190</v>
      </c>
      <c r="K115" s="9">
        <v>85</v>
      </c>
    </row>
    <row r="116" spans="2:27" ht="19.5" hidden="1" customHeight="1" x14ac:dyDescent="0.25">
      <c r="B116" s="5" t="s">
        <v>17</v>
      </c>
      <c r="C116" s="6">
        <v>36</v>
      </c>
      <c r="D116" s="6">
        <v>71</v>
      </c>
      <c r="E116" s="7">
        <v>53318.100000000013</v>
      </c>
      <c r="F116" s="7">
        <v>320480</v>
      </c>
      <c r="G116" s="7"/>
      <c r="H116" s="8">
        <f t="shared" si="2"/>
        <v>750.95915492957761</v>
      </c>
      <c r="I116" s="8">
        <f t="shared" si="3"/>
        <v>4513.8028169014087</v>
      </c>
      <c r="J116" s="8">
        <v>3276</v>
      </c>
      <c r="K116" s="9">
        <v>89</v>
      </c>
    </row>
    <row r="117" spans="2:27" ht="19.5" hidden="1" customHeight="1" x14ac:dyDescent="0.25">
      <c r="B117" s="5" t="s">
        <v>18</v>
      </c>
      <c r="C117" s="6">
        <v>42</v>
      </c>
      <c r="D117" s="6">
        <v>72</v>
      </c>
      <c r="E117" s="7">
        <v>54424.600000000013</v>
      </c>
      <c r="F117" s="7">
        <v>354903</v>
      </c>
      <c r="G117" s="7"/>
      <c r="H117" s="8">
        <f t="shared" si="2"/>
        <v>755.89722222222235</v>
      </c>
      <c r="I117" s="8">
        <f t="shared" si="3"/>
        <v>4929.208333333333</v>
      </c>
      <c r="J117" s="8">
        <v>3094</v>
      </c>
      <c r="K117" s="9">
        <v>93</v>
      </c>
    </row>
    <row r="118" spans="2:27" ht="19.5" hidden="1" customHeight="1" x14ac:dyDescent="0.25">
      <c r="B118" s="5" t="s">
        <v>19</v>
      </c>
      <c r="C118" s="6">
        <v>37</v>
      </c>
      <c r="D118" s="6">
        <v>66</v>
      </c>
      <c r="E118" s="7">
        <v>51584.19999999999</v>
      </c>
      <c r="F118" s="7">
        <v>313580</v>
      </c>
      <c r="G118" s="7"/>
      <c r="H118" s="8">
        <f t="shared" si="2"/>
        <v>781.57878787878769</v>
      </c>
      <c r="I118" s="8">
        <f t="shared" si="3"/>
        <v>4751.212121212121</v>
      </c>
      <c r="J118" s="8">
        <v>3242</v>
      </c>
      <c r="K118" s="9">
        <v>83</v>
      </c>
    </row>
    <row r="119" spans="2:27" ht="19.5" hidden="1" customHeight="1" x14ac:dyDescent="0.25">
      <c r="B119" s="5" t="s">
        <v>20</v>
      </c>
      <c r="C119" s="6">
        <v>25</v>
      </c>
      <c r="D119" s="6">
        <v>54</v>
      </c>
      <c r="E119" s="7">
        <v>41076.999999999993</v>
      </c>
      <c r="F119" s="7">
        <v>255516</v>
      </c>
      <c r="G119" s="7"/>
      <c r="H119" s="8">
        <f t="shared" si="2"/>
        <v>760.68518518518511</v>
      </c>
      <c r="I119" s="8">
        <f t="shared" si="3"/>
        <v>4731.7777777777774</v>
      </c>
      <c r="J119" s="8">
        <v>3192</v>
      </c>
      <c r="K119" s="9">
        <v>83</v>
      </c>
    </row>
    <row r="120" spans="2:27" ht="19.5" hidden="1" customHeight="1" x14ac:dyDescent="0.25">
      <c r="B120" s="5" t="s">
        <v>21</v>
      </c>
      <c r="C120" s="6">
        <v>34</v>
      </c>
      <c r="D120" s="6">
        <v>60</v>
      </c>
      <c r="E120" s="7">
        <v>47750</v>
      </c>
      <c r="F120" s="7">
        <v>305138</v>
      </c>
      <c r="G120" s="7"/>
      <c r="H120" s="8">
        <f t="shared" si="2"/>
        <v>795.83333333333337</v>
      </c>
      <c r="I120" s="8">
        <f t="shared" si="3"/>
        <v>5085.6333333333332</v>
      </c>
      <c r="J120" s="8">
        <v>3201</v>
      </c>
      <c r="K120" s="9">
        <v>84</v>
      </c>
    </row>
    <row r="121" spans="2:27" ht="19.5" hidden="1" customHeight="1" x14ac:dyDescent="0.25">
      <c r="B121" s="5" t="s">
        <v>22</v>
      </c>
      <c r="C121" s="6">
        <v>30</v>
      </c>
      <c r="D121" s="6">
        <v>52</v>
      </c>
      <c r="E121" s="7">
        <v>35874.500000000007</v>
      </c>
      <c r="F121" s="7">
        <v>202916</v>
      </c>
      <c r="G121" s="7"/>
      <c r="H121" s="8">
        <f t="shared" si="2"/>
        <v>689.89423076923094</v>
      </c>
      <c r="I121" s="8">
        <f t="shared" si="3"/>
        <v>3902.2307692307691</v>
      </c>
      <c r="J121" s="8">
        <v>3379</v>
      </c>
      <c r="K121" s="9">
        <v>82</v>
      </c>
      <c r="S121" s="2"/>
      <c r="T121" s="3" t="s">
        <v>61</v>
      </c>
      <c r="U121" s="3" t="s">
        <v>2</v>
      </c>
      <c r="V121" s="3" t="s">
        <v>3</v>
      </c>
      <c r="W121" s="3" t="s">
        <v>4</v>
      </c>
      <c r="X121" s="4" t="s">
        <v>5</v>
      </c>
      <c r="Y121" s="4" t="s">
        <v>6</v>
      </c>
      <c r="Z121" s="4" t="s">
        <v>7</v>
      </c>
      <c r="AA121" s="3" t="s">
        <v>8</v>
      </c>
    </row>
    <row r="122" spans="2:27" ht="19.5" hidden="1" customHeight="1" x14ac:dyDescent="0.25">
      <c r="B122" s="5" t="s">
        <v>23</v>
      </c>
      <c r="C122" s="6">
        <v>25</v>
      </c>
      <c r="D122" s="6">
        <v>45</v>
      </c>
      <c r="E122" s="7">
        <v>34628.399999999994</v>
      </c>
      <c r="F122" s="7">
        <v>217382</v>
      </c>
      <c r="G122" s="7"/>
      <c r="H122" s="8">
        <f t="shared" si="2"/>
        <v>769.51999999999987</v>
      </c>
      <c r="I122" s="8">
        <f t="shared" si="3"/>
        <v>4830.7111111111108</v>
      </c>
      <c r="J122" s="8">
        <v>3175</v>
      </c>
      <c r="K122" s="9">
        <v>82</v>
      </c>
      <c r="S122" s="5" t="s">
        <v>9</v>
      </c>
      <c r="T122" s="6">
        <v>33</v>
      </c>
      <c r="U122" s="6">
        <v>71</v>
      </c>
      <c r="V122" s="7">
        <v>57337.499999999993</v>
      </c>
      <c r="W122" s="7">
        <v>344635</v>
      </c>
      <c r="X122" s="8">
        <f t="shared" ref="X122:X185" si="4">V122/U122</f>
        <v>807.57042253521115</v>
      </c>
      <c r="Y122" s="8">
        <f t="shared" ref="Y122:Y185" si="5">W122/U122</f>
        <v>4854.0140845070418</v>
      </c>
      <c r="Z122" s="8">
        <v>3317</v>
      </c>
      <c r="AA122" s="9">
        <v>63</v>
      </c>
    </row>
    <row r="123" spans="2:27" ht="19.5" hidden="1" customHeight="1" x14ac:dyDescent="0.25">
      <c r="B123" s="5" t="s">
        <v>24</v>
      </c>
      <c r="C123" s="6">
        <v>32</v>
      </c>
      <c r="D123" s="6">
        <v>61</v>
      </c>
      <c r="E123" s="7">
        <v>47752.3</v>
      </c>
      <c r="F123" s="7">
        <v>284575</v>
      </c>
      <c r="G123" s="7"/>
      <c r="H123" s="8">
        <f t="shared" si="2"/>
        <v>782.82459016393443</v>
      </c>
      <c r="I123" s="8">
        <f t="shared" si="3"/>
        <v>4665.1639344262294</v>
      </c>
      <c r="J123" s="8">
        <v>3253</v>
      </c>
      <c r="K123" s="9">
        <v>83</v>
      </c>
      <c r="S123" s="5" t="s">
        <v>10</v>
      </c>
      <c r="T123" s="6">
        <v>35</v>
      </c>
      <c r="U123" s="6">
        <v>73</v>
      </c>
      <c r="V123" s="7">
        <v>60841</v>
      </c>
      <c r="W123" s="7">
        <v>371344</v>
      </c>
      <c r="X123" s="8">
        <f t="shared" si="4"/>
        <v>833.43835616438355</v>
      </c>
      <c r="Y123" s="8">
        <f t="shared" si="5"/>
        <v>5086.9041095890407</v>
      </c>
      <c r="Z123" s="8">
        <v>3336</v>
      </c>
      <c r="AA123" s="9">
        <v>41</v>
      </c>
    </row>
    <row r="124" spans="2:27" ht="19.5" hidden="1" customHeight="1" x14ac:dyDescent="0.25">
      <c r="B124" s="5" t="s">
        <v>25</v>
      </c>
      <c r="C124" s="6">
        <v>33</v>
      </c>
      <c r="D124" s="6">
        <v>64</v>
      </c>
      <c r="E124" s="7">
        <v>46677.89999999998</v>
      </c>
      <c r="F124" s="7">
        <v>277290</v>
      </c>
      <c r="G124" s="7"/>
      <c r="H124" s="8">
        <f t="shared" si="2"/>
        <v>729.34218749999968</v>
      </c>
      <c r="I124" s="8">
        <f t="shared" si="3"/>
        <v>4332.65625</v>
      </c>
      <c r="J124" s="8">
        <v>3289</v>
      </c>
      <c r="K124" s="9">
        <v>82</v>
      </c>
      <c r="S124" s="5" t="s">
        <v>11</v>
      </c>
      <c r="T124" s="6">
        <v>30</v>
      </c>
      <c r="U124" s="6">
        <v>69</v>
      </c>
      <c r="V124" s="7">
        <v>57414.599999999991</v>
      </c>
      <c r="W124" s="7">
        <v>353946</v>
      </c>
      <c r="X124" s="8">
        <f t="shared" si="4"/>
        <v>832.09565217391287</v>
      </c>
      <c r="Y124" s="8">
        <f t="shared" si="5"/>
        <v>5129.652173913043</v>
      </c>
      <c r="Z124" s="8">
        <v>3280</v>
      </c>
      <c r="AA124" s="9">
        <v>91</v>
      </c>
    </row>
    <row r="125" spans="2:27" ht="15.75" hidden="1" x14ac:dyDescent="0.25">
      <c r="B125" s="5" t="s">
        <v>26</v>
      </c>
      <c r="C125" s="6">
        <v>28</v>
      </c>
      <c r="D125" s="6">
        <v>53</v>
      </c>
      <c r="E125" s="7">
        <v>45755.899999999987</v>
      </c>
      <c r="F125" s="7">
        <v>270463</v>
      </c>
      <c r="G125" s="7"/>
      <c r="H125" s="8">
        <f t="shared" si="2"/>
        <v>863.31886792452804</v>
      </c>
      <c r="I125" s="8">
        <f t="shared" si="3"/>
        <v>5103.0754716981128</v>
      </c>
      <c r="J125" s="8">
        <v>3251</v>
      </c>
      <c r="K125" s="9">
        <v>84</v>
      </c>
      <c r="S125" s="5" t="s">
        <v>12</v>
      </c>
      <c r="T125" s="6">
        <v>28</v>
      </c>
      <c r="U125" s="6">
        <v>63</v>
      </c>
      <c r="V125" s="7">
        <v>52445.999999999978</v>
      </c>
      <c r="W125" s="7">
        <v>311342</v>
      </c>
      <c r="X125" s="8">
        <f t="shared" si="4"/>
        <v>832.47619047619014</v>
      </c>
      <c r="Y125" s="8">
        <f t="shared" si="5"/>
        <v>4941.936507936508</v>
      </c>
      <c r="Z125" s="8">
        <v>3280</v>
      </c>
      <c r="AA125" s="9">
        <v>98</v>
      </c>
    </row>
    <row r="126" spans="2:27" ht="15.75" hidden="1" x14ac:dyDescent="0.25">
      <c r="B126" s="5" t="s">
        <v>27</v>
      </c>
      <c r="C126" s="6">
        <v>37</v>
      </c>
      <c r="D126" s="6">
        <v>67</v>
      </c>
      <c r="E126" s="7">
        <v>47539.999999999985</v>
      </c>
      <c r="F126" s="7">
        <v>290428</v>
      </c>
      <c r="G126" s="7"/>
      <c r="H126" s="8">
        <f t="shared" si="2"/>
        <v>709.55223880596998</v>
      </c>
      <c r="I126" s="8">
        <f t="shared" si="3"/>
        <v>4334.746268656716</v>
      </c>
      <c r="J126" s="8">
        <v>3326</v>
      </c>
      <c r="K126" s="9">
        <v>83</v>
      </c>
      <c r="S126" s="5" t="s">
        <v>13</v>
      </c>
      <c r="T126" s="6">
        <v>28</v>
      </c>
      <c r="U126" s="6">
        <v>63</v>
      </c>
      <c r="V126" s="7">
        <v>49307.5</v>
      </c>
      <c r="W126" s="7">
        <v>280250</v>
      </c>
      <c r="X126" s="8">
        <f t="shared" si="4"/>
        <v>782.65873015873012</v>
      </c>
      <c r="Y126" s="8">
        <f t="shared" si="5"/>
        <v>4448.4126984126988</v>
      </c>
      <c r="Z126" s="8">
        <v>3405</v>
      </c>
      <c r="AA126" s="9">
        <v>99</v>
      </c>
    </row>
    <row r="127" spans="2:27" ht="15.75" hidden="1" x14ac:dyDescent="0.25">
      <c r="B127" s="5" t="s">
        <v>28</v>
      </c>
      <c r="C127" s="6">
        <v>33</v>
      </c>
      <c r="D127" s="6">
        <v>67</v>
      </c>
      <c r="E127" s="7">
        <v>54917.700000000004</v>
      </c>
      <c r="F127" s="7">
        <v>320975</v>
      </c>
      <c r="G127" s="7"/>
      <c r="H127" s="8">
        <f t="shared" si="2"/>
        <v>819.66716417910459</v>
      </c>
      <c r="I127" s="8">
        <f t="shared" si="3"/>
        <v>4790.6716417910447</v>
      </c>
      <c r="J127" s="8">
        <v>3296</v>
      </c>
      <c r="K127" s="9">
        <v>87</v>
      </c>
      <c r="S127" s="5" t="s">
        <v>14</v>
      </c>
      <c r="T127" s="6">
        <v>33</v>
      </c>
      <c r="U127" s="6">
        <v>67</v>
      </c>
      <c r="V127" s="7">
        <v>56731.600000000006</v>
      </c>
      <c r="W127" s="7">
        <v>343761</v>
      </c>
      <c r="X127" s="8">
        <f t="shared" si="4"/>
        <v>846.74029850746274</v>
      </c>
      <c r="Y127" s="8">
        <f t="shared" si="5"/>
        <v>5130.7611940298511</v>
      </c>
      <c r="Z127" s="8">
        <v>3334</v>
      </c>
      <c r="AA127" s="9">
        <v>76</v>
      </c>
    </row>
    <row r="128" spans="2:27" ht="15.75" hidden="1" x14ac:dyDescent="0.25">
      <c r="B128" s="5" t="s">
        <v>29</v>
      </c>
      <c r="C128" s="6">
        <v>33</v>
      </c>
      <c r="D128" s="6">
        <v>64</v>
      </c>
      <c r="E128" s="7">
        <v>52326.69999999999</v>
      </c>
      <c r="F128" s="7">
        <v>318730</v>
      </c>
      <c r="G128" s="7"/>
      <c r="H128" s="8">
        <f t="shared" si="2"/>
        <v>817.60468749999984</v>
      </c>
      <c r="I128" s="8">
        <f t="shared" si="3"/>
        <v>4980.15625</v>
      </c>
      <c r="J128" s="8">
        <v>3270</v>
      </c>
      <c r="K128" s="9">
        <v>85</v>
      </c>
      <c r="S128" s="5" t="s">
        <v>15</v>
      </c>
      <c r="T128" s="6">
        <v>21</v>
      </c>
      <c r="U128" s="6">
        <v>43</v>
      </c>
      <c r="V128" s="7">
        <v>36414.200000000004</v>
      </c>
      <c r="W128" s="7">
        <v>295678</v>
      </c>
      <c r="X128" s="8">
        <f t="shared" si="4"/>
        <v>846.84186046511638</v>
      </c>
      <c r="Y128" s="8">
        <f t="shared" si="5"/>
        <v>6876.2325581395353</v>
      </c>
      <c r="Z128" s="8">
        <v>3283</v>
      </c>
      <c r="AA128" s="9">
        <v>77</v>
      </c>
    </row>
    <row r="129" spans="2:27" ht="15.75" hidden="1" x14ac:dyDescent="0.25">
      <c r="B129" s="5" t="s">
        <v>30</v>
      </c>
      <c r="C129" s="6">
        <v>28</v>
      </c>
      <c r="D129" s="6">
        <v>55</v>
      </c>
      <c r="E129" s="7">
        <v>45121.7</v>
      </c>
      <c r="F129" s="7">
        <v>277573</v>
      </c>
      <c r="G129" s="7"/>
      <c r="H129" s="8">
        <f t="shared" si="2"/>
        <v>820.39454545454544</v>
      </c>
      <c r="I129" s="8">
        <f t="shared" si="3"/>
        <v>5046.7818181818184</v>
      </c>
      <c r="J129" s="8">
        <v>3193</v>
      </c>
      <c r="K129" s="9">
        <v>81</v>
      </c>
      <c r="S129" s="5" t="s">
        <v>16</v>
      </c>
      <c r="T129" s="6">
        <v>31</v>
      </c>
      <c r="U129" s="6">
        <v>64</v>
      </c>
      <c r="V129" s="7">
        <v>56652.60000000002</v>
      </c>
      <c r="W129" s="7">
        <v>340139</v>
      </c>
      <c r="X129" s="8">
        <f t="shared" si="4"/>
        <v>885.19687500000032</v>
      </c>
      <c r="Y129" s="8">
        <f t="shared" si="5"/>
        <v>5314.671875</v>
      </c>
      <c r="Z129" s="8">
        <v>3341</v>
      </c>
      <c r="AA129" s="9">
        <v>96</v>
      </c>
    </row>
    <row r="130" spans="2:27" ht="15.75" hidden="1" x14ac:dyDescent="0.25">
      <c r="B130" s="5" t="s">
        <v>31</v>
      </c>
      <c r="C130" s="6">
        <v>29</v>
      </c>
      <c r="D130" s="6">
        <v>54</v>
      </c>
      <c r="E130" s="7">
        <v>43556.100000000013</v>
      </c>
      <c r="F130" s="7">
        <v>256737</v>
      </c>
      <c r="G130" s="7"/>
      <c r="H130" s="8">
        <f t="shared" si="2"/>
        <v>806.59444444444466</v>
      </c>
      <c r="I130" s="8">
        <f t="shared" si="3"/>
        <v>4754.3888888888887</v>
      </c>
      <c r="J130" s="8">
        <v>3239</v>
      </c>
      <c r="K130" s="9">
        <v>85</v>
      </c>
      <c r="S130" s="5" t="s">
        <v>17</v>
      </c>
      <c r="T130" s="6">
        <v>29</v>
      </c>
      <c r="U130" s="6">
        <v>62</v>
      </c>
      <c r="V130" s="7">
        <v>44505.43</v>
      </c>
      <c r="W130" s="7">
        <v>254397</v>
      </c>
      <c r="X130" s="8">
        <f t="shared" si="4"/>
        <v>717.8295161290323</v>
      </c>
      <c r="Y130" s="8">
        <f t="shared" si="5"/>
        <v>4103.177419354839</v>
      </c>
      <c r="Z130" s="8">
        <v>3333</v>
      </c>
      <c r="AA130" s="9">
        <v>84</v>
      </c>
    </row>
    <row r="131" spans="2:27" ht="15.75" hidden="1" x14ac:dyDescent="0.25">
      <c r="B131" s="5" t="s">
        <v>32</v>
      </c>
      <c r="C131" s="6">
        <v>29</v>
      </c>
      <c r="D131" s="6">
        <v>59</v>
      </c>
      <c r="E131" s="7">
        <v>47344.6</v>
      </c>
      <c r="F131" s="7">
        <v>268548</v>
      </c>
      <c r="G131" s="7"/>
      <c r="H131" s="8">
        <f t="shared" si="2"/>
        <v>802.45084745762711</v>
      </c>
      <c r="I131" s="8">
        <f t="shared" si="3"/>
        <v>4551.6610169491523</v>
      </c>
      <c r="J131" s="8">
        <v>3271</v>
      </c>
      <c r="K131" s="9">
        <v>86</v>
      </c>
      <c r="S131" s="5" t="s">
        <v>18</v>
      </c>
      <c r="T131" s="6">
        <v>23</v>
      </c>
      <c r="U131" s="6">
        <v>52</v>
      </c>
      <c r="V131" s="7">
        <v>38674.299999999996</v>
      </c>
      <c r="W131" s="7">
        <v>246964</v>
      </c>
      <c r="X131" s="8">
        <f t="shared" si="4"/>
        <v>743.73653846153843</v>
      </c>
      <c r="Y131" s="8">
        <f t="shared" si="5"/>
        <v>4749.3076923076924</v>
      </c>
      <c r="Z131" s="8">
        <v>3171</v>
      </c>
      <c r="AA131" s="9">
        <v>91</v>
      </c>
    </row>
    <row r="132" spans="2:27" ht="15.75" hidden="1" x14ac:dyDescent="0.25">
      <c r="B132" s="5" t="s">
        <v>33</v>
      </c>
      <c r="C132" s="6">
        <v>32</v>
      </c>
      <c r="D132" s="6">
        <v>61</v>
      </c>
      <c r="E132" s="7">
        <v>50148.799999999996</v>
      </c>
      <c r="F132" s="7">
        <v>294132</v>
      </c>
      <c r="G132" s="7"/>
      <c r="H132" s="8">
        <f t="shared" si="2"/>
        <v>822.11147540983598</v>
      </c>
      <c r="I132" s="8">
        <f t="shared" si="3"/>
        <v>4821.8360655737706</v>
      </c>
      <c r="J132" s="8">
        <v>3246</v>
      </c>
      <c r="K132" s="9">
        <v>86</v>
      </c>
      <c r="S132" s="5" t="s">
        <v>19</v>
      </c>
      <c r="T132" s="6">
        <v>31</v>
      </c>
      <c r="U132" s="6">
        <v>70</v>
      </c>
      <c r="V132" s="7">
        <v>55558.399999999994</v>
      </c>
      <c r="W132" s="7">
        <v>325689</v>
      </c>
      <c r="X132" s="8">
        <f t="shared" si="4"/>
        <v>793.69142857142845</v>
      </c>
      <c r="Y132" s="8">
        <f t="shared" si="5"/>
        <v>4652.7</v>
      </c>
      <c r="Z132" s="8">
        <v>3266</v>
      </c>
      <c r="AA132" s="9">
        <v>90</v>
      </c>
    </row>
    <row r="133" spans="2:27" ht="15.75" hidden="1" x14ac:dyDescent="0.25">
      <c r="B133" s="5" t="s">
        <v>34</v>
      </c>
      <c r="C133" s="6">
        <v>33</v>
      </c>
      <c r="D133" s="6">
        <v>61</v>
      </c>
      <c r="E133" s="7">
        <v>52069.999999999993</v>
      </c>
      <c r="F133" s="7">
        <v>307564</v>
      </c>
      <c r="G133" s="7"/>
      <c r="H133" s="8">
        <f t="shared" ref="H133:H196" si="6">E133/D133</f>
        <v>853.60655737704906</v>
      </c>
      <c r="I133" s="8">
        <f t="shared" ref="I133:I196" si="7">F133/D133</f>
        <v>5042.0327868852455</v>
      </c>
      <c r="J133" s="8">
        <v>3295</v>
      </c>
      <c r="K133" s="9">
        <v>86</v>
      </c>
      <c r="S133" s="5" t="s">
        <v>20</v>
      </c>
      <c r="T133" s="6">
        <v>26</v>
      </c>
      <c r="U133" s="6">
        <v>52</v>
      </c>
      <c r="V133" s="7">
        <v>42708</v>
      </c>
      <c r="W133" s="7">
        <v>260442</v>
      </c>
      <c r="X133" s="8">
        <f t="shared" si="4"/>
        <v>821.30769230769226</v>
      </c>
      <c r="Y133" s="8">
        <f t="shared" si="5"/>
        <v>5008.5</v>
      </c>
      <c r="Z133" s="8">
        <v>3280</v>
      </c>
      <c r="AA133" s="9">
        <v>90</v>
      </c>
    </row>
    <row r="134" spans="2:27" ht="15.75" hidden="1" x14ac:dyDescent="0.25">
      <c r="B134" s="5" t="s">
        <v>60</v>
      </c>
      <c r="C134" s="6">
        <v>29</v>
      </c>
      <c r="D134" s="6">
        <v>49</v>
      </c>
      <c r="E134" s="7">
        <v>38529.000000000015</v>
      </c>
      <c r="F134" s="7">
        <v>238835</v>
      </c>
      <c r="G134" s="7"/>
      <c r="H134" s="8">
        <f t="shared" si="6"/>
        <v>786.30612244897986</v>
      </c>
      <c r="I134" s="8">
        <f t="shared" si="7"/>
        <v>4874.1836734693879</v>
      </c>
      <c r="J134" s="8">
        <v>3290</v>
      </c>
      <c r="K134" s="9">
        <v>78</v>
      </c>
      <c r="S134" s="5" t="s">
        <v>21</v>
      </c>
      <c r="T134" s="6">
        <v>19</v>
      </c>
      <c r="U134" s="6">
        <v>34</v>
      </c>
      <c r="V134" s="7">
        <v>29205.269999999993</v>
      </c>
      <c r="W134" s="7">
        <v>185460</v>
      </c>
      <c r="X134" s="8">
        <f t="shared" si="4"/>
        <v>858.9785294117645</v>
      </c>
      <c r="Y134" s="8">
        <f t="shared" si="5"/>
        <v>5454.7058823529414</v>
      </c>
      <c r="Z134" s="8">
        <v>3280</v>
      </c>
      <c r="AA134" s="9">
        <v>95</v>
      </c>
    </row>
    <row r="135" spans="2:27" ht="15.75" hidden="1" x14ac:dyDescent="0.25">
      <c r="B135" s="5" t="s">
        <v>35</v>
      </c>
      <c r="C135" s="6">
        <v>37</v>
      </c>
      <c r="D135" s="6">
        <v>67</v>
      </c>
      <c r="E135" s="7">
        <v>49694.500000000007</v>
      </c>
      <c r="F135" s="7">
        <v>291637</v>
      </c>
      <c r="G135" s="7"/>
      <c r="H135" s="8">
        <f t="shared" si="6"/>
        <v>741.70895522388071</v>
      </c>
      <c r="I135" s="8">
        <f t="shared" si="7"/>
        <v>4352.7910447761196</v>
      </c>
      <c r="J135" s="8">
        <v>3273</v>
      </c>
      <c r="K135" s="9">
        <v>87</v>
      </c>
      <c r="S135" s="5" t="s">
        <v>22</v>
      </c>
      <c r="T135" s="6">
        <v>30</v>
      </c>
      <c r="U135" s="6">
        <v>61</v>
      </c>
      <c r="V135" s="7">
        <v>49225.5</v>
      </c>
      <c r="W135" s="7">
        <v>300015</v>
      </c>
      <c r="X135" s="8">
        <f t="shared" si="4"/>
        <v>806.97540983606552</v>
      </c>
      <c r="Y135" s="8">
        <f t="shared" si="5"/>
        <v>4918.2786885245905</v>
      </c>
      <c r="Z135" s="8">
        <v>3280</v>
      </c>
      <c r="AA135" s="9">
        <v>95</v>
      </c>
    </row>
    <row r="136" spans="2:27" ht="15.75" hidden="1" x14ac:dyDescent="0.25">
      <c r="B136" s="5" t="s">
        <v>36</v>
      </c>
      <c r="C136" s="6">
        <v>32</v>
      </c>
      <c r="D136" s="6">
        <v>58</v>
      </c>
      <c r="E136" s="7">
        <v>48727.9</v>
      </c>
      <c r="F136" s="7">
        <v>296738</v>
      </c>
      <c r="G136" s="7"/>
      <c r="H136" s="8">
        <f t="shared" si="6"/>
        <v>840.1362068965517</v>
      </c>
      <c r="I136" s="8">
        <f t="shared" si="7"/>
        <v>5116.1724137931033</v>
      </c>
      <c r="J136" s="8">
        <v>3242</v>
      </c>
      <c r="K136" s="9">
        <v>86</v>
      </c>
      <c r="S136" s="5" t="s">
        <v>22</v>
      </c>
      <c r="T136" s="6">
        <v>25</v>
      </c>
      <c r="U136" s="6">
        <v>56</v>
      </c>
      <c r="V136" s="7">
        <v>42122.200000000004</v>
      </c>
      <c r="W136" s="7">
        <v>248446</v>
      </c>
      <c r="X136" s="8">
        <f t="shared" si="4"/>
        <v>752.18214285714294</v>
      </c>
      <c r="Y136" s="8">
        <f t="shared" si="5"/>
        <v>4436.5357142857147</v>
      </c>
      <c r="Z136" s="8">
        <v>3325</v>
      </c>
      <c r="AA136" s="9">
        <v>87</v>
      </c>
    </row>
    <row r="137" spans="2:27" ht="15.75" hidden="1" x14ac:dyDescent="0.25">
      <c r="B137" s="5" t="s">
        <v>37</v>
      </c>
      <c r="C137" s="6">
        <v>26</v>
      </c>
      <c r="D137" s="6">
        <v>52</v>
      </c>
      <c r="E137" s="7">
        <v>40627.899999999994</v>
      </c>
      <c r="F137" s="7">
        <v>240886</v>
      </c>
      <c r="G137" s="7"/>
      <c r="H137" s="8">
        <f t="shared" si="6"/>
        <v>781.3057692307691</v>
      </c>
      <c r="I137" s="8">
        <f t="shared" si="7"/>
        <v>4632.4230769230771</v>
      </c>
      <c r="J137" s="8">
        <v>3242</v>
      </c>
      <c r="K137" s="9">
        <v>85</v>
      </c>
      <c r="S137" s="5" t="s">
        <v>23</v>
      </c>
      <c r="T137" s="6">
        <v>25</v>
      </c>
      <c r="U137" s="6">
        <v>64</v>
      </c>
      <c r="V137" s="7">
        <v>50842.300000000032</v>
      </c>
      <c r="W137" s="7">
        <v>306267</v>
      </c>
      <c r="X137" s="8">
        <f t="shared" si="4"/>
        <v>794.4109375000005</v>
      </c>
      <c r="Y137" s="8">
        <f t="shared" si="5"/>
        <v>4785.421875</v>
      </c>
      <c r="Z137" s="8">
        <v>3314</v>
      </c>
      <c r="AA137" s="9">
        <v>88</v>
      </c>
    </row>
    <row r="138" spans="2:27" ht="15.75" hidden="1" x14ac:dyDescent="0.25">
      <c r="B138" s="5" t="s">
        <v>38</v>
      </c>
      <c r="C138" s="6">
        <v>27</v>
      </c>
      <c r="D138" s="6">
        <v>52</v>
      </c>
      <c r="E138" s="7">
        <v>42971.900000000009</v>
      </c>
      <c r="F138" s="7">
        <v>273250</v>
      </c>
      <c r="G138" s="7"/>
      <c r="H138" s="8">
        <f t="shared" si="6"/>
        <v>826.38269230769242</v>
      </c>
      <c r="I138" s="8">
        <f t="shared" si="7"/>
        <v>5254.8076923076924</v>
      </c>
      <c r="J138" s="8">
        <v>3212</v>
      </c>
      <c r="K138" s="9">
        <v>86</v>
      </c>
      <c r="S138" s="5" t="s">
        <v>24</v>
      </c>
      <c r="T138" s="6">
        <v>34</v>
      </c>
      <c r="U138" s="6">
        <v>72</v>
      </c>
      <c r="V138" s="7">
        <v>61812.899999999987</v>
      </c>
      <c r="W138" s="7">
        <v>369326</v>
      </c>
      <c r="X138" s="8">
        <f t="shared" si="4"/>
        <v>858.51249999999982</v>
      </c>
      <c r="Y138" s="8">
        <f t="shared" si="5"/>
        <v>5129.5277777777774</v>
      </c>
      <c r="Z138" s="8">
        <v>3314</v>
      </c>
      <c r="AA138" s="9">
        <v>88</v>
      </c>
    </row>
    <row r="139" spans="2:27" ht="15.75" hidden="1" x14ac:dyDescent="0.25">
      <c r="B139" s="5" t="s">
        <v>39</v>
      </c>
      <c r="C139" s="6">
        <v>33</v>
      </c>
      <c r="D139" s="6">
        <v>58</v>
      </c>
      <c r="E139" s="7">
        <v>47441.099999999991</v>
      </c>
      <c r="F139" s="7">
        <v>284077</v>
      </c>
      <c r="G139" s="7"/>
      <c r="H139" s="8">
        <f t="shared" si="6"/>
        <v>817.94999999999982</v>
      </c>
      <c r="I139" s="8">
        <f t="shared" si="7"/>
        <v>4897.8793103448279</v>
      </c>
      <c r="J139" s="8">
        <v>3269</v>
      </c>
      <c r="K139" s="9">
        <v>86</v>
      </c>
      <c r="S139" s="5" t="s">
        <v>25</v>
      </c>
      <c r="T139" s="6">
        <v>27</v>
      </c>
      <c r="U139" s="6">
        <v>54</v>
      </c>
      <c r="V139" s="7">
        <v>45623.80000000001</v>
      </c>
      <c r="W139" s="7">
        <v>288219</v>
      </c>
      <c r="X139" s="8">
        <f t="shared" si="4"/>
        <v>844.88518518518538</v>
      </c>
      <c r="Y139" s="8">
        <f t="shared" si="5"/>
        <v>5337.3888888888887</v>
      </c>
      <c r="Z139" s="8">
        <v>3153</v>
      </c>
      <c r="AA139" s="9">
        <v>83</v>
      </c>
    </row>
    <row r="140" spans="2:27" ht="15.75" hidden="1" x14ac:dyDescent="0.25">
      <c r="B140" s="5" t="s">
        <v>40</v>
      </c>
      <c r="C140" s="6">
        <v>37</v>
      </c>
      <c r="D140" s="6">
        <v>64</v>
      </c>
      <c r="E140" s="7">
        <v>51609.1</v>
      </c>
      <c r="F140" s="7">
        <v>311362</v>
      </c>
      <c r="G140" s="7"/>
      <c r="H140" s="8">
        <f t="shared" si="6"/>
        <v>806.39218749999998</v>
      </c>
      <c r="I140" s="8">
        <f t="shared" si="7"/>
        <v>4865.03125</v>
      </c>
      <c r="J140" s="8">
        <v>3230</v>
      </c>
      <c r="K140" s="9">
        <v>85</v>
      </c>
      <c r="S140" s="5" t="s">
        <v>26</v>
      </c>
      <c r="T140" s="6">
        <v>34</v>
      </c>
      <c r="U140" s="6">
        <v>70</v>
      </c>
      <c r="V140" s="7">
        <v>52793.799999999988</v>
      </c>
      <c r="W140" s="7">
        <v>339381</v>
      </c>
      <c r="X140" s="8">
        <f t="shared" si="4"/>
        <v>754.19714285714269</v>
      </c>
      <c r="Y140" s="8">
        <f t="shared" si="5"/>
        <v>4848.3</v>
      </c>
      <c r="Z140" s="8">
        <v>3153</v>
      </c>
      <c r="AA140" s="9">
        <v>90</v>
      </c>
    </row>
    <row r="141" spans="2:27" ht="15.75" hidden="1" x14ac:dyDescent="0.25">
      <c r="B141" s="5" t="s">
        <v>41</v>
      </c>
      <c r="C141" s="6">
        <v>34</v>
      </c>
      <c r="D141" s="6">
        <v>61</v>
      </c>
      <c r="E141" s="7">
        <v>48556.2</v>
      </c>
      <c r="F141" s="7">
        <v>345614</v>
      </c>
      <c r="G141" s="7"/>
      <c r="H141" s="8">
        <f t="shared" si="6"/>
        <v>796.00327868852457</v>
      </c>
      <c r="I141" s="8">
        <f t="shared" si="7"/>
        <v>5665.8032786885242</v>
      </c>
      <c r="J141" s="8">
        <v>3278</v>
      </c>
      <c r="K141" s="9">
        <v>84</v>
      </c>
      <c r="S141" s="5" t="s">
        <v>27</v>
      </c>
      <c r="T141" s="6">
        <v>29</v>
      </c>
      <c r="U141" s="6">
        <v>63</v>
      </c>
      <c r="V141" s="7">
        <v>43962.500000000015</v>
      </c>
      <c r="W141" s="7">
        <v>276680</v>
      </c>
      <c r="X141" s="8">
        <f t="shared" si="4"/>
        <v>697.81746031746059</v>
      </c>
      <c r="Y141" s="8">
        <f t="shared" si="5"/>
        <v>4391.7460317460318</v>
      </c>
      <c r="Z141" s="8">
        <v>3258</v>
      </c>
      <c r="AA141" s="9">
        <v>93</v>
      </c>
    </row>
    <row r="142" spans="2:27" ht="15.75" hidden="1" x14ac:dyDescent="0.25">
      <c r="B142" s="5" t="s">
        <v>42</v>
      </c>
      <c r="C142" s="6">
        <v>36</v>
      </c>
      <c r="D142" s="6">
        <v>66</v>
      </c>
      <c r="E142" s="7">
        <v>50490.2</v>
      </c>
      <c r="F142" s="7">
        <v>307708</v>
      </c>
      <c r="G142" s="7"/>
      <c r="H142" s="8">
        <f t="shared" si="6"/>
        <v>765.0030303030303</v>
      </c>
      <c r="I142" s="8">
        <f t="shared" si="7"/>
        <v>4662.242424242424</v>
      </c>
      <c r="J142" s="8">
        <v>3132</v>
      </c>
      <c r="K142" s="9">
        <v>86</v>
      </c>
      <c r="S142" s="5" t="s">
        <v>28</v>
      </c>
      <c r="T142" s="6">
        <v>32</v>
      </c>
      <c r="U142" s="6">
        <v>61</v>
      </c>
      <c r="V142" s="7">
        <v>47398.400000000009</v>
      </c>
      <c r="W142" s="7">
        <v>294147</v>
      </c>
      <c r="X142" s="8">
        <f t="shared" si="4"/>
        <v>777.02295081967225</v>
      </c>
      <c r="Y142" s="8">
        <f t="shared" si="5"/>
        <v>4822.0819672131147</v>
      </c>
      <c r="Z142" s="8">
        <v>3258</v>
      </c>
      <c r="AA142" s="9">
        <v>94</v>
      </c>
    </row>
    <row r="143" spans="2:27" ht="15.75" hidden="1" x14ac:dyDescent="0.25">
      <c r="B143" s="5" t="s">
        <v>43</v>
      </c>
      <c r="C143" s="6">
        <v>32</v>
      </c>
      <c r="D143" s="6">
        <v>66</v>
      </c>
      <c r="E143" s="7">
        <v>51140.5</v>
      </c>
      <c r="F143" s="7">
        <v>293232</v>
      </c>
      <c r="G143" s="7"/>
      <c r="H143" s="8">
        <f t="shared" si="6"/>
        <v>774.85606060606062</v>
      </c>
      <c r="I143" s="8">
        <f t="shared" si="7"/>
        <v>4442.909090909091</v>
      </c>
      <c r="J143" s="8">
        <v>3380</v>
      </c>
      <c r="K143" s="9">
        <v>86</v>
      </c>
      <c r="S143" s="5" t="s">
        <v>29</v>
      </c>
      <c r="T143" s="6">
        <v>31</v>
      </c>
      <c r="U143" s="6">
        <v>64</v>
      </c>
      <c r="V143" s="7">
        <v>52029.7</v>
      </c>
      <c r="W143" s="7">
        <v>328401</v>
      </c>
      <c r="X143" s="8">
        <f t="shared" si="4"/>
        <v>812.96406249999995</v>
      </c>
      <c r="Y143" s="8">
        <f t="shared" si="5"/>
        <v>5131.265625</v>
      </c>
      <c r="Z143" s="8">
        <v>3353</v>
      </c>
      <c r="AA143" s="9">
        <v>89</v>
      </c>
    </row>
    <row r="144" spans="2:27" ht="15.75" hidden="1" x14ac:dyDescent="0.25">
      <c r="B144" s="5" t="s">
        <v>44</v>
      </c>
      <c r="C144" s="6">
        <v>33</v>
      </c>
      <c r="D144" s="6">
        <v>62</v>
      </c>
      <c r="E144" s="7">
        <v>48173.7</v>
      </c>
      <c r="F144" s="7">
        <v>289266</v>
      </c>
      <c r="G144" s="7"/>
      <c r="H144" s="8">
        <f t="shared" si="6"/>
        <v>776.99516129032259</v>
      </c>
      <c r="I144" s="8">
        <f t="shared" si="7"/>
        <v>4665.5806451612907</v>
      </c>
      <c r="J144" s="8">
        <v>3255</v>
      </c>
      <c r="K144" s="9">
        <v>86</v>
      </c>
      <c r="P144" t="s">
        <v>62</v>
      </c>
      <c r="S144" s="5" t="s">
        <v>30</v>
      </c>
      <c r="T144" s="6">
        <v>30</v>
      </c>
      <c r="U144" s="6">
        <v>59</v>
      </c>
      <c r="V144" s="7">
        <v>48384.600000000006</v>
      </c>
      <c r="W144" s="7">
        <v>292917</v>
      </c>
      <c r="X144" s="8">
        <f t="shared" si="4"/>
        <v>820.07796610169498</v>
      </c>
      <c r="Y144" s="8">
        <f t="shared" si="5"/>
        <v>4964.6949152542375</v>
      </c>
      <c r="Z144" s="8">
        <v>3295</v>
      </c>
      <c r="AA144" s="9">
        <v>91</v>
      </c>
    </row>
    <row r="145" spans="2:27" ht="15.75" hidden="1" x14ac:dyDescent="0.25">
      <c r="B145" s="5" t="s">
        <v>45</v>
      </c>
      <c r="C145" s="6">
        <v>26</v>
      </c>
      <c r="D145" s="6">
        <v>51</v>
      </c>
      <c r="E145" s="7">
        <v>41372.399999999994</v>
      </c>
      <c r="F145" s="7">
        <v>236065</v>
      </c>
      <c r="G145" s="7"/>
      <c r="H145" s="8">
        <f t="shared" si="6"/>
        <v>811.22352941176462</v>
      </c>
      <c r="I145" s="8">
        <f t="shared" si="7"/>
        <v>4628.7254901960787</v>
      </c>
      <c r="J145" s="8">
        <v>3368</v>
      </c>
      <c r="K145" s="9">
        <v>85</v>
      </c>
      <c r="S145" s="5" t="s">
        <v>31</v>
      </c>
      <c r="T145" s="6">
        <v>32</v>
      </c>
      <c r="U145" s="6">
        <v>59</v>
      </c>
      <c r="V145" s="7">
        <v>48384.600000000006</v>
      </c>
      <c r="W145" s="7">
        <v>292917</v>
      </c>
      <c r="X145" s="8">
        <f t="shared" si="4"/>
        <v>820.07796610169498</v>
      </c>
      <c r="Y145" s="8">
        <f t="shared" si="5"/>
        <v>4964.6949152542375</v>
      </c>
      <c r="Z145" s="8">
        <v>3295</v>
      </c>
      <c r="AA145" s="9">
        <v>91</v>
      </c>
    </row>
    <row r="146" spans="2:27" ht="15.75" hidden="1" x14ac:dyDescent="0.25">
      <c r="B146" s="5" t="s">
        <v>46</v>
      </c>
      <c r="C146" s="6">
        <v>30</v>
      </c>
      <c r="D146" s="6">
        <v>46</v>
      </c>
      <c r="E146" s="7">
        <v>43277</v>
      </c>
      <c r="F146" s="7">
        <v>264374</v>
      </c>
      <c r="G146" s="7"/>
      <c r="H146" s="8">
        <f t="shared" si="6"/>
        <v>940.804347826087</v>
      </c>
      <c r="I146" s="8">
        <f t="shared" si="7"/>
        <v>5747.260869565217</v>
      </c>
      <c r="J146" s="8">
        <v>3234</v>
      </c>
      <c r="K146" s="9">
        <v>86</v>
      </c>
      <c r="S146" s="5" t="s">
        <v>32</v>
      </c>
      <c r="T146" s="6">
        <v>32</v>
      </c>
      <c r="U146" s="6">
        <v>67</v>
      </c>
      <c r="V146" s="7">
        <v>55705.399999999994</v>
      </c>
      <c r="W146" s="7">
        <v>327798</v>
      </c>
      <c r="X146" s="8">
        <f t="shared" si="4"/>
        <v>831.42388059701489</v>
      </c>
      <c r="Y146" s="8">
        <f t="shared" si="5"/>
        <v>4892.5074626865671</v>
      </c>
      <c r="Z146" s="8">
        <v>3266</v>
      </c>
      <c r="AA146" s="9">
        <v>88</v>
      </c>
    </row>
    <row r="147" spans="2:27" ht="15.75" hidden="1" x14ac:dyDescent="0.25">
      <c r="B147" s="5" t="s">
        <v>47</v>
      </c>
      <c r="C147" s="6">
        <v>22</v>
      </c>
      <c r="D147" s="6">
        <v>40</v>
      </c>
      <c r="E147" s="7">
        <v>28411.999999999993</v>
      </c>
      <c r="F147" s="7">
        <v>159630</v>
      </c>
      <c r="G147" s="7"/>
      <c r="H147" s="8">
        <f t="shared" si="6"/>
        <v>710.29999999999984</v>
      </c>
      <c r="I147" s="8">
        <f t="shared" si="7"/>
        <v>3990.75</v>
      </c>
      <c r="J147" s="8">
        <v>3420</v>
      </c>
      <c r="K147" s="9">
        <v>85.559999999999988</v>
      </c>
      <c r="S147" s="5" t="s">
        <v>33</v>
      </c>
      <c r="T147" s="6">
        <v>32</v>
      </c>
      <c r="U147" s="6">
        <v>69</v>
      </c>
      <c r="V147" s="7">
        <v>54164.250000000015</v>
      </c>
      <c r="W147" s="7">
        <v>326712</v>
      </c>
      <c r="X147" s="8">
        <f t="shared" si="4"/>
        <v>784.98913043478285</v>
      </c>
      <c r="Y147" s="8">
        <f t="shared" si="5"/>
        <v>4734.95652173913</v>
      </c>
      <c r="Z147" s="8">
        <v>3316</v>
      </c>
      <c r="AA147" s="9">
        <v>87</v>
      </c>
    </row>
    <row r="148" spans="2:27" ht="15.75" hidden="1" x14ac:dyDescent="0.25">
      <c r="B148" s="5" t="s">
        <v>48</v>
      </c>
      <c r="C148" s="6">
        <v>27</v>
      </c>
      <c r="D148" s="6">
        <v>50</v>
      </c>
      <c r="E148" s="7">
        <v>41864.199999999997</v>
      </c>
      <c r="F148" s="7">
        <v>258971</v>
      </c>
      <c r="G148" s="7"/>
      <c r="H148" s="8">
        <f t="shared" si="6"/>
        <v>837.28399999999999</v>
      </c>
      <c r="I148" s="8">
        <f t="shared" si="7"/>
        <v>5179.42</v>
      </c>
      <c r="J148" s="8">
        <v>3248</v>
      </c>
      <c r="K148" s="9">
        <v>85.866666666666674</v>
      </c>
      <c r="S148" s="5" t="s">
        <v>34</v>
      </c>
      <c r="T148" s="6">
        <v>25</v>
      </c>
      <c r="U148" s="6">
        <v>47</v>
      </c>
      <c r="V148" s="7">
        <v>35056.300000000003</v>
      </c>
      <c r="W148" s="7">
        <v>222304</v>
      </c>
      <c r="X148" s="8">
        <f t="shared" si="4"/>
        <v>745.87872340425542</v>
      </c>
      <c r="Y148" s="8">
        <f t="shared" si="5"/>
        <v>4729.8723404255315</v>
      </c>
      <c r="Z148" s="8">
        <v>3263</v>
      </c>
      <c r="AA148" s="9">
        <v>97</v>
      </c>
    </row>
    <row r="149" spans="2:27" ht="15.75" hidden="1" x14ac:dyDescent="0.25">
      <c r="B149" s="5" t="s">
        <v>49</v>
      </c>
      <c r="C149" s="6">
        <v>28</v>
      </c>
      <c r="D149" s="6">
        <v>51</v>
      </c>
      <c r="E149" s="7">
        <v>40830.700000000012</v>
      </c>
      <c r="F149" s="7">
        <v>238931</v>
      </c>
      <c r="G149" s="7"/>
      <c r="H149" s="8">
        <f t="shared" si="6"/>
        <v>800.60196078431397</v>
      </c>
      <c r="I149" s="8">
        <f t="shared" si="7"/>
        <v>4684.9215686274511</v>
      </c>
      <c r="J149" s="8">
        <v>3343</v>
      </c>
      <c r="K149" s="9">
        <v>85.4</v>
      </c>
      <c r="S149" s="5" t="s">
        <v>35</v>
      </c>
      <c r="T149" s="6">
        <v>31</v>
      </c>
      <c r="U149" s="6">
        <v>57</v>
      </c>
      <c r="V149" s="7">
        <v>46010.5</v>
      </c>
      <c r="W149" s="7">
        <v>283046</v>
      </c>
      <c r="X149" s="8">
        <f t="shared" si="4"/>
        <v>807.20175438596493</v>
      </c>
      <c r="Y149" s="8">
        <f t="shared" si="5"/>
        <v>4965.7192982456145</v>
      </c>
      <c r="Z149" s="8">
        <v>3251</v>
      </c>
      <c r="AA149" s="9">
        <v>97</v>
      </c>
    </row>
    <row r="150" spans="2:27" ht="15.75" hidden="1" x14ac:dyDescent="0.25">
      <c r="B150" s="5" t="s">
        <v>50</v>
      </c>
      <c r="C150" s="6">
        <v>28</v>
      </c>
      <c r="D150" s="6">
        <v>53</v>
      </c>
      <c r="E150" s="7">
        <v>39837.999999999993</v>
      </c>
      <c r="F150" s="7">
        <v>227922</v>
      </c>
      <c r="G150" s="7"/>
      <c r="H150" s="8">
        <f t="shared" si="6"/>
        <v>751.66037735849045</v>
      </c>
      <c r="I150" s="8">
        <f t="shared" si="7"/>
        <v>4300.4150943396226</v>
      </c>
      <c r="J150" s="8">
        <v>3308</v>
      </c>
      <c r="K150" s="9">
        <v>86.240000000000009</v>
      </c>
      <c r="S150" s="5" t="s">
        <v>36</v>
      </c>
      <c r="T150" s="6">
        <v>31</v>
      </c>
      <c r="U150" s="6">
        <v>69</v>
      </c>
      <c r="V150" s="7">
        <v>48882.799999999974</v>
      </c>
      <c r="W150" s="7">
        <v>306249</v>
      </c>
      <c r="X150" s="8">
        <f t="shared" si="4"/>
        <v>708.44637681159384</v>
      </c>
      <c r="Y150" s="8">
        <f t="shared" si="5"/>
        <v>4438.391304347826</v>
      </c>
      <c r="Z150" s="8">
        <v>3350</v>
      </c>
      <c r="AA150" s="9">
        <v>83</v>
      </c>
    </row>
    <row r="151" spans="2:27" ht="15.75" hidden="1" x14ac:dyDescent="0.25">
      <c r="B151" s="5" t="s">
        <v>51</v>
      </c>
      <c r="C151" s="6">
        <v>29</v>
      </c>
      <c r="D151" s="6">
        <v>58</v>
      </c>
      <c r="E151" s="7">
        <v>43124.200000000004</v>
      </c>
      <c r="F151" s="7">
        <v>254648</v>
      </c>
      <c r="G151" s="7"/>
      <c r="H151" s="8">
        <f t="shared" si="6"/>
        <v>743.52068965517253</v>
      </c>
      <c r="I151" s="8">
        <f t="shared" si="7"/>
        <v>4390.4827586206893</v>
      </c>
      <c r="J151" s="8">
        <v>3278</v>
      </c>
      <c r="K151" s="9">
        <v>86.273333333333341</v>
      </c>
      <c r="S151" s="5" t="s">
        <v>37</v>
      </c>
      <c r="T151" s="6">
        <v>31</v>
      </c>
      <c r="U151" s="6">
        <v>69</v>
      </c>
      <c r="V151" s="7">
        <v>48882.799999999974</v>
      </c>
      <c r="W151" s="7">
        <v>306249</v>
      </c>
      <c r="X151" s="8">
        <f t="shared" si="4"/>
        <v>708.44637681159384</v>
      </c>
      <c r="Y151" s="8">
        <f t="shared" si="5"/>
        <v>4438.391304347826</v>
      </c>
      <c r="Z151" s="8">
        <v>3350</v>
      </c>
      <c r="AA151" s="9">
        <v>74</v>
      </c>
    </row>
    <row r="152" spans="2:27" ht="15.75" hidden="1" x14ac:dyDescent="0.25">
      <c r="B152" s="5" t="s">
        <v>52</v>
      </c>
      <c r="C152" s="6">
        <v>27</v>
      </c>
      <c r="D152" s="6">
        <v>47</v>
      </c>
      <c r="E152" s="7">
        <v>40099.000000000007</v>
      </c>
      <c r="F152" s="7">
        <v>235494</v>
      </c>
      <c r="G152" s="7"/>
      <c r="H152" s="8">
        <f t="shared" si="6"/>
        <v>853.17021276595756</v>
      </c>
      <c r="I152" s="8">
        <f t="shared" si="7"/>
        <v>5010.510638297872</v>
      </c>
      <c r="J152" s="8">
        <v>3309</v>
      </c>
      <c r="K152" s="9">
        <v>86.139999999999986</v>
      </c>
      <c r="S152" s="5" t="s">
        <v>38</v>
      </c>
      <c r="T152" s="6">
        <v>30</v>
      </c>
      <c r="U152" s="6">
        <v>62</v>
      </c>
      <c r="V152" s="7">
        <v>51322.39999999998</v>
      </c>
      <c r="W152" s="7">
        <v>316672</v>
      </c>
      <c r="X152" s="8">
        <f t="shared" si="4"/>
        <v>827.78064516128995</v>
      </c>
      <c r="Y152" s="8">
        <f t="shared" si="5"/>
        <v>5107.6129032258068</v>
      </c>
      <c r="Z152" s="8">
        <v>3278</v>
      </c>
      <c r="AA152" s="9">
        <v>82</v>
      </c>
    </row>
    <row r="153" spans="2:27" ht="15.75" hidden="1" x14ac:dyDescent="0.25">
      <c r="B153" s="5" t="s">
        <v>53</v>
      </c>
      <c r="C153" s="6">
        <v>31</v>
      </c>
      <c r="D153" s="6">
        <v>53</v>
      </c>
      <c r="E153" s="7">
        <v>41979.299999999996</v>
      </c>
      <c r="F153" s="7">
        <v>250579</v>
      </c>
      <c r="G153" s="7"/>
      <c r="H153" s="8">
        <f t="shared" si="6"/>
        <v>792.06226415094329</v>
      </c>
      <c r="I153" s="8">
        <f t="shared" si="7"/>
        <v>4727.9056603773588</v>
      </c>
      <c r="J153" s="8">
        <v>3245</v>
      </c>
      <c r="K153" s="9">
        <v>85.6</v>
      </c>
      <c r="S153" s="5" t="s">
        <v>39</v>
      </c>
      <c r="T153" s="6">
        <v>31</v>
      </c>
      <c r="U153" s="6">
        <v>69</v>
      </c>
      <c r="V153" s="7">
        <v>49953.579999999973</v>
      </c>
      <c r="W153" s="7">
        <v>297207</v>
      </c>
      <c r="X153" s="8">
        <f t="shared" si="4"/>
        <v>723.96492753623147</v>
      </c>
      <c r="Y153" s="8">
        <f t="shared" si="5"/>
        <v>4307.347826086957</v>
      </c>
      <c r="Z153" s="8">
        <v>3188</v>
      </c>
      <c r="AA153" s="9">
        <v>79</v>
      </c>
    </row>
    <row r="154" spans="2:27" ht="15.75" hidden="1" x14ac:dyDescent="0.25">
      <c r="B154" s="5" t="s">
        <v>54</v>
      </c>
      <c r="C154" s="6">
        <v>23</v>
      </c>
      <c r="D154" s="6">
        <v>49</v>
      </c>
      <c r="E154" s="7">
        <v>35539.200000000004</v>
      </c>
      <c r="F154" s="7">
        <v>208345</v>
      </c>
      <c r="G154" s="7"/>
      <c r="H154" s="8">
        <f t="shared" si="6"/>
        <v>725.28979591836742</v>
      </c>
      <c r="I154" s="8">
        <f t="shared" si="7"/>
        <v>4251.9387755102043</v>
      </c>
      <c r="J154" s="8">
        <v>3245</v>
      </c>
      <c r="K154" s="9">
        <v>85.88333333333334</v>
      </c>
      <c r="S154" s="5" t="s">
        <v>40</v>
      </c>
      <c r="T154" s="6">
        <v>32</v>
      </c>
      <c r="U154" s="6">
        <v>53</v>
      </c>
      <c r="V154" s="7">
        <v>43787.7</v>
      </c>
      <c r="W154" s="7">
        <v>276801</v>
      </c>
      <c r="X154" s="8">
        <f t="shared" si="4"/>
        <v>826.18301886792449</v>
      </c>
      <c r="Y154" s="8">
        <f t="shared" si="5"/>
        <v>5222.6603773584902</v>
      </c>
      <c r="Z154" s="8">
        <v>3188</v>
      </c>
      <c r="AA154" s="9">
        <v>84</v>
      </c>
    </row>
    <row r="155" spans="2:27" ht="15.75" hidden="1" x14ac:dyDescent="0.25">
      <c r="B155" s="5" t="s">
        <v>55</v>
      </c>
      <c r="C155" s="6">
        <v>26</v>
      </c>
      <c r="D155" s="6">
        <v>50</v>
      </c>
      <c r="E155" s="7">
        <v>37165.800000000003</v>
      </c>
      <c r="F155" s="7">
        <v>219856</v>
      </c>
      <c r="G155" s="7"/>
      <c r="H155" s="8">
        <f t="shared" si="6"/>
        <v>743.31600000000003</v>
      </c>
      <c r="I155" s="8">
        <f t="shared" si="7"/>
        <v>4397.12</v>
      </c>
      <c r="J155" s="8">
        <v>3390</v>
      </c>
      <c r="K155" s="9">
        <v>86.4</v>
      </c>
      <c r="S155" s="5" t="s">
        <v>41</v>
      </c>
      <c r="T155" s="6">
        <v>33</v>
      </c>
      <c r="U155" s="6">
        <v>65</v>
      </c>
      <c r="V155" s="7">
        <v>46046.999999999993</v>
      </c>
      <c r="W155" s="7">
        <v>286308</v>
      </c>
      <c r="X155" s="8">
        <f t="shared" si="4"/>
        <v>708.41538461538448</v>
      </c>
      <c r="Y155" s="8">
        <f t="shared" si="5"/>
        <v>4404.7384615384617</v>
      </c>
      <c r="Z155" s="8">
        <v>3383</v>
      </c>
      <c r="AA155" s="9">
        <v>89</v>
      </c>
    </row>
    <row r="156" spans="2:27" ht="15.75" hidden="1" x14ac:dyDescent="0.25">
      <c r="B156" s="5" t="s">
        <v>56</v>
      </c>
      <c r="C156" s="6">
        <v>25</v>
      </c>
      <c r="D156" s="6">
        <v>49</v>
      </c>
      <c r="E156" s="7">
        <v>38867.9</v>
      </c>
      <c r="F156" s="7">
        <v>244327</v>
      </c>
      <c r="G156" s="7"/>
      <c r="H156" s="8">
        <f t="shared" si="6"/>
        <v>793.22244897959183</v>
      </c>
      <c r="I156" s="8">
        <f t="shared" si="7"/>
        <v>4986.2653061224491</v>
      </c>
      <c r="J156" s="8">
        <v>3252</v>
      </c>
      <c r="K156" s="9">
        <v>84.806666666666672</v>
      </c>
      <c r="S156" s="5" t="s">
        <v>42</v>
      </c>
      <c r="T156" s="6">
        <v>37</v>
      </c>
      <c r="U156" s="6">
        <v>65</v>
      </c>
      <c r="V156" s="7">
        <v>52751.19999999999</v>
      </c>
      <c r="W156" s="7">
        <v>334544</v>
      </c>
      <c r="X156" s="8">
        <f t="shared" si="4"/>
        <v>811.55692307692289</v>
      </c>
      <c r="Y156" s="8">
        <f t="shared" si="5"/>
        <v>5146.830769230769</v>
      </c>
      <c r="Z156" s="8">
        <v>3383</v>
      </c>
      <c r="AA156" s="9">
        <v>86</v>
      </c>
    </row>
    <row r="157" spans="2:27" ht="15.75" hidden="1" x14ac:dyDescent="0.25">
      <c r="B157" s="5" t="s">
        <v>57</v>
      </c>
      <c r="C157" s="6">
        <v>32</v>
      </c>
      <c r="D157" s="6">
        <v>63</v>
      </c>
      <c r="E157" s="7">
        <v>50711.700000000004</v>
      </c>
      <c r="F157" s="7">
        <v>315143</v>
      </c>
      <c r="G157" s="7"/>
      <c r="H157" s="8">
        <f t="shared" si="6"/>
        <v>804.94761904761913</v>
      </c>
      <c r="I157" s="8">
        <f t="shared" si="7"/>
        <v>5002.269841269841</v>
      </c>
      <c r="J157" s="8">
        <v>3244</v>
      </c>
      <c r="K157" s="9">
        <v>84.387499999999989</v>
      </c>
      <c r="S157" s="5" t="s">
        <v>43</v>
      </c>
      <c r="T157" s="6">
        <v>35</v>
      </c>
      <c r="U157" s="6">
        <v>74</v>
      </c>
      <c r="V157" s="7">
        <v>55619.899999999994</v>
      </c>
      <c r="W157" s="7">
        <v>350122</v>
      </c>
      <c r="X157" s="8">
        <f t="shared" si="4"/>
        <v>751.62027027027023</v>
      </c>
      <c r="Y157" s="8">
        <f t="shared" si="5"/>
        <v>4731.3783783783783</v>
      </c>
      <c r="Z157" s="8">
        <v>3314</v>
      </c>
      <c r="AA157" s="9">
        <v>81</v>
      </c>
    </row>
    <row r="158" spans="2:27" ht="15.75" hidden="1" x14ac:dyDescent="0.25">
      <c r="B158" s="5" t="s">
        <v>58</v>
      </c>
      <c r="C158" s="6">
        <v>20</v>
      </c>
      <c r="D158" s="6">
        <v>37</v>
      </c>
      <c r="E158" s="7">
        <v>29850.300000000003</v>
      </c>
      <c r="F158" s="7">
        <v>171553</v>
      </c>
      <c r="G158" s="7"/>
      <c r="H158" s="8">
        <f t="shared" si="6"/>
        <v>806.76486486486499</v>
      </c>
      <c r="I158" s="8">
        <f t="shared" si="7"/>
        <v>4636.5675675675675</v>
      </c>
      <c r="J158" s="8">
        <v>3406</v>
      </c>
      <c r="K158" s="9">
        <v>84.2</v>
      </c>
      <c r="S158" s="5" t="s">
        <v>44</v>
      </c>
      <c r="T158" s="6">
        <v>36</v>
      </c>
      <c r="U158" s="6">
        <v>65</v>
      </c>
      <c r="V158" s="7">
        <v>48212.920000000006</v>
      </c>
      <c r="W158" s="7">
        <v>300292</v>
      </c>
      <c r="X158" s="8">
        <f t="shared" si="4"/>
        <v>741.73723076923091</v>
      </c>
      <c r="Y158" s="8">
        <f t="shared" si="5"/>
        <v>4619.876923076923</v>
      </c>
      <c r="Z158" s="8">
        <v>3310</v>
      </c>
      <c r="AA158" s="9">
        <v>90</v>
      </c>
    </row>
    <row r="159" spans="2:27" ht="15.75" hidden="1" x14ac:dyDescent="0.25">
      <c r="B159" s="5" t="s">
        <v>59</v>
      </c>
      <c r="C159" s="6">
        <v>25</v>
      </c>
      <c r="D159" s="6">
        <v>41</v>
      </c>
      <c r="E159" s="7">
        <v>33121.599999999999</v>
      </c>
      <c r="F159" s="7">
        <v>198470</v>
      </c>
      <c r="G159" s="7"/>
      <c r="H159" s="8">
        <f t="shared" si="6"/>
        <v>807.8439024390243</v>
      </c>
      <c r="I159" s="8">
        <f t="shared" si="7"/>
        <v>4840.7317073170734</v>
      </c>
      <c r="J159" s="8">
        <v>3238</v>
      </c>
      <c r="K159" s="9">
        <v>87.066666666666677</v>
      </c>
      <c r="S159" s="5" t="s">
        <v>45</v>
      </c>
      <c r="T159" s="6">
        <v>32</v>
      </c>
      <c r="U159" s="6">
        <v>64</v>
      </c>
      <c r="V159" s="7">
        <v>45640.19999999999</v>
      </c>
      <c r="W159" s="7">
        <v>292741</v>
      </c>
      <c r="X159" s="8">
        <f t="shared" si="4"/>
        <v>713.12812499999984</v>
      </c>
      <c r="Y159" s="8">
        <f t="shared" si="5"/>
        <v>4574.078125</v>
      </c>
      <c r="Z159" s="8">
        <v>3314</v>
      </c>
      <c r="AA159" s="9">
        <v>91</v>
      </c>
    </row>
    <row r="160" spans="2:27" ht="15.75" hidden="1" x14ac:dyDescent="0.25">
      <c r="B160" s="5" t="s">
        <v>63</v>
      </c>
      <c r="C160" s="6">
        <v>20</v>
      </c>
      <c r="D160" s="6">
        <v>37</v>
      </c>
      <c r="E160" s="7">
        <v>29850.300000000003</v>
      </c>
      <c r="F160" s="7">
        <v>171553</v>
      </c>
      <c r="G160" s="7"/>
      <c r="H160" s="8">
        <f t="shared" si="6"/>
        <v>806.76486486486499</v>
      </c>
      <c r="I160" s="8">
        <f t="shared" si="7"/>
        <v>4636.5675675675675</v>
      </c>
      <c r="J160" s="8">
        <v>3406</v>
      </c>
      <c r="K160" s="9">
        <v>83.733333333333334</v>
      </c>
      <c r="S160" s="5" t="s">
        <v>46</v>
      </c>
      <c r="T160" s="6">
        <v>33</v>
      </c>
      <c r="U160" s="6">
        <v>65</v>
      </c>
      <c r="V160" s="7">
        <v>49141.9</v>
      </c>
      <c r="W160" s="7">
        <v>312304</v>
      </c>
      <c r="X160" s="8">
        <f t="shared" si="4"/>
        <v>756.02923076923082</v>
      </c>
      <c r="Y160" s="8">
        <f t="shared" si="5"/>
        <v>4804.6769230769232</v>
      </c>
      <c r="Z160" s="8">
        <v>3271</v>
      </c>
      <c r="AA160" s="9">
        <v>84</v>
      </c>
    </row>
    <row r="161" spans="2:27" ht="15.75" hidden="1" x14ac:dyDescent="0.25">
      <c r="B161" s="5" t="s">
        <v>64</v>
      </c>
      <c r="C161" s="6">
        <v>30</v>
      </c>
      <c r="D161" s="6">
        <v>51</v>
      </c>
      <c r="E161" s="7">
        <v>38773.200000000004</v>
      </c>
      <c r="F161" s="7">
        <v>339925</v>
      </c>
      <c r="G161" s="7"/>
      <c r="H161" s="8">
        <f t="shared" si="6"/>
        <v>760.25882352941187</v>
      </c>
      <c r="I161" s="8">
        <f t="shared" si="7"/>
        <v>6665.1960784313724</v>
      </c>
      <c r="J161" s="8">
        <v>3406</v>
      </c>
      <c r="K161" s="9">
        <v>86.612500000000011</v>
      </c>
      <c r="S161" s="5" t="s">
        <v>47</v>
      </c>
      <c r="T161" s="6">
        <v>32</v>
      </c>
      <c r="U161" s="6">
        <v>68</v>
      </c>
      <c r="V161" s="7">
        <v>50568.19999999999</v>
      </c>
      <c r="W161" s="7">
        <v>322964</v>
      </c>
      <c r="X161" s="8">
        <f t="shared" si="4"/>
        <v>743.64999999999986</v>
      </c>
      <c r="Y161" s="8">
        <f t="shared" si="5"/>
        <v>4749.4705882352937</v>
      </c>
      <c r="Z161" s="8">
        <v>3387</v>
      </c>
      <c r="AA161" s="9">
        <v>83</v>
      </c>
    </row>
    <row r="162" spans="2:27" ht="15.75" hidden="1" x14ac:dyDescent="0.25">
      <c r="B162" s="5" t="s">
        <v>65</v>
      </c>
      <c r="C162" s="6">
        <v>30</v>
      </c>
      <c r="D162" s="6">
        <v>55</v>
      </c>
      <c r="E162" s="7">
        <v>43922.100000000006</v>
      </c>
      <c r="F162" s="7">
        <v>265530</v>
      </c>
      <c r="G162" s="7"/>
      <c r="H162" s="8">
        <f t="shared" si="6"/>
        <v>798.58363636363651</v>
      </c>
      <c r="I162" s="8">
        <f t="shared" si="7"/>
        <v>4827.818181818182</v>
      </c>
      <c r="J162" s="8">
        <v>3256</v>
      </c>
      <c r="K162" s="9">
        <v>85.033333333333346</v>
      </c>
      <c r="S162" s="5" t="s">
        <v>48</v>
      </c>
      <c r="T162" s="6">
        <v>35</v>
      </c>
      <c r="U162" s="6">
        <v>72</v>
      </c>
      <c r="V162" s="7">
        <v>52151.499999999993</v>
      </c>
      <c r="W162" s="7">
        <v>334457</v>
      </c>
      <c r="X162" s="8">
        <f t="shared" si="4"/>
        <v>724.3263888888888</v>
      </c>
      <c r="Y162" s="8">
        <f t="shared" si="5"/>
        <v>4645.2361111111113</v>
      </c>
      <c r="Z162" s="8">
        <v>3387</v>
      </c>
      <c r="AA162" s="9">
        <v>77</v>
      </c>
    </row>
    <row r="163" spans="2:27" ht="15.75" hidden="1" x14ac:dyDescent="0.25">
      <c r="B163" s="5" t="s">
        <v>66</v>
      </c>
      <c r="C163" s="6">
        <v>29</v>
      </c>
      <c r="D163" s="6">
        <v>52</v>
      </c>
      <c r="E163" s="7">
        <v>41012.69999999999</v>
      </c>
      <c r="F163" s="7">
        <v>314976</v>
      </c>
      <c r="G163" s="7"/>
      <c r="H163" s="8">
        <f t="shared" si="6"/>
        <v>788.70576923076908</v>
      </c>
      <c r="I163" s="8">
        <f t="shared" si="7"/>
        <v>6057.2307692307695</v>
      </c>
      <c r="J163" s="8">
        <v>3279</v>
      </c>
      <c r="K163" s="9">
        <v>86.066666666666663</v>
      </c>
      <c r="S163" s="5" t="s">
        <v>49</v>
      </c>
      <c r="T163" s="6">
        <v>35</v>
      </c>
      <c r="U163" s="6">
        <v>72</v>
      </c>
      <c r="V163" s="7">
        <v>52151.499999999993</v>
      </c>
      <c r="W163" s="7">
        <v>334457</v>
      </c>
      <c r="X163" s="8">
        <f t="shared" si="4"/>
        <v>724.3263888888888</v>
      </c>
      <c r="Y163" s="8">
        <f t="shared" si="5"/>
        <v>4645.2361111111113</v>
      </c>
      <c r="Z163" s="8">
        <v>3387</v>
      </c>
      <c r="AA163" s="9">
        <v>81</v>
      </c>
    </row>
    <row r="164" spans="2:27" ht="15.75" hidden="1" x14ac:dyDescent="0.25">
      <c r="B164" s="13" t="s">
        <v>67</v>
      </c>
      <c r="C164" s="6">
        <v>36</v>
      </c>
      <c r="D164" s="6">
        <v>59</v>
      </c>
      <c r="E164" s="7">
        <v>41845.9</v>
      </c>
      <c r="F164" s="7">
        <v>268875</v>
      </c>
      <c r="G164" s="7"/>
      <c r="H164" s="8">
        <f t="shared" si="6"/>
        <v>709.25254237288141</v>
      </c>
      <c r="I164" s="8">
        <f t="shared" si="7"/>
        <v>4557.2033898305081</v>
      </c>
      <c r="J164" s="8">
        <v>3261</v>
      </c>
      <c r="K164" s="9">
        <v>86.466666666666669</v>
      </c>
      <c r="S164" s="5" t="s">
        <v>50</v>
      </c>
      <c r="T164" s="6">
        <v>34</v>
      </c>
      <c r="U164" s="6">
        <v>55</v>
      </c>
      <c r="V164" s="7">
        <v>43412.30000000001</v>
      </c>
      <c r="W164" s="7">
        <v>256946</v>
      </c>
      <c r="X164" s="8">
        <f t="shared" si="4"/>
        <v>789.31454545454562</v>
      </c>
      <c r="Y164" s="8">
        <f t="shared" si="5"/>
        <v>4671.7454545454548</v>
      </c>
      <c r="Z164" s="8">
        <v>3348</v>
      </c>
      <c r="AA164" s="9">
        <v>88</v>
      </c>
    </row>
    <row r="165" spans="2:27" ht="15.75" hidden="1" x14ac:dyDescent="0.25">
      <c r="B165" s="13" t="s">
        <v>68</v>
      </c>
      <c r="C165" s="6">
        <v>31</v>
      </c>
      <c r="D165" s="6">
        <v>56</v>
      </c>
      <c r="E165" s="7">
        <v>43850.87</v>
      </c>
      <c r="F165" s="7">
        <v>276863</v>
      </c>
      <c r="G165" s="7"/>
      <c r="H165" s="8">
        <f t="shared" si="6"/>
        <v>783.0512500000001</v>
      </c>
      <c r="I165" s="8">
        <f t="shared" si="7"/>
        <v>4943.9821428571431</v>
      </c>
      <c r="J165" s="8">
        <v>3170</v>
      </c>
      <c r="K165" s="9">
        <v>84.366666666666674</v>
      </c>
      <c r="S165" s="5" t="s">
        <v>51</v>
      </c>
      <c r="T165" s="6">
        <v>31</v>
      </c>
      <c r="U165" s="6">
        <v>63</v>
      </c>
      <c r="V165" s="7">
        <v>39808.299999999996</v>
      </c>
      <c r="W165" s="7">
        <v>240154</v>
      </c>
      <c r="X165" s="8">
        <f t="shared" si="4"/>
        <v>631.87777777777774</v>
      </c>
      <c r="Y165" s="8">
        <f t="shared" si="5"/>
        <v>3811.968253968254</v>
      </c>
      <c r="Z165" s="8">
        <v>3349</v>
      </c>
      <c r="AA165" s="9">
        <v>88</v>
      </c>
    </row>
    <row r="166" spans="2:27" ht="15.75" hidden="1" x14ac:dyDescent="0.25">
      <c r="B166" s="13" t="s">
        <v>69</v>
      </c>
      <c r="C166" s="6">
        <v>32</v>
      </c>
      <c r="D166" s="6">
        <v>56</v>
      </c>
      <c r="E166" s="7">
        <v>45758.799999999996</v>
      </c>
      <c r="F166" s="7">
        <v>248451</v>
      </c>
      <c r="G166" s="7"/>
      <c r="H166" s="8">
        <f t="shared" si="6"/>
        <v>817.12142857142851</v>
      </c>
      <c r="I166" s="8">
        <f t="shared" si="7"/>
        <v>4436.625</v>
      </c>
      <c r="J166" s="8">
        <v>3323</v>
      </c>
      <c r="K166" s="9">
        <v>85.216666666666669</v>
      </c>
      <c r="S166" s="5" t="s">
        <v>52</v>
      </c>
      <c r="T166" s="6">
        <v>31</v>
      </c>
      <c r="U166" s="6">
        <v>63</v>
      </c>
      <c r="V166" s="7">
        <v>36824.099999999991</v>
      </c>
      <c r="W166" s="7">
        <v>220426</v>
      </c>
      <c r="X166" s="8">
        <f t="shared" si="4"/>
        <v>584.50952380952367</v>
      </c>
      <c r="Y166" s="8">
        <f t="shared" si="5"/>
        <v>3498.8253968253966</v>
      </c>
      <c r="Z166" s="8">
        <v>3349</v>
      </c>
      <c r="AA166" s="9">
        <v>79</v>
      </c>
    </row>
    <row r="167" spans="2:27" ht="15.75" hidden="1" x14ac:dyDescent="0.25">
      <c r="B167" s="17" t="s">
        <v>70</v>
      </c>
      <c r="C167" s="6">
        <v>34</v>
      </c>
      <c r="D167" s="6">
        <v>63</v>
      </c>
      <c r="E167" s="7">
        <v>47346.499999999993</v>
      </c>
      <c r="F167" s="7">
        <v>287599</v>
      </c>
      <c r="G167" s="7"/>
      <c r="H167" s="8">
        <f t="shared" si="6"/>
        <v>751.53174603174591</v>
      </c>
      <c r="I167" s="8">
        <f t="shared" si="7"/>
        <v>4565.063492063492</v>
      </c>
      <c r="J167" s="8">
        <v>3226</v>
      </c>
      <c r="K167" s="9">
        <v>84.233333333333334</v>
      </c>
      <c r="S167" s="5" t="s">
        <v>53</v>
      </c>
      <c r="T167" s="6">
        <v>38</v>
      </c>
      <c r="U167" s="6">
        <v>70</v>
      </c>
      <c r="V167" s="7">
        <v>52444.400000000016</v>
      </c>
      <c r="W167" s="7">
        <v>330431</v>
      </c>
      <c r="X167" s="8">
        <f t="shared" si="4"/>
        <v>749.20571428571452</v>
      </c>
      <c r="Y167" s="8">
        <f t="shared" si="5"/>
        <v>4720.4428571428571</v>
      </c>
      <c r="Z167" s="8">
        <v>3349</v>
      </c>
      <c r="AA167" s="9">
        <v>80</v>
      </c>
    </row>
    <row r="168" spans="2:27" ht="15.75" hidden="1" x14ac:dyDescent="0.25">
      <c r="B168" s="17" t="s">
        <v>71</v>
      </c>
      <c r="C168" s="6">
        <v>36</v>
      </c>
      <c r="D168" s="6">
        <v>64</v>
      </c>
      <c r="E168" s="7">
        <v>50299.600000000006</v>
      </c>
      <c r="F168" s="7">
        <v>299274</v>
      </c>
      <c r="G168" s="7"/>
      <c r="H168" s="8">
        <f t="shared" si="6"/>
        <v>785.93125000000009</v>
      </c>
      <c r="I168" s="8">
        <f t="shared" si="7"/>
        <v>4676.15625</v>
      </c>
      <c r="J168" s="8">
        <v>3337</v>
      </c>
      <c r="K168" s="18">
        <v>86.612500000000011</v>
      </c>
      <c r="S168" s="5" t="s">
        <v>54</v>
      </c>
      <c r="T168" s="6">
        <v>35</v>
      </c>
      <c r="U168" s="6">
        <v>66</v>
      </c>
      <c r="V168" s="7">
        <v>49875.1</v>
      </c>
      <c r="W168" s="7">
        <v>306283</v>
      </c>
      <c r="X168" s="8">
        <f t="shared" si="4"/>
        <v>755.68333333333328</v>
      </c>
      <c r="Y168" s="8">
        <f t="shared" si="5"/>
        <v>4640.651515151515</v>
      </c>
      <c r="Z168" s="8">
        <v>3349</v>
      </c>
      <c r="AA168" s="9">
        <v>80</v>
      </c>
    </row>
    <row r="169" spans="2:27" ht="15.75" hidden="1" x14ac:dyDescent="0.25">
      <c r="B169" s="17" t="s">
        <v>72</v>
      </c>
      <c r="C169" s="6">
        <v>28</v>
      </c>
      <c r="D169" s="6">
        <v>51</v>
      </c>
      <c r="E169" s="7">
        <v>37396.699999999997</v>
      </c>
      <c r="F169" s="7">
        <v>231443</v>
      </c>
      <c r="G169" s="7"/>
      <c r="H169" s="8">
        <f t="shared" si="6"/>
        <v>733.26862745098038</v>
      </c>
      <c r="I169" s="8">
        <f t="shared" si="7"/>
        <v>4538.0980392156862</v>
      </c>
      <c r="J169" s="8">
        <v>3191</v>
      </c>
      <c r="K169" s="18">
        <v>84.44</v>
      </c>
      <c r="S169" s="5" t="s">
        <v>55</v>
      </c>
      <c r="T169" s="6">
        <v>33</v>
      </c>
      <c r="U169" s="6">
        <v>61</v>
      </c>
      <c r="V169" s="7">
        <v>47537.999999999993</v>
      </c>
      <c r="W169" s="7">
        <v>291482</v>
      </c>
      <c r="X169" s="8">
        <f t="shared" si="4"/>
        <v>779.31147540983591</v>
      </c>
      <c r="Y169" s="8">
        <f t="shared" si="5"/>
        <v>4778.3934426229507</v>
      </c>
      <c r="Z169" s="8">
        <v>3350</v>
      </c>
      <c r="AA169" s="9">
        <v>78</v>
      </c>
    </row>
    <row r="170" spans="2:27" ht="15.75" hidden="1" x14ac:dyDescent="0.25">
      <c r="B170" s="17" t="s">
        <v>73</v>
      </c>
      <c r="C170" s="6">
        <v>35</v>
      </c>
      <c r="D170" s="6">
        <v>68</v>
      </c>
      <c r="E170" s="7">
        <v>52032.999999999978</v>
      </c>
      <c r="F170" s="7">
        <v>308366</v>
      </c>
      <c r="G170" s="7"/>
      <c r="H170" s="8">
        <f t="shared" si="6"/>
        <v>765.19117647058795</v>
      </c>
      <c r="I170" s="8">
        <f t="shared" si="7"/>
        <v>4534.7941176470586</v>
      </c>
      <c r="J170" s="8">
        <v>3289</v>
      </c>
      <c r="K170" s="18">
        <v>84.230158730158735</v>
      </c>
      <c r="S170" s="5" t="s">
        <v>56</v>
      </c>
      <c r="T170" s="6">
        <v>38</v>
      </c>
      <c r="U170" s="6">
        <v>62</v>
      </c>
      <c r="V170" s="7">
        <v>47286.6</v>
      </c>
      <c r="W170" s="7">
        <v>286021</v>
      </c>
      <c r="X170" s="8">
        <f t="shared" si="4"/>
        <v>762.68709677419349</v>
      </c>
      <c r="Y170" s="8">
        <f t="shared" si="5"/>
        <v>4613.2419354838712</v>
      </c>
      <c r="Z170" s="8">
        <v>3350</v>
      </c>
      <c r="AA170" s="9">
        <v>74</v>
      </c>
    </row>
    <row r="171" spans="2:27" ht="15.75" hidden="1" x14ac:dyDescent="0.25">
      <c r="B171" s="17" t="s">
        <v>74</v>
      </c>
      <c r="C171" s="6">
        <v>39</v>
      </c>
      <c r="D171" s="6">
        <v>65</v>
      </c>
      <c r="E171" s="7">
        <v>42010.8</v>
      </c>
      <c r="F171" s="7">
        <v>252482</v>
      </c>
      <c r="G171" s="7"/>
      <c r="H171" s="8">
        <f t="shared" si="6"/>
        <v>646.32000000000005</v>
      </c>
      <c r="I171" s="8">
        <f t="shared" si="7"/>
        <v>3884.3384615384616</v>
      </c>
      <c r="J171" s="8">
        <v>3276</v>
      </c>
      <c r="K171" s="18">
        <v>83.777777777777786</v>
      </c>
      <c r="S171" s="5" t="s">
        <v>57</v>
      </c>
      <c r="T171" s="6">
        <v>33</v>
      </c>
      <c r="U171" s="6">
        <v>63</v>
      </c>
      <c r="V171" s="7">
        <v>47455.600000000013</v>
      </c>
      <c r="W171" s="7">
        <v>277600</v>
      </c>
      <c r="X171" s="8">
        <f t="shared" si="4"/>
        <v>753.26349206349232</v>
      </c>
      <c r="Y171" s="8">
        <f t="shared" si="5"/>
        <v>4406.3492063492067</v>
      </c>
      <c r="Z171" s="8">
        <v>3350</v>
      </c>
      <c r="AA171" s="9">
        <v>92</v>
      </c>
    </row>
    <row r="172" spans="2:27" ht="15.75" hidden="1" x14ac:dyDescent="0.25">
      <c r="B172" s="17" t="s">
        <v>75</v>
      </c>
      <c r="C172" s="6">
        <v>29</v>
      </c>
      <c r="D172" s="6">
        <v>56</v>
      </c>
      <c r="E172" s="7">
        <v>43418.400000000001</v>
      </c>
      <c r="F172" s="7">
        <v>254215</v>
      </c>
      <c r="G172" s="7"/>
      <c r="H172" s="8">
        <f t="shared" si="6"/>
        <v>775.32857142857142</v>
      </c>
      <c r="I172" s="8">
        <f t="shared" si="7"/>
        <v>4539.5535714285716</v>
      </c>
      <c r="J172" s="8">
        <v>3276</v>
      </c>
      <c r="K172" s="18">
        <v>84.640000000000015</v>
      </c>
      <c r="S172" s="5" t="s">
        <v>58</v>
      </c>
      <c r="T172" s="6">
        <v>38</v>
      </c>
      <c r="U172" s="6">
        <v>71</v>
      </c>
      <c r="V172" s="7">
        <v>54079.9</v>
      </c>
      <c r="W172" s="7">
        <v>346091</v>
      </c>
      <c r="X172" s="8">
        <f t="shared" si="4"/>
        <v>761.68873239436618</v>
      </c>
      <c r="Y172" s="8">
        <f t="shared" si="5"/>
        <v>4874.5211267605637</v>
      </c>
      <c r="Z172" s="8">
        <v>3350</v>
      </c>
      <c r="AA172" s="9">
        <v>94</v>
      </c>
    </row>
    <row r="173" spans="2:27" ht="15.75" hidden="1" x14ac:dyDescent="0.25">
      <c r="B173" s="19" t="s">
        <v>76</v>
      </c>
      <c r="C173" s="6">
        <v>26</v>
      </c>
      <c r="D173" s="6">
        <v>43</v>
      </c>
      <c r="E173" s="7">
        <v>29813.199999999997</v>
      </c>
      <c r="F173" s="7">
        <v>179828</v>
      </c>
      <c r="G173" s="7"/>
      <c r="H173" s="8">
        <f t="shared" si="6"/>
        <v>693.33023255813941</v>
      </c>
      <c r="I173" s="8">
        <f t="shared" si="7"/>
        <v>4182.0465116279074</v>
      </c>
      <c r="J173" s="8">
        <v>3276</v>
      </c>
      <c r="K173" s="18">
        <v>84.75</v>
      </c>
      <c r="S173" s="5" t="s">
        <v>59</v>
      </c>
      <c r="T173" s="6">
        <v>20</v>
      </c>
      <c r="U173" s="6">
        <v>43</v>
      </c>
      <c r="V173" s="7">
        <v>33416.599999999991</v>
      </c>
      <c r="W173" s="7">
        <v>197476</v>
      </c>
      <c r="X173" s="8">
        <f t="shared" si="4"/>
        <v>777.13023255813937</v>
      </c>
      <c r="Y173" s="8">
        <f t="shared" si="5"/>
        <v>4592.4651162790697</v>
      </c>
      <c r="Z173" s="8">
        <v>3316</v>
      </c>
      <c r="AA173" s="9">
        <v>86</v>
      </c>
    </row>
    <row r="174" spans="2:27" ht="15.75" hidden="1" x14ac:dyDescent="0.25">
      <c r="B174" s="19" t="s">
        <v>77</v>
      </c>
      <c r="C174" s="6">
        <v>38</v>
      </c>
      <c r="D174" s="6">
        <v>82</v>
      </c>
      <c r="E174" s="7">
        <v>55475.30000000001</v>
      </c>
      <c r="F174" s="7">
        <v>340793</v>
      </c>
      <c r="G174" s="7"/>
      <c r="H174" s="8">
        <f t="shared" si="6"/>
        <v>676.52804878048789</v>
      </c>
      <c r="I174" s="8">
        <f t="shared" si="7"/>
        <v>4156.0121951219517</v>
      </c>
      <c r="J174" s="8">
        <v>3276</v>
      </c>
      <c r="K174" s="18">
        <v>84.657142857142858</v>
      </c>
      <c r="S174" s="5" t="s">
        <v>9</v>
      </c>
      <c r="T174" s="6">
        <v>20</v>
      </c>
      <c r="U174" s="6">
        <v>34</v>
      </c>
      <c r="V174" s="7">
        <v>27776.799999999999</v>
      </c>
      <c r="W174" s="7">
        <v>173806</v>
      </c>
      <c r="X174" s="8">
        <f t="shared" si="4"/>
        <v>816.96470588235297</v>
      </c>
      <c r="Y174" s="8">
        <f t="shared" si="5"/>
        <v>5111.9411764705883</v>
      </c>
      <c r="Z174" s="8">
        <v>3219</v>
      </c>
      <c r="AA174" s="9">
        <v>79</v>
      </c>
    </row>
    <row r="175" spans="2:27" ht="15.75" hidden="1" x14ac:dyDescent="0.25">
      <c r="B175" s="19" t="s">
        <v>78</v>
      </c>
      <c r="C175" s="6">
        <v>38</v>
      </c>
      <c r="D175" s="6">
        <v>66</v>
      </c>
      <c r="E175" s="7">
        <v>52803.199999999997</v>
      </c>
      <c r="F175" s="7">
        <v>320605</v>
      </c>
      <c r="G175" s="7"/>
      <c r="H175" s="8">
        <f t="shared" si="6"/>
        <v>800.0484848484848</v>
      </c>
      <c r="I175" s="8">
        <f t="shared" si="7"/>
        <v>4857.651515151515</v>
      </c>
      <c r="J175" s="8">
        <v>3335</v>
      </c>
      <c r="K175" s="18">
        <v>84.16</v>
      </c>
      <c r="S175" s="5" t="s">
        <v>10</v>
      </c>
      <c r="T175" s="6">
        <v>33</v>
      </c>
      <c r="U175" s="6">
        <v>71</v>
      </c>
      <c r="V175" s="7">
        <v>57337.499999999993</v>
      </c>
      <c r="W175" s="7">
        <v>344635</v>
      </c>
      <c r="X175" s="8">
        <f t="shared" si="4"/>
        <v>807.57042253521115</v>
      </c>
      <c r="Y175" s="8">
        <f t="shared" si="5"/>
        <v>4854.0140845070418</v>
      </c>
      <c r="Z175" s="8">
        <v>3317</v>
      </c>
      <c r="AA175" s="9">
        <v>80</v>
      </c>
    </row>
    <row r="176" spans="2:27" ht="15.75" hidden="1" x14ac:dyDescent="0.25">
      <c r="B176" s="19" t="s">
        <v>79</v>
      </c>
      <c r="C176" s="6">
        <v>30</v>
      </c>
      <c r="D176" s="6">
        <v>51</v>
      </c>
      <c r="E176" s="7">
        <v>38218.699999999997</v>
      </c>
      <c r="F176" s="7">
        <v>243488</v>
      </c>
      <c r="G176" s="7"/>
      <c r="H176" s="8">
        <f t="shared" si="6"/>
        <v>749.38627450980391</v>
      </c>
      <c r="I176" s="8">
        <f t="shared" si="7"/>
        <v>4774.2745098039213</v>
      </c>
      <c r="J176" s="8">
        <v>3235</v>
      </c>
      <c r="K176" s="18">
        <v>84.533333333333331</v>
      </c>
      <c r="S176" s="5" t="s">
        <v>11</v>
      </c>
      <c r="T176" s="6">
        <v>29</v>
      </c>
      <c r="U176" s="6">
        <v>55</v>
      </c>
      <c r="V176" s="7">
        <v>44069.3</v>
      </c>
      <c r="W176" s="7">
        <v>267077</v>
      </c>
      <c r="X176" s="8">
        <f t="shared" si="4"/>
        <v>801.2600000000001</v>
      </c>
      <c r="Y176" s="8">
        <f t="shared" si="5"/>
        <v>4855.9454545454546</v>
      </c>
      <c r="Z176" s="8">
        <v>3336</v>
      </c>
      <c r="AA176" s="9">
        <v>88</v>
      </c>
    </row>
    <row r="177" spans="2:27" ht="15.75" hidden="1" x14ac:dyDescent="0.25">
      <c r="B177" s="19" t="s">
        <v>80</v>
      </c>
      <c r="C177" s="6">
        <v>28</v>
      </c>
      <c r="D177" s="6">
        <v>58</v>
      </c>
      <c r="E177" s="7">
        <v>40107.800000000003</v>
      </c>
      <c r="F177" s="7">
        <v>288128</v>
      </c>
      <c r="G177" s="7"/>
      <c r="H177" s="8">
        <f t="shared" si="6"/>
        <v>691.51379310344828</v>
      </c>
      <c r="I177" s="8">
        <f t="shared" si="7"/>
        <v>4967.7241379310344</v>
      </c>
      <c r="J177" s="8">
        <v>3236</v>
      </c>
      <c r="K177" s="18">
        <v>85.28</v>
      </c>
      <c r="S177" s="5" t="s">
        <v>12</v>
      </c>
      <c r="T177" s="6">
        <v>36</v>
      </c>
      <c r="U177" s="6">
        <v>74</v>
      </c>
      <c r="V177" s="7">
        <v>63987</v>
      </c>
      <c r="W177" s="7">
        <v>419885</v>
      </c>
      <c r="X177" s="8">
        <f t="shared" si="4"/>
        <v>864.68918918918916</v>
      </c>
      <c r="Y177" s="8">
        <f t="shared" si="5"/>
        <v>5674.1216216216217</v>
      </c>
      <c r="Z177" s="8">
        <v>3233</v>
      </c>
      <c r="AA177" s="9">
        <v>94</v>
      </c>
    </row>
    <row r="178" spans="2:27" ht="15.75" hidden="1" x14ac:dyDescent="0.25">
      <c r="B178" s="19" t="s">
        <v>81</v>
      </c>
      <c r="C178" s="6">
        <v>28</v>
      </c>
      <c r="D178" s="6">
        <v>58</v>
      </c>
      <c r="E178" s="7">
        <v>40107.800000000003</v>
      </c>
      <c r="F178" s="7">
        <v>288128</v>
      </c>
      <c r="G178" s="7"/>
      <c r="H178" s="8">
        <f t="shared" si="6"/>
        <v>691.51379310344828</v>
      </c>
      <c r="I178" s="8">
        <f t="shared" si="7"/>
        <v>4967.7241379310344</v>
      </c>
      <c r="J178" s="8">
        <v>3236</v>
      </c>
      <c r="K178" s="18">
        <v>85.426666666666677</v>
      </c>
      <c r="S178" s="5" t="s">
        <v>13</v>
      </c>
      <c r="T178" s="6">
        <v>35</v>
      </c>
      <c r="U178" s="6">
        <v>66</v>
      </c>
      <c r="V178" s="7">
        <v>53497.400000000009</v>
      </c>
      <c r="W178" s="7">
        <v>347859</v>
      </c>
      <c r="X178" s="8">
        <f t="shared" si="4"/>
        <v>810.56666666666683</v>
      </c>
      <c r="Y178" s="8">
        <f t="shared" si="5"/>
        <v>5270.590909090909</v>
      </c>
      <c r="Z178" s="8">
        <v>3280</v>
      </c>
      <c r="AA178" s="9">
        <v>87</v>
      </c>
    </row>
    <row r="179" spans="2:27" ht="15.75" hidden="1" x14ac:dyDescent="0.25">
      <c r="B179" s="19" t="s">
        <v>82</v>
      </c>
      <c r="C179" s="6">
        <v>33</v>
      </c>
      <c r="D179" s="6">
        <v>60</v>
      </c>
      <c r="E179" s="7">
        <v>42258.700000000004</v>
      </c>
      <c r="F179" s="7">
        <v>251771</v>
      </c>
      <c r="G179" s="7"/>
      <c r="H179" s="8">
        <f t="shared" si="6"/>
        <v>704.31166666666672</v>
      </c>
      <c r="I179" s="8">
        <f t="shared" si="7"/>
        <v>4196.1833333333334</v>
      </c>
      <c r="J179" s="8">
        <v>3236</v>
      </c>
      <c r="K179" s="18">
        <v>86</v>
      </c>
      <c r="S179" s="5" t="s">
        <v>14</v>
      </c>
      <c r="T179" s="6">
        <v>31</v>
      </c>
      <c r="U179" s="6">
        <v>222</v>
      </c>
      <c r="V179" s="7">
        <v>53571.200000000004</v>
      </c>
      <c r="W179" s="7">
        <v>2399000</v>
      </c>
      <c r="X179" s="8">
        <f t="shared" si="4"/>
        <v>241.31171171171172</v>
      </c>
      <c r="Y179" s="8">
        <f t="shared" si="5"/>
        <v>10806.306306306305</v>
      </c>
      <c r="Z179" s="8">
        <v>3285</v>
      </c>
      <c r="AA179" s="9">
        <v>89</v>
      </c>
    </row>
    <row r="180" spans="2:27" ht="15.75" hidden="1" x14ac:dyDescent="0.25">
      <c r="B180" s="19" t="s">
        <v>83</v>
      </c>
      <c r="C180" s="6">
        <v>26</v>
      </c>
      <c r="D180" s="6">
        <v>54</v>
      </c>
      <c r="E180" s="7">
        <v>38332.299999999988</v>
      </c>
      <c r="F180" s="7">
        <v>234462</v>
      </c>
      <c r="G180" s="7"/>
      <c r="H180" s="8">
        <f t="shared" si="6"/>
        <v>709.85740740740721</v>
      </c>
      <c r="I180" s="8">
        <f t="shared" si="7"/>
        <v>4341.8888888888887</v>
      </c>
      <c r="J180" s="8">
        <v>3228</v>
      </c>
      <c r="K180" s="18">
        <v>86.200000000000017</v>
      </c>
      <c r="S180" s="5" t="s">
        <v>15</v>
      </c>
      <c r="T180" s="6">
        <v>39</v>
      </c>
      <c r="U180" s="6">
        <v>73</v>
      </c>
      <c r="V180" s="7">
        <v>57056.900000000023</v>
      </c>
      <c r="W180" s="7">
        <v>344932</v>
      </c>
      <c r="X180" s="8">
        <f t="shared" si="4"/>
        <v>781.60136986301404</v>
      </c>
      <c r="Y180" s="8">
        <f t="shared" si="5"/>
        <v>4725.0958904109593</v>
      </c>
      <c r="Z180" s="8">
        <v>3349</v>
      </c>
      <c r="AA180" s="9">
        <v>80</v>
      </c>
    </row>
    <row r="181" spans="2:27" ht="15.75" hidden="1" x14ac:dyDescent="0.25">
      <c r="B181" s="19" t="s">
        <v>84</v>
      </c>
      <c r="C181" s="6">
        <v>25</v>
      </c>
      <c r="D181" s="6">
        <v>43</v>
      </c>
      <c r="E181" s="7">
        <v>29563.499999999996</v>
      </c>
      <c r="F181" s="7">
        <v>196754</v>
      </c>
      <c r="G181" s="7"/>
      <c r="H181" s="8">
        <f t="shared" si="6"/>
        <v>687.52325581395337</v>
      </c>
      <c r="I181" s="8">
        <f t="shared" si="7"/>
        <v>4575.6744186046508</v>
      </c>
      <c r="J181" s="8">
        <v>3351</v>
      </c>
      <c r="K181" s="18">
        <v>85.3125</v>
      </c>
      <c r="S181" s="5" t="s">
        <v>16</v>
      </c>
      <c r="T181" s="6">
        <v>33</v>
      </c>
      <c r="U181" s="6">
        <v>58</v>
      </c>
      <c r="V181" s="7">
        <v>45763.199999999997</v>
      </c>
      <c r="W181" s="7">
        <v>291690</v>
      </c>
      <c r="X181" s="8">
        <f t="shared" si="4"/>
        <v>789.02068965517242</v>
      </c>
      <c r="Y181" s="8">
        <f t="shared" si="5"/>
        <v>5029.1379310344828</v>
      </c>
      <c r="Z181" s="8">
        <v>3221</v>
      </c>
      <c r="AA181" s="9">
        <v>83</v>
      </c>
    </row>
    <row r="182" spans="2:27" ht="15.75" hidden="1" x14ac:dyDescent="0.25">
      <c r="B182" s="19" t="s">
        <v>85</v>
      </c>
      <c r="C182" s="6">
        <v>25</v>
      </c>
      <c r="D182" s="6">
        <v>42</v>
      </c>
      <c r="E182" s="7">
        <v>31158.799999999985</v>
      </c>
      <c r="F182" s="7">
        <v>192309</v>
      </c>
      <c r="G182" s="7"/>
      <c r="H182" s="8">
        <f t="shared" si="6"/>
        <v>741.87619047619012</v>
      </c>
      <c r="I182" s="8">
        <f t="shared" si="7"/>
        <v>4578.7857142857147</v>
      </c>
      <c r="J182" s="8">
        <v>3351</v>
      </c>
      <c r="K182" s="18">
        <v>84.949999999999989</v>
      </c>
      <c r="S182" s="5" t="s">
        <v>17</v>
      </c>
      <c r="T182" s="6">
        <v>31</v>
      </c>
      <c r="U182" s="6">
        <v>63</v>
      </c>
      <c r="V182" s="7">
        <v>49867.1</v>
      </c>
      <c r="W182" s="7">
        <v>314922</v>
      </c>
      <c r="X182" s="8">
        <f t="shared" si="4"/>
        <v>791.54126984126981</v>
      </c>
      <c r="Y182" s="8">
        <f t="shared" si="5"/>
        <v>4998.7619047619046</v>
      </c>
      <c r="Z182" s="8">
        <v>3238</v>
      </c>
      <c r="AA182" s="9">
        <v>79</v>
      </c>
    </row>
    <row r="183" spans="2:27" ht="15.75" hidden="1" x14ac:dyDescent="0.25">
      <c r="B183" s="19" t="s">
        <v>86</v>
      </c>
      <c r="C183" s="6">
        <v>27</v>
      </c>
      <c r="D183" s="6">
        <v>47</v>
      </c>
      <c r="E183" s="7">
        <v>32190.399999999998</v>
      </c>
      <c r="F183" s="7">
        <v>194605</v>
      </c>
      <c r="G183" s="7"/>
      <c r="H183" s="8">
        <f t="shared" si="6"/>
        <v>684.90212765957438</v>
      </c>
      <c r="I183" s="8">
        <f t="shared" si="7"/>
        <v>4140.5319148936169</v>
      </c>
      <c r="J183" s="8">
        <v>3332</v>
      </c>
      <c r="K183" s="18">
        <v>85.02000000000001</v>
      </c>
      <c r="S183" s="5" t="s">
        <v>18</v>
      </c>
      <c r="T183" s="6">
        <v>33</v>
      </c>
      <c r="U183" s="6">
        <v>70</v>
      </c>
      <c r="V183" s="7">
        <v>48194.6</v>
      </c>
      <c r="W183" s="7">
        <v>297028</v>
      </c>
      <c r="X183" s="8">
        <f t="shared" si="4"/>
        <v>688.49428571428564</v>
      </c>
      <c r="Y183" s="8">
        <f t="shared" si="5"/>
        <v>4243.2571428571428</v>
      </c>
      <c r="Z183" s="8">
        <v>3221</v>
      </c>
      <c r="AA183" s="9">
        <v>80</v>
      </c>
    </row>
    <row r="184" spans="2:27" ht="15.75" hidden="1" x14ac:dyDescent="0.25">
      <c r="B184" s="19" t="s">
        <v>87</v>
      </c>
      <c r="C184" s="6">
        <v>35</v>
      </c>
      <c r="D184" s="6">
        <v>60</v>
      </c>
      <c r="E184" s="7">
        <v>41899.4</v>
      </c>
      <c r="F184" s="7">
        <v>262040</v>
      </c>
      <c r="G184" s="7"/>
      <c r="H184" s="8">
        <f t="shared" si="6"/>
        <v>698.32333333333338</v>
      </c>
      <c r="I184" s="8">
        <f t="shared" si="7"/>
        <v>4367.333333333333</v>
      </c>
      <c r="J184" s="8">
        <v>3332</v>
      </c>
      <c r="K184" s="18">
        <v>85.875</v>
      </c>
      <c r="S184" s="5" t="s">
        <v>19</v>
      </c>
      <c r="T184" s="6">
        <v>34</v>
      </c>
      <c r="U184" s="6">
        <v>73</v>
      </c>
      <c r="V184" s="7">
        <v>50283.69999999999</v>
      </c>
      <c r="W184" s="7">
        <v>301038</v>
      </c>
      <c r="X184" s="8">
        <f t="shared" si="4"/>
        <v>688.81780821917789</v>
      </c>
      <c r="Y184" s="8">
        <f t="shared" si="5"/>
        <v>4123.8082191780823</v>
      </c>
      <c r="Z184" s="8">
        <v>3270</v>
      </c>
      <c r="AA184" s="9">
        <v>79</v>
      </c>
    </row>
    <row r="185" spans="2:27" ht="15.75" hidden="1" x14ac:dyDescent="0.25">
      <c r="B185" s="19" t="s">
        <v>88</v>
      </c>
      <c r="C185" s="6">
        <v>29</v>
      </c>
      <c r="D185" s="6">
        <v>56</v>
      </c>
      <c r="E185" s="7">
        <v>41019.400000000009</v>
      </c>
      <c r="F185" s="7">
        <v>248041</v>
      </c>
      <c r="G185" s="7"/>
      <c r="H185" s="8">
        <f t="shared" si="6"/>
        <v>732.48928571428587</v>
      </c>
      <c r="I185" s="8">
        <f t="shared" si="7"/>
        <v>4429.3035714285716</v>
      </c>
      <c r="J185" s="8">
        <v>3333</v>
      </c>
      <c r="K185" s="18">
        <v>84.291666666666671</v>
      </c>
      <c r="S185" s="5" t="s">
        <v>20</v>
      </c>
      <c r="T185" s="6">
        <v>30</v>
      </c>
      <c r="U185" s="6">
        <v>71</v>
      </c>
      <c r="V185" s="7">
        <v>54073.700000000004</v>
      </c>
      <c r="W185" s="7">
        <v>325537</v>
      </c>
      <c r="X185" s="8">
        <f t="shared" si="4"/>
        <v>761.6014084507043</v>
      </c>
      <c r="Y185" s="8">
        <f t="shared" si="5"/>
        <v>4585.0281690140846</v>
      </c>
      <c r="Z185" s="8">
        <v>3317</v>
      </c>
      <c r="AA185" s="9">
        <v>75</v>
      </c>
    </row>
    <row r="186" spans="2:27" ht="15.75" hidden="1" x14ac:dyDescent="0.25">
      <c r="B186" s="19" t="s">
        <v>89</v>
      </c>
      <c r="C186" s="6">
        <v>29</v>
      </c>
      <c r="D186" s="6">
        <v>54</v>
      </c>
      <c r="E186" s="7">
        <v>45114.5</v>
      </c>
      <c r="F186" s="7">
        <v>284060</v>
      </c>
      <c r="G186" s="7"/>
      <c r="H186" s="8">
        <f t="shared" si="6"/>
        <v>835.4537037037037</v>
      </c>
      <c r="I186" s="8">
        <f t="shared" si="7"/>
        <v>5260.3703703703704</v>
      </c>
      <c r="J186" s="8">
        <v>3151</v>
      </c>
      <c r="K186" s="18">
        <v>85.15</v>
      </c>
      <c r="S186" s="5" t="s">
        <v>21</v>
      </c>
      <c r="T186" s="6">
        <v>30</v>
      </c>
      <c r="U186" s="6">
        <v>58</v>
      </c>
      <c r="V186" s="7">
        <v>43741.500000000015</v>
      </c>
      <c r="W186" s="7">
        <v>267084</v>
      </c>
      <c r="X186" s="8">
        <f t="shared" ref="X186:X231" si="8">V186/U186</f>
        <v>754.16379310344848</v>
      </c>
      <c r="Y186" s="8">
        <f t="shared" ref="Y186:Y231" si="9">W186/U186</f>
        <v>4604.8965517241377</v>
      </c>
      <c r="Z186" s="8">
        <v>3270</v>
      </c>
      <c r="AA186" s="9">
        <v>77</v>
      </c>
    </row>
    <row r="187" spans="2:27" ht="15.75" hidden="1" x14ac:dyDescent="0.25">
      <c r="B187" s="19" t="s">
        <v>90</v>
      </c>
      <c r="C187" s="6">
        <v>24</v>
      </c>
      <c r="D187" s="6">
        <v>46</v>
      </c>
      <c r="E187" s="7">
        <v>33324.699999999997</v>
      </c>
      <c r="F187" s="7">
        <v>190168</v>
      </c>
      <c r="G187" s="7"/>
      <c r="H187" s="8">
        <f t="shared" si="6"/>
        <v>724.44999999999993</v>
      </c>
      <c r="I187" s="8">
        <f t="shared" si="7"/>
        <v>4134.086956521739</v>
      </c>
      <c r="J187" s="8">
        <v>3383</v>
      </c>
      <c r="K187" s="18">
        <v>84.85</v>
      </c>
      <c r="S187" s="5" t="s">
        <v>22</v>
      </c>
      <c r="T187" s="6">
        <v>30</v>
      </c>
      <c r="U187" s="6">
        <v>64</v>
      </c>
      <c r="V187" s="7">
        <v>47236.4</v>
      </c>
      <c r="W187" s="7">
        <v>295609</v>
      </c>
      <c r="X187" s="8">
        <f t="shared" si="8"/>
        <v>738.06875000000002</v>
      </c>
      <c r="Y187" s="8">
        <f t="shared" si="9"/>
        <v>4618.890625</v>
      </c>
      <c r="Z187" s="8">
        <v>3276</v>
      </c>
      <c r="AA187" s="9">
        <v>84</v>
      </c>
    </row>
    <row r="188" spans="2:27" ht="15.75" hidden="1" x14ac:dyDescent="0.25">
      <c r="B188" s="19" t="s">
        <v>91</v>
      </c>
      <c r="C188" s="6">
        <v>24</v>
      </c>
      <c r="D188" s="6">
        <v>46</v>
      </c>
      <c r="E188" s="7">
        <v>33324.699999999997</v>
      </c>
      <c r="F188" s="7">
        <v>190168</v>
      </c>
      <c r="G188" s="7"/>
      <c r="H188" s="8">
        <f t="shared" si="6"/>
        <v>724.44999999999993</v>
      </c>
      <c r="I188" s="8">
        <f t="shared" si="7"/>
        <v>4134.086956521739</v>
      </c>
      <c r="J188" s="8">
        <v>3383</v>
      </c>
      <c r="K188" s="18">
        <v>85.587500000000006</v>
      </c>
      <c r="S188" s="5" t="s">
        <v>23</v>
      </c>
      <c r="T188" s="6">
        <v>37</v>
      </c>
      <c r="U188" s="6">
        <v>76</v>
      </c>
      <c r="V188" s="7">
        <v>57029.700000000026</v>
      </c>
      <c r="W188" s="7">
        <v>350340</v>
      </c>
      <c r="X188" s="8">
        <f t="shared" si="8"/>
        <v>750.39078947368455</v>
      </c>
      <c r="Y188" s="8">
        <f t="shared" si="9"/>
        <v>4609.7368421052633</v>
      </c>
      <c r="Z188" s="8">
        <v>3221</v>
      </c>
      <c r="AA188" s="9">
        <v>83</v>
      </c>
    </row>
    <row r="189" spans="2:27" ht="15.75" hidden="1" x14ac:dyDescent="0.25">
      <c r="B189" s="19" t="s">
        <v>92</v>
      </c>
      <c r="C189" s="6">
        <v>29</v>
      </c>
      <c r="D189" s="6">
        <v>50</v>
      </c>
      <c r="E189" s="7">
        <v>43375.399999999994</v>
      </c>
      <c r="F189" s="7">
        <v>273140</v>
      </c>
      <c r="G189" s="7"/>
      <c r="H189" s="8">
        <f t="shared" si="6"/>
        <v>867.50799999999992</v>
      </c>
      <c r="I189" s="8">
        <f t="shared" si="7"/>
        <v>5462.8</v>
      </c>
      <c r="J189" s="8">
        <v>3250</v>
      </c>
      <c r="K189" s="18">
        <v>85.958333333333343</v>
      </c>
      <c r="S189" s="5" t="s">
        <v>24</v>
      </c>
      <c r="T189" s="6">
        <v>15</v>
      </c>
      <c r="U189" s="6">
        <v>30</v>
      </c>
      <c r="V189" s="7">
        <v>22672.999999999996</v>
      </c>
      <c r="W189" s="7">
        <v>143267</v>
      </c>
      <c r="X189" s="8">
        <f t="shared" si="8"/>
        <v>755.76666666666654</v>
      </c>
      <c r="Y189" s="8">
        <f t="shared" si="9"/>
        <v>4775.5666666666666</v>
      </c>
      <c r="Z189" s="8">
        <v>3297</v>
      </c>
      <c r="AA189" s="9">
        <v>82</v>
      </c>
    </row>
    <row r="190" spans="2:27" ht="15.75" hidden="1" x14ac:dyDescent="0.25">
      <c r="B190" s="19" t="s">
        <v>93</v>
      </c>
      <c r="C190" s="6">
        <v>29</v>
      </c>
      <c r="D190" s="6">
        <v>50</v>
      </c>
      <c r="E190" s="7">
        <v>43375.399999999994</v>
      </c>
      <c r="F190" s="7">
        <v>273140</v>
      </c>
      <c r="G190" s="7"/>
      <c r="H190" s="8">
        <f t="shared" si="6"/>
        <v>867.50799999999992</v>
      </c>
      <c r="I190" s="8">
        <f t="shared" si="7"/>
        <v>5462.8</v>
      </c>
      <c r="J190" s="8">
        <v>3332</v>
      </c>
      <c r="K190" s="18">
        <v>84.520833333333343</v>
      </c>
      <c r="S190" s="5" t="s">
        <v>25</v>
      </c>
      <c r="T190" s="6">
        <v>24</v>
      </c>
      <c r="U190" s="6">
        <v>41</v>
      </c>
      <c r="V190" s="7">
        <v>32590.600000000006</v>
      </c>
      <c r="W190" s="7">
        <v>206952</v>
      </c>
      <c r="X190" s="8">
        <f t="shared" si="8"/>
        <v>794.89268292682937</v>
      </c>
      <c r="Y190" s="8">
        <f t="shared" si="9"/>
        <v>5047.6097560975613</v>
      </c>
      <c r="Z190" s="8">
        <v>3221</v>
      </c>
      <c r="AA190" s="9">
        <v>77</v>
      </c>
    </row>
    <row r="191" spans="2:27" ht="15.75" hidden="1" x14ac:dyDescent="0.25">
      <c r="B191" s="19" t="s">
        <v>94</v>
      </c>
      <c r="C191" s="6">
        <v>27</v>
      </c>
      <c r="D191" s="6">
        <v>49</v>
      </c>
      <c r="E191" s="7">
        <v>36810.999999999993</v>
      </c>
      <c r="F191" s="7">
        <v>214035</v>
      </c>
      <c r="G191" s="7"/>
      <c r="H191" s="8">
        <f t="shared" si="6"/>
        <v>751.2448979591835</v>
      </c>
      <c r="I191" s="8">
        <f t="shared" si="7"/>
        <v>4368.0612244897957</v>
      </c>
      <c r="J191" s="8">
        <v>3332</v>
      </c>
      <c r="K191" s="18">
        <v>84.5</v>
      </c>
      <c r="S191" s="5" t="s">
        <v>26</v>
      </c>
      <c r="T191" s="6">
        <v>31</v>
      </c>
      <c r="U191" s="6">
        <v>57</v>
      </c>
      <c r="V191" s="7">
        <v>42265.7</v>
      </c>
      <c r="W191" s="7">
        <v>250790</v>
      </c>
      <c r="X191" s="8">
        <f t="shared" si="8"/>
        <v>741.50350877192977</v>
      </c>
      <c r="Y191" s="8">
        <f t="shared" si="9"/>
        <v>4399.8245614035086</v>
      </c>
      <c r="Z191" s="8">
        <v>3314</v>
      </c>
      <c r="AA191" s="9">
        <v>76</v>
      </c>
    </row>
    <row r="192" spans="2:27" ht="15.75" hidden="1" x14ac:dyDescent="0.25">
      <c r="B192" s="19" t="s">
        <v>95</v>
      </c>
      <c r="C192" s="6">
        <v>28</v>
      </c>
      <c r="D192" s="6">
        <v>51</v>
      </c>
      <c r="E192" s="7">
        <v>38025.600000000006</v>
      </c>
      <c r="F192" s="7">
        <v>237147</v>
      </c>
      <c r="G192" s="7"/>
      <c r="H192" s="8">
        <f t="shared" si="6"/>
        <v>745.60000000000014</v>
      </c>
      <c r="I192" s="8">
        <f t="shared" si="7"/>
        <v>4649.9411764705883</v>
      </c>
      <c r="J192" s="8">
        <v>3522</v>
      </c>
      <c r="K192" s="18">
        <v>84.75833333333334</v>
      </c>
      <c r="S192" s="5" t="s">
        <v>27</v>
      </c>
      <c r="T192" s="6">
        <v>31</v>
      </c>
      <c r="U192" s="6">
        <v>50</v>
      </c>
      <c r="V192" s="7">
        <v>39717.300000000003</v>
      </c>
      <c r="W192" s="7">
        <v>231020</v>
      </c>
      <c r="X192" s="8">
        <f t="shared" si="8"/>
        <v>794.346</v>
      </c>
      <c r="Y192" s="8">
        <f t="shared" si="9"/>
        <v>4620.3999999999996</v>
      </c>
      <c r="Z192" s="8">
        <v>3282</v>
      </c>
      <c r="AA192" s="9">
        <v>74</v>
      </c>
    </row>
    <row r="193" spans="2:27" ht="15.75" hidden="1" x14ac:dyDescent="0.25">
      <c r="B193" s="19" t="s">
        <v>96</v>
      </c>
      <c r="C193" s="6">
        <v>28</v>
      </c>
      <c r="D193" s="6">
        <v>51</v>
      </c>
      <c r="E193" s="7">
        <v>38025.600000000006</v>
      </c>
      <c r="F193" s="7">
        <v>237147</v>
      </c>
      <c r="G193" s="7"/>
      <c r="H193" s="8">
        <f t="shared" si="6"/>
        <v>745.60000000000014</v>
      </c>
      <c r="I193" s="8">
        <f t="shared" si="7"/>
        <v>4649.9411764705883</v>
      </c>
      <c r="J193" s="8">
        <v>3522</v>
      </c>
      <c r="K193" s="18">
        <v>84.986666666666665</v>
      </c>
      <c r="S193" s="5" t="s">
        <v>28</v>
      </c>
      <c r="T193" s="6">
        <v>30</v>
      </c>
      <c r="U193" s="6">
        <v>53</v>
      </c>
      <c r="V193" s="7">
        <v>44233.399999999994</v>
      </c>
      <c r="W193" s="7">
        <v>269403</v>
      </c>
      <c r="X193" s="8">
        <f t="shared" si="8"/>
        <v>834.59245283018856</v>
      </c>
      <c r="Y193" s="8">
        <f t="shared" si="9"/>
        <v>5083.0754716981128</v>
      </c>
      <c r="Z193" s="8">
        <v>3221</v>
      </c>
      <c r="AA193" s="9">
        <v>84</v>
      </c>
    </row>
    <row r="194" spans="2:27" ht="15.75" hidden="1" x14ac:dyDescent="0.25">
      <c r="B194" s="19" t="s">
        <v>97</v>
      </c>
      <c r="C194" s="6">
        <v>27</v>
      </c>
      <c r="D194" s="6">
        <v>51</v>
      </c>
      <c r="E194" s="7">
        <v>39526.999999999993</v>
      </c>
      <c r="F194" s="7">
        <v>243675</v>
      </c>
      <c r="G194" s="7"/>
      <c r="H194" s="8">
        <f t="shared" si="6"/>
        <v>775.03921568627436</v>
      </c>
      <c r="I194" s="8">
        <f t="shared" si="7"/>
        <v>4777.9411764705883</v>
      </c>
      <c r="J194" s="8">
        <v>3370</v>
      </c>
      <c r="K194" s="18">
        <v>85.583333333333343</v>
      </c>
      <c r="S194" s="5" t="s">
        <v>29</v>
      </c>
      <c r="T194" s="6">
        <v>27</v>
      </c>
      <c r="U194" s="6">
        <v>50</v>
      </c>
      <c r="V194" s="7">
        <v>33271</v>
      </c>
      <c r="W194" s="7">
        <v>197584</v>
      </c>
      <c r="X194" s="8">
        <f t="shared" si="8"/>
        <v>665.42</v>
      </c>
      <c r="Y194" s="8">
        <f t="shared" si="9"/>
        <v>3951.68</v>
      </c>
      <c r="Z194" s="8">
        <v>3221</v>
      </c>
      <c r="AA194" s="9">
        <v>79</v>
      </c>
    </row>
    <row r="195" spans="2:27" ht="15.75" hidden="1" x14ac:dyDescent="0.25">
      <c r="B195" s="19" t="s">
        <v>98</v>
      </c>
      <c r="C195" s="6">
        <v>28</v>
      </c>
      <c r="D195" s="6">
        <v>40</v>
      </c>
      <c r="E195" s="7">
        <v>31380.900000000005</v>
      </c>
      <c r="F195" s="7">
        <v>196397</v>
      </c>
      <c r="G195" s="7"/>
      <c r="H195" s="8">
        <f t="shared" si="6"/>
        <v>784.52250000000015</v>
      </c>
      <c r="I195" s="8">
        <f t="shared" si="7"/>
        <v>4909.9250000000002</v>
      </c>
      <c r="J195" s="8">
        <v>3291</v>
      </c>
      <c r="K195" s="18">
        <v>86</v>
      </c>
      <c r="S195" s="5" t="s">
        <v>30</v>
      </c>
      <c r="T195" s="6">
        <v>32</v>
      </c>
      <c r="U195" s="6">
        <v>43</v>
      </c>
      <c r="V195" s="7">
        <v>29412.399999999994</v>
      </c>
      <c r="W195" s="7">
        <v>178504</v>
      </c>
      <c r="X195" s="8">
        <f t="shared" si="8"/>
        <v>684.0093023255813</v>
      </c>
      <c r="Y195" s="8">
        <f t="shared" si="9"/>
        <v>4151.2558139534885</v>
      </c>
      <c r="Z195" s="8">
        <v>3295</v>
      </c>
      <c r="AA195" s="9">
        <v>80</v>
      </c>
    </row>
    <row r="196" spans="2:27" ht="15.75" hidden="1" x14ac:dyDescent="0.25">
      <c r="B196" s="19" t="s">
        <v>99</v>
      </c>
      <c r="C196" s="6">
        <v>25</v>
      </c>
      <c r="D196" s="6">
        <v>46</v>
      </c>
      <c r="E196" s="7">
        <v>36021.69999999999</v>
      </c>
      <c r="F196" s="7">
        <v>222142</v>
      </c>
      <c r="G196" s="7"/>
      <c r="H196" s="8">
        <f t="shared" si="6"/>
        <v>783.08043478260845</v>
      </c>
      <c r="I196" s="8">
        <f t="shared" si="7"/>
        <v>4829.173913043478</v>
      </c>
      <c r="J196" s="8">
        <v>3414</v>
      </c>
      <c r="K196" s="18">
        <v>84.338095238095235</v>
      </c>
      <c r="S196" s="5" t="s">
        <v>31</v>
      </c>
      <c r="T196" s="6">
        <v>37</v>
      </c>
      <c r="U196" s="6">
        <v>61</v>
      </c>
      <c r="V196" s="7">
        <v>43416.899999999994</v>
      </c>
      <c r="W196" s="7">
        <v>259884</v>
      </c>
      <c r="X196" s="8">
        <f t="shared" si="8"/>
        <v>711.75245901639335</v>
      </c>
      <c r="Y196" s="8">
        <f t="shared" si="9"/>
        <v>4260.3934426229507</v>
      </c>
      <c r="Z196" s="8">
        <v>3361</v>
      </c>
      <c r="AA196" s="9">
        <v>83</v>
      </c>
    </row>
    <row r="197" spans="2:27" ht="15.75" hidden="1" x14ac:dyDescent="0.25">
      <c r="B197" s="19" t="s">
        <v>100</v>
      </c>
      <c r="C197" s="6">
        <v>25</v>
      </c>
      <c r="D197" s="6">
        <v>41</v>
      </c>
      <c r="E197" s="7">
        <v>30556.2</v>
      </c>
      <c r="F197" s="7">
        <v>182952</v>
      </c>
      <c r="G197" s="7"/>
      <c r="H197" s="8">
        <f t="shared" ref="H197:H260" si="10">E197/D197</f>
        <v>745.2731707317073</v>
      </c>
      <c r="I197" s="8">
        <f t="shared" ref="I197:I260" si="11">F197/D197</f>
        <v>4462.2439024390242</v>
      </c>
      <c r="J197" s="8">
        <v>3414</v>
      </c>
      <c r="K197" s="18">
        <v>84.341666666666669</v>
      </c>
      <c r="S197" s="5" t="s">
        <v>32</v>
      </c>
      <c r="T197" s="6">
        <v>37</v>
      </c>
      <c r="U197" s="6">
        <v>58</v>
      </c>
      <c r="V197" s="7">
        <v>45767.999999999985</v>
      </c>
      <c r="W197" s="7">
        <v>274790</v>
      </c>
      <c r="X197" s="8">
        <f t="shared" si="8"/>
        <v>789.10344827586187</v>
      </c>
      <c r="Y197" s="8">
        <f t="shared" si="9"/>
        <v>4737.7586206896549</v>
      </c>
      <c r="Z197" s="8">
        <v>3302</v>
      </c>
      <c r="AA197" s="9">
        <v>84</v>
      </c>
    </row>
    <row r="198" spans="2:27" ht="15.75" hidden="1" x14ac:dyDescent="0.25">
      <c r="B198" s="19" t="s">
        <v>101</v>
      </c>
      <c r="C198" s="6">
        <v>22</v>
      </c>
      <c r="D198" s="6">
        <v>40</v>
      </c>
      <c r="E198" s="7">
        <v>30598.900000000005</v>
      </c>
      <c r="F198" s="7">
        <v>180059</v>
      </c>
      <c r="G198" s="7"/>
      <c r="H198" s="8">
        <f t="shared" si="10"/>
        <v>764.97250000000008</v>
      </c>
      <c r="I198" s="8">
        <f t="shared" si="11"/>
        <v>4501.4750000000004</v>
      </c>
      <c r="J198" s="8">
        <v>3414</v>
      </c>
      <c r="K198" s="18">
        <v>85.75</v>
      </c>
      <c r="S198" s="5" t="s">
        <v>33</v>
      </c>
      <c r="T198" s="6">
        <v>37</v>
      </c>
      <c r="U198" s="6">
        <v>67</v>
      </c>
      <c r="V198" s="7">
        <v>47733.599999999999</v>
      </c>
      <c r="W198" s="7">
        <v>281729</v>
      </c>
      <c r="X198" s="8">
        <f t="shared" si="8"/>
        <v>712.4417910447761</v>
      </c>
      <c r="Y198" s="8">
        <f t="shared" si="9"/>
        <v>4204.9104477611936</v>
      </c>
      <c r="Z198" s="8">
        <v>3291</v>
      </c>
      <c r="AA198" s="9">
        <v>79</v>
      </c>
    </row>
    <row r="199" spans="2:27" ht="15.75" hidden="1" x14ac:dyDescent="0.25">
      <c r="B199" s="19" t="s">
        <v>102</v>
      </c>
      <c r="C199" s="6">
        <v>25</v>
      </c>
      <c r="D199" s="6">
        <v>33</v>
      </c>
      <c r="E199" s="7">
        <v>24546.400000000001</v>
      </c>
      <c r="F199" s="7">
        <v>159270</v>
      </c>
      <c r="G199" s="7"/>
      <c r="H199" s="8">
        <f t="shared" si="10"/>
        <v>743.83030303030307</v>
      </c>
      <c r="I199" s="8">
        <f t="shared" si="11"/>
        <v>4826.363636363636</v>
      </c>
      <c r="J199" s="8">
        <v>3414</v>
      </c>
      <c r="K199" s="18">
        <v>85.88333333333334</v>
      </c>
      <c r="S199" s="5" t="s">
        <v>34</v>
      </c>
      <c r="T199" s="6">
        <v>34</v>
      </c>
      <c r="U199" s="6">
        <v>53</v>
      </c>
      <c r="V199" s="7">
        <v>39112.099999999991</v>
      </c>
      <c r="W199" s="7">
        <v>230430</v>
      </c>
      <c r="X199" s="8">
        <f t="shared" si="8"/>
        <v>737.96415094339602</v>
      </c>
      <c r="Y199" s="8">
        <f t="shared" si="9"/>
        <v>4347.7358490566039</v>
      </c>
      <c r="Z199" s="8">
        <v>3299</v>
      </c>
      <c r="AA199" s="9">
        <v>76</v>
      </c>
    </row>
    <row r="200" spans="2:27" ht="15.75" hidden="1" x14ac:dyDescent="0.25">
      <c r="B200" s="19" t="s">
        <v>103</v>
      </c>
      <c r="C200" s="6">
        <v>38</v>
      </c>
      <c r="D200" s="6">
        <v>60</v>
      </c>
      <c r="E200" s="7">
        <v>44235.80000000001</v>
      </c>
      <c r="F200" s="7">
        <v>284488</v>
      </c>
      <c r="G200" s="7"/>
      <c r="H200" s="8">
        <f t="shared" si="10"/>
        <v>737.26333333333355</v>
      </c>
      <c r="I200" s="8">
        <f t="shared" si="11"/>
        <v>4741.4666666666662</v>
      </c>
      <c r="J200" s="8">
        <v>3414</v>
      </c>
      <c r="K200" s="18">
        <v>84.333333333333329</v>
      </c>
      <c r="S200" s="5" t="s">
        <v>60</v>
      </c>
      <c r="T200" s="6">
        <v>37</v>
      </c>
      <c r="U200" s="6">
        <v>62</v>
      </c>
      <c r="V200" s="7">
        <v>41402.500000000015</v>
      </c>
      <c r="W200" s="7">
        <v>240493</v>
      </c>
      <c r="X200" s="8">
        <f t="shared" si="8"/>
        <v>667.78225806451633</v>
      </c>
      <c r="Y200" s="8">
        <f t="shared" si="9"/>
        <v>3878.9193548387098</v>
      </c>
      <c r="Z200" s="8">
        <v>3286</v>
      </c>
      <c r="AA200" s="9">
        <v>78</v>
      </c>
    </row>
    <row r="201" spans="2:27" ht="15.75" hidden="1" x14ac:dyDescent="0.25">
      <c r="B201" s="20" t="s">
        <v>104</v>
      </c>
      <c r="C201" s="6">
        <v>32</v>
      </c>
      <c r="D201" s="6">
        <v>59</v>
      </c>
      <c r="E201" s="7">
        <v>39944.099999999984</v>
      </c>
      <c r="F201" s="7">
        <v>253611</v>
      </c>
      <c r="G201" s="7"/>
      <c r="H201" s="8">
        <f t="shared" si="10"/>
        <v>677.01864406779634</v>
      </c>
      <c r="I201" s="8">
        <f t="shared" si="11"/>
        <v>4298.4915254237285</v>
      </c>
      <c r="J201" s="8">
        <v>3407</v>
      </c>
      <c r="K201" s="18">
        <v>85.833333333333329</v>
      </c>
      <c r="S201" s="5" t="s">
        <v>35</v>
      </c>
      <c r="T201" s="6">
        <v>35</v>
      </c>
      <c r="U201" s="6">
        <v>57</v>
      </c>
      <c r="V201" s="7">
        <v>42958.100000000006</v>
      </c>
      <c r="W201" s="7">
        <v>265145</v>
      </c>
      <c r="X201" s="8">
        <f t="shared" si="8"/>
        <v>753.65087719298253</v>
      </c>
      <c r="Y201" s="8">
        <f t="shared" si="9"/>
        <v>4651.666666666667</v>
      </c>
      <c r="Z201" s="8">
        <v>3263</v>
      </c>
      <c r="AA201" s="9">
        <v>89</v>
      </c>
    </row>
    <row r="202" spans="2:27" ht="15.75" hidden="1" x14ac:dyDescent="0.25">
      <c r="B202" s="20" t="s">
        <v>105</v>
      </c>
      <c r="C202" s="6">
        <v>36</v>
      </c>
      <c r="D202" s="6">
        <v>57</v>
      </c>
      <c r="E202" s="7">
        <v>41169.9</v>
      </c>
      <c r="F202" s="7">
        <v>240591</v>
      </c>
      <c r="G202" s="7"/>
      <c r="H202" s="8">
        <f t="shared" si="10"/>
        <v>722.27894736842109</v>
      </c>
      <c r="I202" s="8">
        <f t="shared" si="11"/>
        <v>4220.894736842105</v>
      </c>
      <c r="J202" s="8">
        <v>3320</v>
      </c>
      <c r="K202" s="18">
        <v>84.750000000000014</v>
      </c>
      <c r="S202" s="5" t="s">
        <v>36</v>
      </c>
      <c r="T202" s="6">
        <v>37</v>
      </c>
      <c r="U202" s="6">
        <v>58</v>
      </c>
      <c r="V202" s="7">
        <v>42483.599999999984</v>
      </c>
      <c r="W202" s="7">
        <v>256825</v>
      </c>
      <c r="X202" s="8">
        <f t="shared" si="8"/>
        <v>732.47586206896528</v>
      </c>
      <c r="Y202" s="8">
        <f t="shared" si="9"/>
        <v>4428.0172413793107</v>
      </c>
      <c r="Z202" s="8">
        <v>3337</v>
      </c>
      <c r="AA202" s="9">
        <v>92</v>
      </c>
    </row>
    <row r="203" spans="2:27" ht="15.75" hidden="1" x14ac:dyDescent="0.25">
      <c r="B203" s="20" t="s">
        <v>106</v>
      </c>
      <c r="C203" s="6">
        <v>32</v>
      </c>
      <c r="D203" s="6">
        <v>60</v>
      </c>
      <c r="E203" s="7">
        <v>43540.3</v>
      </c>
      <c r="F203" s="7">
        <v>276022</v>
      </c>
      <c r="G203" s="7"/>
      <c r="H203" s="8">
        <f t="shared" si="10"/>
        <v>725.67166666666674</v>
      </c>
      <c r="I203" s="8">
        <f t="shared" si="11"/>
        <v>4600.3666666666668</v>
      </c>
      <c r="J203" s="8">
        <v>3320</v>
      </c>
      <c r="K203" s="18">
        <v>85.916666666666657</v>
      </c>
      <c r="S203" s="5" t="s">
        <v>37</v>
      </c>
      <c r="T203" s="6">
        <v>33</v>
      </c>
      <c r="U203" s="6">
        <v>49</v>
      </c>
      <c r="V203" s="7">
        <v>36779.1</v>
      </c>
      <c r="W203" s="7">
        <v>222278</v>
      </c>
      <c r="X203" s="8">
        <f t="shared" si="8"/>
        <v>750.59387755102034</v>
      </c>
      <c r="Y203" s="8">
        <f t="shared" si="9"/>
        <v>4536.2857142857147</v>
      </c>
      <c r="Z203" s="8">
        <v>3287</v>
      </c>
      <c r="AA203" s="9">
        <v>86</v>
      </c>
    </row>
    <row r="204" spans="2:27" ht="15.75" hidden="1" x14ac:dyDescent="0.25">
      <c r="B204" s="20" t="s">
        <v>107</v>
      </c>
      <c r="C204" s="6">
        <v>26</v>
      </c>
      <c r="D204" s="6">
        <v>48</v>
      </c>
      <c r="E204" s="7">
        <v>36461</v>
      </c>
      <c r="F204" s="7">
        <v>204450</v>
      </c>
      <c r="G204" s="7"/>
      <c r="H204" s="8">
        <f t="shared" si="10"/>
        <v>759.60416666666663</v>
      </c>
      <c r="I204" s="8">
        <f t="shared" si="11"/>
        <v>4259.375</v>
      </c>
      <c r="J204" s="8">
        <v>3320</v>
      </c>
      <c r="K204" s="18">
        <v>85.708333333333343</v>
      </c>
      <c r="S204" s="5" t="s">
        <v>38</v>
      </c>
      <c r="T204" s="6">
        <v>36</v>
      </c>
      <c r="U204" s="6">
        <v>60</v>
      </c>
      <c r="V204" s="7">
        <v>42796.100000000006</v>
      </c>
      <c r="W204" s="7">
        <v>257133</v>
      </c>
      <c r="X204" s="8">
        <f t="shared" si="8"/>
        <v>713.26833333333343</v>
      </c>
      <c r="Y204" s="8">
        <f t="shared" si="9"/>
        <v>4285.55</v>
      </c>
      <c r="Z204" s="8">
        <v>3312</v>
      </c>
      <c r="AA204" s="9">
        <v>83</v>
      </c>
    </row>
    <row r="205" spans="2:27" ht="15.75" hidden="1" x14ac:dyDescent="0.25">
      <c r="B205" s="20" t="s">
        <v>108</v>
      </c>
      <c r="C205" s="6">
        <v>35</v>
      </c>
      <c r="D205" s="6">
        <v>72</v>
      </c>
      <c r="E205" s="7">
        <v>51947.799999999981</v>
      </c>
      <c r="F205" s="7">
        <v>325459</v>
      </c>
      <c r="G205" s="7"/>
      <c r="H205" s="8">
        <f t="shared" si="10"/>
        <v>721.49722222222192</v>
      </c>
      <c r="I205" s="8">
        <f t="shared" si="11"/>
        <v>4520.2638888888887</v>
      </c>
      <c r="J205" s="8">
        <v>3257</v>
      </c>
      <c r="K205" s="18">
        <v>86.696428571428584</v>
      </c>
      <c r="S205" s="5" t="s">
        <v>39</v>
      </c>
      <c r="T205" s="6">
        <v>45</v>
      </c>
      <c r="U205" s="6">
        <v>82</v>
      </c>
      <c r="V205" s="7">
        <v>58155.500000000029</v>
      </c>
      <c r="W205" s="7">
        <v>335308</v>
      </c>
      <c r="X205" s="8">
        <f t="shared" si="8"/>
        <v>709.21341463414672</v>
      </c>
      <c r="Y205" s="8">
        <f t="shared" si="9"/>
        <v>4089.1219512195121</v>
      </c>
      <c r="Z205" s="8">
        <v>3323</v>
      </c>
      <c r="AA205" s="9">
        <v>83</v>
      </c>
    </row>
    <row r="206" spans="2:27" ht="15.75" hidden="1" x14ac:dyDescent="0.25">
      <c r="B206" s="20" t="s">
        <v>109</v>
      </c>
      <c r="C206" s="6">
        <v>23</v>
      </c>
      <c r="D206" s="6">
        <v>35</v>
      </c>
      <c r="E206" s="7">
        <v>28103.600000000009</v>
      </c>
      <c r="F206" s="7">
        <v>151640</v>
      </c>
      <c r="G206" s="7"/>
      <c r="H206" s="8">
        <f t="shared" si="10"/>
        <v>802.96000000000026</v>
      </c>
      <c r="I206" s="8">
        <f t="shared" si="11"/>
        <v>4332.5714285714284</v>
      </c>
      <c r="J206" s="8">
        <v>3257</v>
      </c>
      <c r="K206" s="18">
        <v>84.674999999999997</v>
      </c>
      <c r="S206" s="5" t="s">
        <v>40</v>
      </c>
      <c r="T206" s="6">
        <v>45</v>
      </c>
      <c r="U206" s="6">
        <v>70</v>
      </c>
      <c r="V206" s="7">
        <v>51776.200000000004</v>
      </c>
      <c r="W206" s="7">
        <v>321973</v>
      </c>
      <c r="X206" s="8">
        <f t="shared" si="8"/>
        <v>739.66000000000008</v>
      </c>
      <c r="Y206" s="8">
        <f t="shared" si="9"/>
        <v>4599.6142857142859</v>
      </c>
      <c r="Z206" s="8">
        <v>3233</v>
      </c>
      <c r="AA206" s="9">
        <v>84</v>
      </c>
    </row>
    <row r="207" spans="2:27" ht="15.75" hidden="1" x14ac:dyDescent="0.25">
      <c r="B207" s="20" t="s">
        <v>110</v>
      </c>
      <c r="C207" s="6">
        <v>40</v>
      </c>
      <c r="D207" s="6">
        <v>71</v>
      </c>
      <c r="E207" s="7">
        <v>49538.400000000016</v>
      </c>
      <c r="F207" s="7">
        <v>308473</v>
      </c>
      <c r="G207" s="7"/>
      <c r="H207" s="8">
        <f t="shared" si="10"/>
        <v>697.72394366197204</v>
      </c>
      <c r="I207" s="8">
        <f t="shared" si="11"/>
        <v>4344.6901408450703</v>
      </c>
      <c r="J207" s="8">
        <v>3257</v>
      </c>
      <c r="K207" s="18">
        <v>85.75</v>
      </c>
      <c r="S207" s="5" t="s">
        <v>41</v>
      </c>
      <c r="T207" s="6">
        <v>41</v>
      </c>
      <c r="U207" s="6">
        <v>70</v>
      </c>
      <c r="V207" s="7">
        <v>54099.299999999996</v>
      </c>
      <c r="W207" s="7">
        <v>320145</v>
      </c>
      <c r="X207" s="8">
        <f t="shared" si="8"/>
        <v>772.84714285714279</v>
      </c>
      <c r="Y207" s="8">
        <f t="shared" si="9"/>
        <v>4573.5</v>
      </c>
      <c r="Z207" s="8">
        <v>3303</v>
      </c>
      <c r="AA207" s="9">
        <v>88</v>
      </c>
    </row>
    <row r="208" spans="2:27" ht="15.75" hidden="1" x14ac:dyDescent="0.25">
      <c r="B208" s="20" t="s">
        <v>111</v>
      </c>
      <c r="C208" s="6">
        <v>27</v>
      </c>
      <c r="D208" s="6">
        <v>49</v>
      </c>
      <c r="E208" s="7">
        <v>36400.999999999993</v>
      </c>
      <c r="F208" s="7">
        <v>223438</v>
      </c>
      <c r="G208" s="7"/>
      <c r="H208" s="8">
        <f t="shared" si="10"/>
        <v>742.87755102040796</v>
      </c>
      <c r="I208" s="8">
        <f t="shared" si="11"/>
        <v>4559.9591836734689</v>
      </c>
      <c r="J208" s="8">
        <v>3257</v>
      </c>
      <c r="K208" s="18">
        <v>85.85</v>
      </c>
      <c r="S208" s="5" t="s">
        <v>42</v>
      </c>
      <c r="T208" s="6">
        <v>35</v>
      </c>
      <c r="U208" s="6">
        <v>65</v>
      </c>
      <c r="V208" s="7">
        <v>53640.9</v>
      </c>
      <c r="W208" s="7">
        <v>327872</v>
      </c>
      <c r="X208" s="8">
        <f t="shared" si="8"/>
        <v>825.24461538461537</v>
      </c>
      <c r="Y208" s="8">
        <f t="shared" si="9"/>
        <v>5044.1846153846154</v>
      </c>
      <c r="Z208" s="8">
        <v>3296</v>
      </c>
      <c r="AA208" s="9">
        <v>82</v>
      </c>
    </row>
    <row r="209" spans="2:27" ht="15.75" hidden="1" x14ac:dyDescent="0.25">
      <c r="B209" s="20" t="s">
        <v>112</v>
      </c>
      <c r="C209" s="6">
        <v>27</v>
      </c>
      <c r="D209" s="6">
        <v>58</v>
      </c>
      <c r="E209" s="7">
        <v>38546.5</v>
      </c>
      <c r="F209" s="7">
        <v>237880</v>
      </c>
      <c r="G209" s="7"/>
      <c r="H209" s="8">
        <f t="shared" si="10"/>
        <v>664.59482758620686</v>
      </c>
      <c r="I209" s="8">
        <f t="shared" si="11"/>
        <v>4101.3793103448279</v>
      </c>
      <c r="J209" s="8">
        <v>3269</v>
      </c>
      <c r="K209" s="18">
        <v>85.833333333333329</v>
      </c>
      <c r="S209" s="5" t="s">
        <v>43</v>
      </c>
      <c r="T209" s="6">
        <v>34</v>
      </c>
      <c r="U209" s="6">
        <v>60</v>
      </c>
      <c r="V209" s="7">
        <v>46067.9</v>
      </c>
      <c r="W209" s="7">
        <v>276997</v>
      </c>
      <c r="X209" s="8">
        <f t="shared" si="8"/>
        <v>767.7983333333334</v>
      </c>
      <c r="Y209" s="8">
        <f t="shared" si="9"/>
        <v>4616.6166666666668</v>
      </c>
      <c r="Z209" s="8">
        <v>3221</v>
      </c>
      <c r="AA209" s="9">
        <v>85</v>
      </c>
    </row>
    <row r="210" spans="2:27" ht="15.75" hidden="1" x14ac:dyDescent="0.25">
      <c r="B210" s="20" t="s">
        <v>113</v>
      </c>
      <c r="C210" s="6">
        <v>27</v>
      </c>
      <c r="D210" s="6">
        <v>48</v>
      </c>
      <c r="E210" s="7">
        <v>34945.399999999994</v>
      </c>
      <c r="F210" s="7">
        <v>208968</v>
      </c>
      <c r="G210" s="7"/>
      <c r="H210" s="8">
        <f t="shared" si="10"/>
        <v>728.02916666666658</v>
      </c>
      <c r="I210" s="8">
        <f t="shared" si="11"/>
        <v>4353.5</v>
      </c>
      <c r="J210" s="8">
        <v>3286</v>
      </c>
      <c r="K210" s="18">
        <v>85.35</v>
      </c>
      <c r="S210" s="5" t="s">
        <v>44</v>
      </c>
      <c r="T210" s="6">
        <v>39</v>
      </c>
      <c r="U210" s="6">
        <v>69</v>
      </c>
      <c r="V210" s="7">
        <v>51336.099999999977</v>
      </c>
      <c r="W210" s="7">
        <v>310984</v>
      </c>
      <c r="X210" s="8">
        <f t="shared" si="8"/>
        <v>744.00144927536201</v>
      </c>
      <c r="Y210" s="8">
        <f t="shared" si="9"/>
        <v>4507.014492753623</v>
      </c>
      <c r="Z210" s="8">
        <v>3306</v>
      </c>
      <c r="AA210" s="9">
        <v>86</v>
      </c>
    </row>
    <row r="211" spans="2:27" ht="15.75" hidden="1" x14ac:dyDescent="0.25">
      <c r="B211" s="20" t="s">
        <v>114</v>
      </c>
      <c r="C211" s="6">
        <v>27</v>
      </c>
      <c r="D211" s="6">
        <v>48</v>
      </c>
      <c r="E211" s="7">
        <v>34945.399999999994</v>
      </c>
      <c r="F211" s="7">
        <v>208968</v>
      </c>
      <c r="G211" s="7"/>
      <c r="H211" s="8">
        <f t="shared" si="10"/>
        <v>728.02916666666658</v>
      </c>
      <c r="I211" s="8">
        <f t="shared" si="11"/>
        <v>4353.5</v>
      </c>
      <c r="J211" s="8">
        <v>3286</v>
      </c>
      <c r="K211" s="18">
        <v>85.35</v>
      </c>
      <c r="S211" s="5" t="s">
        <v>45</v>
      </c>
      <c r="T211" s="6">
        <v>23</v>
      </c>
      <c r="U211" s="6">
        <v>36</v>
      </c>
      <c r="V211" s="7">
        <v>26172.6</v>
      </c>
      <c r="W211" s="7">
        <v>156825</v>
      </c>
      <c r="X211" s="8">
        <f t="shared" si="8"/>
        <v>727.01666666666665</v>
      </c>
      <c r="Y211" s="8">
        <f t="shared" si="9"/>
        <v>4356.25</v>
      </c>
      <c r="Z211" s="8">
        <v>3365</v>
      </c>
      <c r="AA211" s="9">
        <v>89</v>
      </c>
    </row>
    <row r="212" spans="2:27" ht="15.75" hidden="1" x14ac:dyDescent="0.25">
      <c r="B212" s="20" t="s">
        <v>115</v>
      </c>
      <c r="C212" s="6">
        <v>27</v>
      </c>
      <c r="D212" s="6">
        <v>48</v>
      </c>
      <c r="E212" s="7">
        <v>34945.399999999994</v>
      </c>
      <c r="F212" s="7">
        <v>208968</v>
      </c>
      <c r="G212" s="7"/>
      <c r="H212" s="8">
        <f t="shared" si="10"/>
        <v>728.02916666666658</v>
      </c>
      <c r="I212" s="8">
        <f t="shared" si="11"/>
        <v>4353.5</v>
      </c>
      <c r="J212" s="8">
        <v>3286</v>
      </c>
      <c r="K212" s="18">
        <v>85.35</v>
      </c>
      <c r="S212" s="5" t="s">
        <v>46</v>
      </c>
      <c r="T212" s="6">
        <v>28</v>
      </c>
      <c r="U212" s="6">
        <v>46</v>
      </c>
      <c r="V212" s="7">
        <v>35167.399999999994</v>
      </c>
      <c r="W212" s="7">
        <v>217290</v>
      </c>
      <c r="X212" s="8">
        <f t="shared" si="8"/>
        <v>764.50869565217374</v>
      </c>
      <c r="Y212" s="8">
        <f t="shared" si="9"/>
        <v>4723.695652173913</v>
      </c>
      <c r="Z212" s="8">
        <v>3311</v>
      </c>
      <c r="AA212" s="9">
        <v>75</v>
      </c>
    </row>
    <row r="213" spans="2:27" ht="15.75" hidden="1" x14ac:dyDescent="0.25">
      <c r="B213" s="20" t="s">
        <v>114</v>
      </c>
      <c r="C213" s="6">
        <v>28</v>
      </c>
      <c r="D213" s="6">
        <v>54</v>
      </c>
      <c r="E213" s="7">
        <v>42027.399999999994</v>
      </c>
      <c r="F213" s="7">
        <v>265665</v>
      </c>
      <c r="G213" s="7"/>
      <c r="H213" s="8">
        <f t="shared" si="10"/>
        <v>778.28518518518513</v>
      </c>
      <c r="I213" s="8">
        <f t="shared" si="11"/>
        <v>4919.7222222222226</v>
      </c>
      <c r="J213" s="8">
        <v>3286</v>
      </c>
      <c r="K213" s="18">
        <v>85.791666666666657</v>
      </c>
      <c r="S213" s="5" t="s">
        <v>47</v>
      </c>
      <c r="T213" s="6">
        <v>41</v>
      </c>
      <c r="U213" s="6">
        <v>270</v>
      </c>
      <c r="V213" s="7">
        <v>49112.74</v>
      </c>
      <c r="W213" s="7">
        <v>2113110</v>
      </c>
      <c r="X213" s="8">
        <f t="shared" si="8"/>
        <v>181.89903703703703</v>
      </c>
      <c r="Y213" s="8">
        <f t="shared" si="9"/>
        <v>7826.333333333333</v>
      </c>
      <c r="Z213" s="8">
        <v>3311</v>
      </c>
      <c r="AA213" s="9">
        <v>78</v>
      </c>
    </row>
    <row r="214" spans="2:27" ht="15.75" hidden="1" x14ac:dyDescent="0.25">
      <c r="B214" s="20" t="s">
        <v>115</v>
      </c>
      <c r="C214" s="6">
        <v>27</v>
      </c>
      <c r="D214" s="6">
        <v>56</v>
      </c>
      <c r="E214" s="7">
        <v>37940.300000000003</v>
      </c>
      <c r="F214" s="7">
        <v>238005</v>
      </c>
      <c r="G214" s="7"/>
      <c r="H214" s="8">
        <f t="shared" si="10"/>
        <v>677.50535714285718</v>
      </c>
      <c r="I214" s="8">
        <f t="shared" si="11"/>
        <v>4250.0892857142853</v>
      </c>
      <c r="J214" s="8">
        <v>3286</v>
      </c>
      <c r="K214" s="18">
        <v>86.262500000000003</v>
      </c>
      <c r="S214" s="5" t="s">
        <v>48</v>
      </c>
      <c r="T214" s="6">
        <v>33</v>
      </c>
      <c r="U214" s="6">
        <v>54</v>
      </c>
      <c r="V214" s="7">
        <v>43697.1</v>
      </c>
      <c r="W214" s="7">
        <v>256279</v>
      </c>
      <c r="X214" s="8">
        <f t="shared" si="8"/>
        <v>809.20555555555552</v>
      </c>
      <c r="Y214" s="8">
        <f t="shared" si="9"/>
        <v>4745.9074074074078</v>
      </c>
      <c r="Z214" s="8">
        <v>3221</v>
      </c>
      <c r="AA214" s="9">
        <v>83.4</v>
      </c>
    </row>
    <row r="215" spans="2:27" ht="15.75" hidden="1" x14ac:dyDescent="0.25">
      <c r="B215" s="20" t="s">
        <v>116</v>
      </c>
      <c r="C215" s="6">
        <v>27</v>
      </c>
      <c r="D215" s="6">
        <v>56</v>
      </c>
      <c r="E215" s="7">
        <v>37940.300000000003</v>
      </c>
      <c r="F215" s="7">
        <v>238005</v>
      </c>
      <c r="G215" s="7"/>
      <c r="H215" s="8">
        <f t="shared" si="10"/>
        <v>677.50535714285718</v>
      </c>
      <c r="I215" s="8">
        <f t="shared" si="11"/>
        <v>4250.0892857142853</v>
      </c>
      <c r="J215" s="8">
        <v>3286</v>
      </c>
      <c r="K215" s="18">
        <v>85.791666666666657</v>
      </c>
      <c r="S215" s="5" t="s">
        <v>49</v>
      </c>
      <c r="T215" s="6">
        <v>35</v>
      </c>
      <c r="U215" s="6">
        <v>57</v>
      </c>
      <c r="V215" s="7">
        <v>43104.800000000003</v>
      </c>
      <c r="W215" s="7">
        <v>269940</v>
      </c>
      <c r="X215" s="8">
        <f t="shared" si="8"/>
        <v>756.2245614035088</v>
      </c>
      <c r="Y215" s="8">
        <f t="shared" si="9"/>
        <v>4735.7894736842109</v>
      </c>
      <c r="Z215" s="8">
        <v>3305</v>
      </c>
      <c r="AA215" s="9">
        <v>83.6</v>
      </c>
    </row>
    <row r="216" spans="2:27" ht="15.75" hidden="1" x14ac:dyDescent="0.25">
      <c r="B216" s="20" t="s">
        <v>117</v>
      </c>
      <c r="C216" s="6">
        <v>28</v>
      </c>
      <c r="D216" s="6">
        <v>49</v>
      </c>
      <c r="E216" s="7">
        <v>37935.1</v>
      </c>
      <c r="F216" s="7">
        <v>229898</v>
      </c>
      <c r="G216" s="7"/>
      <c r="H216" s="8">
        <f t="shared" si="10"/>
        <v>774.18571428571431</v>
      </c>
      <c r="I216" s="8">
        <f t="shared" si="11"/>
        <v>4691.7959183673465</v>
      </c>
      <c r="J216" s="8">
        <v>3319</v>
      </c>
      <c r="K216" s="18">
        <v>85.5</v>
      </c>
      <c r="S216" s="5" t="s">
        <v>50</v>
      </c>
      <c r="T216" s="6">
        <v>36</v>
      </c>
      <c r="U216" s="6">
        <v>58</v>
      </c>
      <c r="V216" s="7">
        <v>44765.299999999988</v>
      </c>
      <c r="W216" s="7">
        <v>267238</v>
      </c>
      <c r="X216" s="8">
        <f t="shared" si="8"/>
        <v>771.8155172413791</v>
      </c>
      <c r="Y216" s="8">
        <f t="shared" si="9"/>
        <v>4607.5517241379312</v>
      </c>
      <c r="Z216" s="8">
        <v>3221</v>
      </c>
      <c r="AA216" s="9">
        <v>84</v>
      </c>
    </row>
    <row r="217" spans="2:27" ht="15.75" hidden="1" x14ac:dyDescent="0.25">
      <c r="B217" s="20" t="s">
        <v>118</v>
      </c>
      <c r="C217" s="6">
        <v>30</v>
      </c>
      <c r="D217" s="6">
        <v>51</v>
      </c>
      <c r="E217" s="7">
        <v>39809.599999999999</v>
      </c>
      <c r="F217" s="7">
        <v>244639</v>
      </c>
      <c r="G217" s="7"/>
      <c r="H217" s="8">
        <f t="shared" si="10"/>
        <v>780.58039215686267</v>
      </c>
      <c r="I217" s="8">
        <f t="shared" si="11"/>
        <v>4796.8431372549021</v>
      </c>
      <c r="J217" s="8">
        <v>3363</v>
      </c>
      <c r="K217" s="18">
        <v>85.408333333333346</v>
      </c>
      <c r="S217" s="5" t="s">
        <v>51</v>
      </c>
      <c r="T217" s="6">
        <v>37</v>
      </c>
      <c r="U217" s="6">
        <v>141</v>
      </c>
      <c r="V217" s="7">
        <v>23892.1</v>
      </c>
      <c r="W217" s="7">
        <v>1104003</v>
      </c>
      <c r="X217" s="8">
        <f t="shared" si="8"/>
        <v>169.44751773049646</v>
      </c>
      <c r="Y217" s="8">
        <f t="shared" si="9"/>
        <v>7829.8085106382978</v>
      </c>
      <c r="Z217" s="8">
        <v>3276</v>
      </c>
      <c r="AA217" s="9">
        <v>85</v>
      </c>
    </row>
    <row r="218" spans="2:27" ht="15.75" hidden="1" x14ac:dyDescent="0.25">
      <c r="B218" s="20" t="s">
        <v>119</v>
      </c>
      <c r="C218" s="6">
        <v>31</v>
      </c>
      <c r="D218" s="6">
        <v>48</v>
      </c>
      <c r="E218" s="7">
        <v>38713.599999999999</v>
      </c>
      <c r="F218" s="7">
        <v>244595</v>
      </c>
      <c r="G218" s="7"/>
      <c r="H218" s="8">
        <f t="shared" si="10"/>
        <v>806.5333333333333</v>
      </c>
      <c r="I218" s="8">
        <f t="shared" si="11"/>
        <v>5095.729166666667</v>
      </c>
      <c r="J218" s="8">
        <v>3315</v>
      </c>
      <c r="K218" s="18">
        <v>85.166666666666671</v>
      </c>
      <c r="S218" s="5" t="s">
        <v>52</v>
      </c>
      <c r="T218" s="6">
        <v>34</v>
      </c>
      <c r="U218" s="6">
        <v>64</v>
      </c>
      <c r="V218" s="7">
        <v>44379.199999999997</v>
      </c>
      <c r="W218" s="7">
        <v>264163</v>
      </c>
      <c r="X218" s="8">
        <f t="shared" si="8"/>
        <v>693.42499999999995</v>
      </c>
      <c r="Y218" s="8">
        <f t="shared" si="9"/>
        <v>4127.546875</v>
      </c>
      <c r="Z218" s="8">
        <v>3213</v>
      </c>
      <c r="AA218" s="9">
        <v>83</v>
      </c>
    </row>
    <row r="219" spans="2:27" ht="15.75" hidden="1" x14ac:dyDescent="0.25">
      <c r="B219" s="20" t="s">
        <v>120</v>
      </c>
      <c r="C219" s="6">
        <v>34</v>
      </c>
      <c r="D219" s="21">
        <v>62</v>
      </c>
      <c r="E219" s="7">
        <v>43215.110000000015</v>
      </c>
      <c r="F219" s="7">
        <v>262445</v>
      </c>
      <c r="G219" s="7"/>
      <c r="H219" s="8">
        <f t="shared" si="10"/>
        <v>697.01790322580666</v>
      </c>
      <c r="I219" s="8">
        <f t="shared" si="11"/>
        <v>4232.9838709677415</v>
      </c>
      <c r="J219" s="8">
        <v>3398</v>
      </c>
      <c r="K219" s="18">
        <v>86.464285714285722</v>
      </c>
      <c r="S219" s="5" t="s">
        <v>53</v>
      </c>
      <c r="T219" s="6">
        <v>38</v>
      </c>
      <c r="U219" s="6">
        <v>72</v>
      </c>
      <c r="V219" s="7">
        <v>49400.499999999993</v>
      </c>
      <c r="W219" s="7">
        <v>300095</v>
      </c>
      <c r="X219" s="8">
        <f t="shared" si="8"/>
        <v>686.11805555555543</v>
      </c>
      <c r="Y219" s="8">
        <f t="shared" si="9"/>
        <v>4167.9861111111113</v>
      </c>
      <c r="Z219" s="8">
        <v>3218</v>
      </c>
      <c r="AA219" s="9">
        <v>85</v>
      </c>
    </row>
    <row r="220" spans="2:27" ht="15.75" hidden="1" x14ac:dyDescent="0.25">
      <c r="B220" s="20" t="s">
        <v>121</v>
      </c>
      <c r="C220" s="6">
        <v>37</v>
      </c>
      <c r="D220" s="21">
        <v>60</v>
      </c>
      <c r="E220" s="7">
        <v>43177.8</v>
      </c>
      <c r="F220" s="7">
        <v>254585</v>
      </c>
      <c r="G220" s="7"/>
      <c r="H220" s="8">
        <f t="shared" si="10"/>
        <v>719.63</v>
      </c>
      <c r="I220" s="8">
        <f t="shared" si="11"/>
        <v>4243.083333333333</v>
      </c>
      <c r="J220" s="8">
        <v>3354</v>
      </c>
      <c r="K220" s="18">
        <v>85.126666666666665</v>
      </c>
      <c r="S220" s="5" t="s">
        <v>54</v>
      </c>
      <c r="T220" s="6">
        <v>35</v>
      </c>
      <c r="U220" s="6">
        <v>63</v>
      </c>
      <c r="V220" s="7">
        <v>42582.600000000006</v>
      </c>
      <c r="W220" s="7">
        <v>254625</v>
      </c>
      <c r="X220" s="8">
        <f t="shared" si="8"/>
        <v>675.91428571428582</v>
      </c>
      <c r="Y220" s="8">
        <f t="shared" si="9"/>
        <v>4041.6666666666665</v>
      </c>
      <c r="Z220" s="8">
        <v>3312</v>
      </c>
      <c r="AA220" s="9">
        <v>85</v>
      </c>
    </row>
    <row r="221" spans="2:27" ht="15.75" hidden="1" x14ac:dyDescent="0.25">
      <c r="B221" s="20" t="s">
        <v>122</v>
      </c>
      <c r="C221" s="6">
        <v>36</v>
      </c>
      <c r="D221" s="21">
        <v>60</v>
      </c>
      <c r="E221" s="7">
        <v>43378.999999999993</v>
      </c>
      <c r="F221" s="7">
        <v>262266</v>
      </c>
      <c r="G221" s="7"/>
      <c r="H221" s="8">
        <f t="shared" si="10"/>
        <v>722.98333333333323</v>
      </c>
      <c r="I221" s="8">
        <f t="shared" si="11"/>
        <v>4371.1000000000004</v>
      </c>
      <c r="J221" s="8">
        <v>3354</v>
      </c>
      <c r="K221" s="18">
        <v>83.990476190476187</v>
      </c>
      <c r="S221" s="5" t="s">
        <v>55</v>
      </c>
      <c r="T221" s="6">
        <v>34</v>
      </c>
      <c r="U221" s="6">
        <v>70</v>
      </c>
      <c r="V221" s="7">
        <v>47919.6</v>
      </c>
      <c r="W221" s="7">
        <v>281727</v>
      </c>
      <c r="X221" s="8">
        <f t="shared" si="8"/>
        <v>684.56571428571431</v>
      </c>
      <c r="Y221" s="8">
        <f t="shared" si="9"/>
        <v>4024.6714285714284</v>
      </c>
      <c r="Z221" s="8">
        <v>3295</v>
      </c>
      <c r="AA221" s="9">
        <v>83</v>
      </c>
    </row>
    <row r="222" spans="2:27" ht="15.75" hidden="1" x14ac:dyDescent="0.25">
      <c r="B222" s="20" t="s">
        <v>123</v>
      </c>
      <c r="C222" s="6">
        <v>38</v>
      </c>
      <c r="D222" s="21">
        <v>240</v>
      </c>
      <c r="E222" s="7">
        <v>46753.480000000032</v>
      </c>
      <c r="F222" s="7">
        <v>2061600</v>
      </c>
      <c r="G222" s="7"/>
      <c r="H222" s="8">
        <f t="shared" si="10"/>
        <v>194.8061666666668</v>
      </c>
      <c r="I222" s="8">
        <f t="shared" si="11"/>
        <v>8590</v>
      </c>
      <c r="J222" s="8">
        <v>3354</v>
      </c>
      <c r="K222" s="18">
        <v>84.86666666666666</v>
      </c>
      <c r="S222" s="5" t="s">
        <v>56</v>
      </c>
      <c r="T222" s="6">
        <v>33</v>
      </c>
      <c r="U222" s="6">
        <v>61</v>
      </c>
      <c r="V222" s="7">
        <v>46432.299999999981</v>
      </c>
      <c r="W222" s="7">
        <v>281941</v>
      </c>
      <c r="X222" s="8">
        <f t="shared" si="8"/>
        <v>761.18524590163906</v>
      </c>
      <c r="Y222" s="8">
        <f t="shared" si="9"/>
        <v>4621.9836065573772</v>
      </c>
      <c r="Z222" s="8">
        <v>3274</v>
      </c>
      <c r="AA222" s="9">
        <v>83</v>
      </c>
    </row>
    <row r="223" spans="2:27" ht="15.75" hidden="1" x14ac:dyDescent="0.25">
      <c r="B223" s="20" t="s">
        <v>124</v>
      </c>
      <c r="C223" s="21">
        <v>38</v>
      </c>
      <c r="D223" s="21">
        <v>63</v>
      </c>
      <c r="E223" s="7">
        <v>48815.900000000009</v>
      </c>
      <c r="F223" s="7">
        <v>304256</v>
      </c>
      <c r="G223" s="7"/>
      <c r="H223" s="8">
        <f t="shared" si="10"/>
        <v>774.85555555555572</v>
      </c>
      <c r="I223" s="8">
        <f t="shared" si="11"/>
        <v>4829.4603174603171</v>
      </c>
      <c r="J223" s="8">
        <v>3354</v>
      </c>
      <c r="K223" s="18">
        <v>83.833333333333343</v>
      </c>
      <c r="S223" s="5" t="s">
        <v>57</v>
      </c>
      <c r="T223" s="6">
        <v>26</v>
      </c>
      <c r="U223" s="6">
        <v>51</v>
      </c>
      <c r="V223" s="7">
        <v>35884.099999999991</v>
      </c>
      <c r="W223" s="7">
        <v>218241</v>
      </c>
      <c r="X223" s="8">
        <f t="shared" si="8"/>
        <v>703.60980392156841</v>
      </c>
      <c r="Y223" s="8">
        <f t="shared" si="9"/>
        <v>4279.2352941176468</v>
      </c>
      <c r="Z223" s="8">
        <v>3279</v>
      </c>
      <c r="AA223" s="9">
        <v>86</v>
      </c>
    </row>
    <row r="224" spans="2:27" ht="15.75" hidden="1" x14ac:dyDescent="0.25">
      <c r="B224" s="20" t="s">
        <v>125</v>
      </c>
      <c r="C224" s="21">
        <v>38</v>
      </c>
      <c r="D224" s="21">
        <v>72</v>
      </c>
      <c r="E224" s="7">
        <v>48719</v>
      </c>
      <c r="F224" s="7">
        <v>3033250</v>
      </c>
      <c r="G224" s="7"/>
      <c r="H224" s="8">
        <f t="shared" si="10"/>
        <v>676.65277777777783</v>
      </c>
      <c r="I224" s="8">
        <f t="shared" si="11"/>
        <v>42128.472222222219</v>
      </c>
      <c r="J224" s="8">
        <v>3354</v>
      </c>
      <c r="K224" s="18">
        <v>84.171428571428578</v>
      </c>
      <c r="S224" s="5" t="s">
        <v>58</v>
      </c>
      <c r="T224" s="6">
        <v>29</v>
      </c>
      <c r="U224" s="6">
        <v>56</v>
      </c>
      <c r="V224" s="7">
        <v>41044.399999999987</v>
      </c>
      <c r="W224" s="7">
        <v>245314</v>
      </c>
      <c r="X224" s="8">
        <f t="shared" si="8"/>
        <v>732.93571428571408</v>
      </c>
      <c r="Y224" s="8">
        <f t="shared" si="9"/>
        <v>4380.6071428571431</v>
      </c>
      <c r="Z224" s="8">
        <v>3309</v>
      </c>
      <c r="AA224" s="9">
        <v>84</v>
      </c>
    </row>
    <row r="225" spans="2:27" ht="15.75" hidden="1" x14ac:dyDescent="0.25">
      <c r="B225" s="20" t="s">
        <v>126</v>
      </c>
      <c r="C225" s="21">
        <v>34</v>
      </c>
      <c r="D225" s="21">
        <v>66</v>
      </c>
      <c r="E225" s="7">
        <v>46336.729999999996</v>
      </c>
      <c r="F225" s="7">
        <v>289757</v>
      </c>
      <c r="G225" s="7"/>
      <c r="H225" s="8">
        <f t="shared" si="10"/>
        <v>702.0716666666666</v>
      </c>
      <c r="I225" s="8">
        <f t="shared" si="11"/>
        <v>4390.257575757576</v>
      </c>
      <c r="J225" s="8">
        <v>3406</v>
      </c>
      <c r="K225" s="18">
        <v>84.314285714285717</v>
      </c>
      <c r="S225" s="5" t="s">
        <v>9</v>
      </c>
      <c r="T225" s="6">
        <v>21</v>
      </c>
      <c r="U225" s="6">
        <v>44</v>
      </c>
      <c r="V225" s="7">
        <v>31471.400000000009</v>
      </c>
      <c r="W225" s="7">
        <v>197515</v>
      </c>
      <c r="X225" s="8">
        <f t="shared" si="8"/>
        <v>715.25909090909113</v>
      </c>
      <c r="Y225" s="8">
        <f t="shared" si="9"/>
        <v>4488.977272727273</v>
      </c>
      <c r="Z225" s="8">
        <v>3247</v>
      </c>
      <c r="AA225" s="9">
        <v>84</v>
      </c>
    </row>
    <row r="226" spans="2:27" ht="15" hidden="1" customHeight="1" x14ac:dyDescent="0.25">
      <c r="B226" s="20" t="s">
        <v>127</v>
      </c>
      <c r="C226" s="21">
        <v>36</v>
      </c>
      <c r="D226" s="21">
        <v>69</v>
      </c>
      <c r="E226" s="7">
        <v>45764.19999999999</v>
      </c>
      <c r="F226" s="7">
        <v>291412</v>
      </c>
      <c r="G226" s="7"/>
      <c r="H226" s="8">
        <f t="shared" si="10"/>
        <v>663.24927536231871</v>
      </c>
      <c r="I226" s="8">
        <f t="shared" si="11"/>
        <v>4223.36231884058</v>
      </c>
      <c r="J226" s="8">
        <v>3406</v>
      </c>
      <c r="K226" s="18">
        <v>85.068571428571431</v>
      </c>
      <c r="S226" s="5" t="s">
        <v>10</v>
      </c>
      <c r="T226" s="6">
        <v>23</v>
      </c>
      <c r="U226" s="6">
        <v>47</v>
      </c>
      <c r="V226" s="7">
        <v>30573</v>
      </c>
      <c r="W226" s="7">
        <v>180212</v>
      </c>
      <c r="X226" s="8">
        <f t="shared" si="8"/>
        <v>650.48936170212767</v>
      </c>
      <c r="Y226" s="8">
        <f t="shared" si="9"/>
        <v>3834.2978723404253</v>
      </c>
      <c r="Z226" s="8">
        <v>3361</v>
      </c>
      <c r="AA226" s="9">
        <v>84</v>
      </c>
    </row>
    <row r="227" spans="2:27" ht="15.75" hidden="1" x14ac:dyDescent="0.25">
      <c r="B227" s="20" t="s">
        <v>128</v>
      </c>
      <c r="C227" s="21">
        <v>41</v>
      </c>
      <c r="D227" s="21">
        <v>74</v>
      </c>
      <c r="E227" s="7">
        <v>58140.899999999987</v>
      </c>
      <c r="F227" s="7">
        <v>355765</v>
      </c>
      <c r="G227" s="7"/>
      <c r="H227" s="8">
        <f t="shared" si="10"/>
        <v>785.68783783783761</v>
      </c>
      <c r="I227" s="8">
        <f t="shared" si="11"/>
        <v>4807.635135135135</v>
      </c>
      <c r="J227" s="8">
        <v>3312</v>
      </c>
      <c r="K227" s="18">
        <v>86.071428571428555</v>
      </c>
      <c r="S227" s="5" t="s">
        <v>11</v>
      </c>
      <c r="T227" s="6">
        <v>39</v>
      </c>
      <c r="U227" s="6">
        <v>75</v>
      </c>
      <c r="V227" s="7">
        <v>51797.600000000006</v>
      </c>
      <c r="W227" s="7">
        <v>322705</v>
      </c>
      <c r="X227" s="8">
        <f t="shared" si="8"/>
        <v>690.6346666666667</v>
      </c>
      <c r="Y227" s="8">
        <f t="shared" si="9"/>
        <v>4302.7333333333336</v>
      </c>
      <c r="Z227" s="8">
        <v>3274</v>
      </c>
      <c r="AA227" s="9">
        <v>87</v>
      </c>
    </row>
    <row r="228" spans="2:27" ht="15.75" hidden="1" x14ac:dyDescent="0.25">
      <c r="B228" s="20" t="s">
        <v>129</v>
      </c>
      <c r="C228" s="21">
        <v>33</v>
      </c>
      <c r="D228" s="21">
        <v>64</v>
      </c>
      <c r="E228" s="7">
        <v>47160</v>
      </c>
      <c r="F228" s="7">
        <v>285208</v>
      </c>
      <c r="G228" s="7"/>
      <c r="H228" s="8">
        <f t="shared" si="10"/>
        <v>736.875</v>
      </c>
      <c r="I228" s="8">
        <f t="shared" si="11"/>
        <v>4456.375</v>
      </c>
      <c r="J228" s="8">
        <v>3300</v>
      </c>
      <c r="K228" s="18">
        <v>88.285714285714292</v>
      </c>
      <c r="S228" s="13" t="s">
        <v>12</v>
      </c>
      <c r="T228" s="14">
        <v>35</v>
      </c>
      <c r="U228" s="15">
        <v>74</v>
      </c>
      <c r="V228" s="15">
        <v>48280.4</v>
      </c>
      <c r="W228" s="15">
        <v>289210</v>
      </c>
      <c r="X228" s="8">
        <f t="shared" si="8"/>
        <v>652.43783783783783</v>
      </c>
      <c r="Y228" s="8">
        <f t="shared" si="9"/>
        <v>3908.2432432432433</v>
      </c>
      <c r="Z228" s="8">
        <v>3274</v>
      </c>
      <c r="AA228" s="9">
        <v>86</v>
      </c>
    </row>
    <row r="229" spans="2:27" ht="15.75" hidden="1" x14ac:dyDescent="0.25">
      <c r="B229" s="20" t="s">
        <v>130</v>
      </c>
      <c r="C229" s="21">
        <v>33</v>
      </c>
      <c r="D229" s="21">
        <v>64</v>
      </c>
      <c r="E229" s="7">
        <v>47160</v>
      </c>
      <c r="F229" s="7">
        <v>285208</v>
      </c>
      <c r="G229" s="7"/>
      <c r="H229" s="8">
        <f t="shared" si="10"/>
        <v>736.875</v>
      </c>
      <c r="I229" s="8">
        <f t="shared" si="11"/>
        <v>4456.375</v>
      </c>
      <c r="J229" s="8">
        <v>3300</v>
      </c>
      <c r="K229" s="18">
        <v>84.535714285714278</v>
      </c>
      <c r="S229" s="5" t="s">
        <v>13</v>
      </c>
      <c r="T229" s="6">
        <v>32</v>
      </c>
      <c r="U229" s="6">
        <v>63</v>
      </c>
      <c r="V229" s="7">
        <v>43314.000000000015</v>
      </c>
      <c r="W229" s="7">
        <v>268710</v>
      </c>
      <c r="X229" s="8">
        <f t="shared" si="8"/>
        <v>687.52380952380975</v>
      </c>
      <c r="Y229" s="8">
        <f t="shared" si="9"/>
        <v>4265.2380952380954</v>
      </c>
      <c r="Z229" s="8">
        <v>3198</v>
      </c>
      <c r="AA229" s="9">
        <v>88</v>
      </c>
    </row>
    <row r="230" spans="2:27" ht="15.75" hidden="1" x14ac:dyDescent="0.25">
      <c r="B230" s="20" t="s">
        <v>131</v>
      </c>
      <c r="C230" s="21">
        <v>17</v>
      </c>
      <c r="D230" s="21">
        <v>33</v>
      </c>
      <c r="E230" s="7">
        <v>19683.099999999995</v>
      </c>
      <c r="F230" s="7">
        <v>116823</v>
      </c>
      <c r="G230" s="7"/>
      <c r="H230" s="8">
        <f t="shared" si="10"/>
        <v>596.45757575757557</v>
      </c>
      <c r="I230" s="8">
        <f t="shared" si="11"/>
        <v>3540.090909090909</v>
      </c>
      <c r="J230" s="8">
        <v>3316</v>
      </c>
      <c r="K230" s="18">
        <v>83.416666666666671</v>
      </c>
      <c r="S230" s="5" t="s">
        <v>14</v>
      </c>
      <c r="T230" s="14">
        <v>35</v>
      </c>
      <c r="U230" s="15">
        <v>78</v>
      </c>
      <c r="V230" s="15">
        <v>54194.700000000004</v>
      </c>
      <c r="W230" s="7">
        <v>340045</v>
      </c>
      <c r="X230" s="8">
        <f t="shared" si="8"/>
        <v>694.80384615384617</v>
      </c>
      <c r="Y230" s="8">
        <f t="shared" si="9"/>
        <v>4359.5512820512822</v>
      </c>
      <c r="Z230" s="8">
        <v>3180</v>
      </c>
      <c r="AA230" s="9">
        <v>83</v>
      </c>
    </row>
    <row r="231" spans="2:27" ht="15.75" hidden="1" x14ac:dyDescent="0.25">
      <c r="B231" s="20" t="s">
        <v>132</v>
      </c>
      <c r="C231" s="21">
        <v>33</v>
      </c>
      <c r="D231" s="21">
        <v>69</v>
      </c>
      <c r="E231" s="7">
        <v>43500.000000000015</v>
      </c>
      <c r="F231" s="7">
        <v>279459</v>
      </c>
      <c r="G231" s="7"/>
      <c r="H231" s="8">
        <f t="shared" si="10"/>
        <v>630.43478260869585</v>
      </c>
      <c r="I231" s="8">
        <f t="shared" si="11"/>
        <v>4050.1304347826085</v>
      </c>
      <c r="J231" s="8">
        <v>3237</v>
      </c>
      <c r="K231" s="18">
        <v>81.2</v>
      </c>
      <c r="S231" s="5" t="s">
        <v>15</v>
      </c>
      <c r="T231" s="6">
        <v>31</v>
      </c>
      <c r="U231" s="6">
        <v>64</v>
      </c>
      <c r="V231" s="7">
        <v>48137.4</v>
      </c>
      <c r="W231" s="7">
        <v>291085</v>
      </c>
      <c r="X231" s="8">
        <f t="shared" si="8"/>
        <v>752.14687500000002</v>
      </c>
      <c r="Y231" s="8">
        <f t="shared" si="9"/>
        <v>4548.203125</v>
      </c>
      <c r="Z231" s="8">
        <v>3239</v>
      </c>
      <c r="AA231" s="9">
        <v>81</v>
      </c>
    </row>
    <row r="232" spans="2:27" hidden="1" x14ac:dyDescent="0.25">
      <c r="B232" s="20" t="s">
        <v>133</v>
      </c>
      <c r="C232" s="21">
        <v>35</v>
      </c>
      <c r="D232" s="21">
        <v>68</v>
      </c>
      <c r="E232" s="7">
        <v>45507.700000000012</v>
      </c>
      <c r="F232" s="7">
        <v>293510</v>
      </c>
      <c r="G232" s="7"/>
      <c r="H232" s="8">
        <f t="shared" si="10"/>
        <v>669.23088235294131</v>
      </c>
      <c r="I232" s="8">
        <f t="shared" si="11"/>
        <v>4316.3235294117649</v>
      </c>
      <c r="J232" s="8">
        <v>3237</v>
      </c>
      <c r="K232" s="18">
        <v>85.460606060606068</v>
      </c>
    </row>
    <row r="233" spans="2:27" hidden="1" x14ac:dyDescent="0.25">
      <c r="B233" s="20" t="s">
        <v>134</v>
      </c>
      <c r="C233" s="21">
        <v>33</v>
      </c>
      <c r="D233" s="21">
        <v>62</v>
      </c>
      <c r="E233" s="7">
        <v>43171.6</v>
      </c>
      <c r="F233" s="7">
        <v>268532</v>
      </c>
      <c r="G233" s="7"/>
      <c r="H233" s="8">
        <f t="shared" si="10"/>
        <v>696.316129032258</v>
      </c>
      <c r="I233" s="8">
        <f t="shared" si="11"/>
        <v>4331.1612903225805</v>
      </c>
      <c r="J233" s="8">
        <v>3250</v>
      </c>
      <c r="K233" s="18">
        <v>82.63333333333334</v>
      </c>
    </row>
    <row r="234" spans="2:27" hidden="1" x14ac:dyDescent="0.25">
      <c r="B234" s="20" t="s">
        <v>135</v>
      </c>
      <c r="C234" s="21">
        <v>29</v>
      </c>
      <c r="D234" s="21">
        <v>56</v>
      </c>
      <c r="E234" s="7">
        <v>43356.499999999993</v>
      </c>
      <c r="F234" s="7">
        <v>270731</v>
      </c>
      <c r="G234" s="7"/>
      <c r="H234" s="8">
        <f t="shared" si="10"/>
        <v>774.22321428571411</v>
      </c>
      <c r="I234" s="8">
        <f t="shared" si="11"/>
        <v>4834.4821428571431</v>
      </c>
      <c r="J234" s="8">
        <v>3376</v>
      </c>
      <c r="K234" s="18">
        <v>83.033333333333331</v>
      </c>
    </row>
    <row r="235" spans="2:27" hidden="1" x14ac:dyDescent="0.25">
      <c r="B235" s="20" t="s">
        <v>136</v>
      </c>
      <c r="C235" s="21">
        <v>28</v>
      </c>
      <c r="D235" s="21">
        <v>56</v>
      </c>
      <c r="E235" s="7">
        <v>42957.30000000001</v>
      </c>
      <c r="F235" s="7">
        <v>260515</v>
      </c>
      <c r="G235" s="7"/>
      <c r="H235" s="8">
        <f t="shared" si="10"/>
        <v>767.09464285714307</v>
      </c>
      <c r="I235" s="8">
        <f t="shared" si="11"/>
        <v>4652.0535714285716</v>
      </c>
      <c r="J235" s="8">
        <v>3376</v>
      </c>
      <c r="K235" s="18">
        <v>81.468205128205128</v>
      </c>
    </row>
    <row r="236" spans="2:27" hidden="1" x14ac:dyDescent="0.25">
      <c r="B236" s="20" t="s">
        <v>137</v>
      </c>
      <c r="C236" s="21">
        <v>28</v>
      </c>
      <c r="D236" s="21">
        <v>54</v>
      </c>
      <c r="E236" s="7">
        <v>39406.899999999994</v>
      </c>
      <c r="F236" s="7">
        <v>278002</v>
      </c>
      <c r="G236" s="7"/>
      <c r="H236" s="8">
        <f t="shared" si="10"/>
        <v>729.7574074074073</v>
      </c>
      <c r="I236" s="8">
        <f t="shared" si="11"/>
        <v>5148.1851851851852</v>
      </c>
      <c r="J236" s="8">
        <v>3230</v>
      </c>
      <c r="K236" s="18">
        <v>82.066666666666677</v>
      </c>
    </row>
    <row r="237" spans="2:27" hidden="1" x14ac:dyDescent="0.25">
      <c r="B237" s="20" t="s">
        <v>138</v>
      </c>
      <c r="C237" s="21">
        <f>[1]ENGOM!A2</f>
        <v>34</v>
      </c>
      <c r="D237" s="21">
        <v>52</v>
      </c>
      <c r="E237" s="7">
        <v>41476.600000000006</v>
      </c>
      <c r="F237" s="7">
        <v>259090</v>
      </c>
      <c r="G237" s="7"/>
      <c r="H237" s="8">
        <f t="shared" si="10"/>
        <v>797.62692307692316</v>
      </c>
      <c r="I237" s="8">
        <f t="shared" si="11"/>
        <v>4982.5</v>
      </c>
      <c r="J237" s="8">
        <v>3308</v>
      </c>
      <c r="K237" s="18">
        <v>82.286666666666662</v>
      </c>
    </row>
    <row r="238" spans="2:27" hidden="1" x14ac:dyDescent="0.25">
      <c r="B238" s="20" t="s">
        <v>139</v>
      </c>
      <c r="C238" s="21">
        <v>34</v>
      </c>
      <c r="D238" s="21">
        <v>62</v>
      </c>
      <c r="E238" s="7">
        <v>46363.099999999991</v>
      </c>
      <c r="F238" s="7">
        <v>272334</v>
      </c>
      <c r="G238" s="7"/>
      <c r="H238" s="8">
        <f t="shared" si="10"/>
        <v>747.79193548387082</v>
      </c>
      <c r="I238" s="8">
        <f t="shared" si="11"/>
        <v>4392.4838709677415</v>
      </c>
      <c r="J238" s="8">
        <v>3348</v>
      </c>
      <c r="K238" s="18">
        <v>83.74</v>
      </c>
    </row>
    <row r="239" spans="2:27" hidden="1" x14ac:dyDescent="0.25">
      <c r="B239" s="20" t="s">
        <v>140</v>
      </c>
      <c r="C239" s="21">
        <v>30</v>
      </c>
      <c r="D239" s="21">
        <v>54</v>
      </c>
      <c r="E239" s="7">
        <v>43703.799999999981</v>
      </c>
      <c r="F239" s="7">
        <v>332351</v>
      </c>
      <c r="G239" s="7"/>
      <c r="H239" s="8">
        <f t="shared" si="10"/>
        <v>809.32962962962927</v>
      </c>
      <c r="I239" s="8">
        <f t="shared" si="11"/>
        <v>6154.6481481481478</v>
      </c>
      <c r="J239" s="8">
        <v>3309</v>
      </c>
      <c r="K239" s="18">
        <v>81.23333333333332</v>
      </c>
    </row>
    <row r="240" spans="2:27" hidden="1" x14ac:dyDescent="0.25">
      <c r="B240" s="20" t="s">
        <v>141</v>
      </c>
      <c r="C240" s="21">
        <v>25</v>
      </c>
      <c r="D240" s="21">
        <v>49</v>
      </c>
      <c r="E240" s="7">
        <v>40435.19999999999</v>
      </c>
      <c r="F240" s="7">
        <v>253860</v>
      </c>
      <c r="G240" s="7"/>
      <c r="H240" s="8">
        <f t="shared" si="10"/>
        <v>825.20816326530587</v>
      </c>
      <c r="I240" s="8">
        <f t="shared" si="11"/>
        <v>5180.8163265306121</v>
      </c>
      <c r="J240" s="8">
        <v>3239</v>
      </c>
      <c r="K240" s="18">
        <v>82.933333333333323</v>
      </c>
    </row>
    <row r="241" spans="2:11" hidden="1" x14ac:dyDescent="0.25">
      <c r="B241" s="20" t="s">
        <v>142</v>
      </c>
      <c r="C241" s="21">
        <v>28</v>
      </c>
      <c r="D241" s="21">
        <v>52</v>
      </c>
      <c r="E241" s="7">
        <v>40715</v>
      </c>
      <c r="F241" s="7">
        <v>253072</v>
      </c>
      <c r="G241" s="7"/>
      <c r="H241" s="8">
        <f t="shared" si="10"/>
        <v>782.98076923076928</v>
      </c>
      <c r="I241" s="8">
        <f t="shared" si="11"/>
        <v>4866.7692307692305</v>
      </c>
      <c r="J241" s="8">
        <v>3343</v>
      </c>
      <c r="K241" s="18">
        <v>82.8</v>
      </c>
    </row>
    <row r="242" spans="2:11" hidden="1" x14ac:dyDescent="0.25">
      <c r="B242" s="20" t="s">
        <v>143</v>
      </c>
      <c r="C242" s="21">
        <v>28</v>
      </c>
      <c r="D242" s="21">
        <v>52</v>
      </c>
      <c r="E242" s="7">
        <v>38937.499999999985</v>
      </c>
      <c r="F242" s="7">
        <v>221380</v>
      </c>
      <c r="G242" s="7"/>
      <c r="H242" s="8">
        <f t="shared" si="10"/>
        <v>748.79807692307668</v>
      </c>
      <c r="I242" s="8">
        <f t="shared" si="11"/>
        <v>4257.3076923076924</v>
      </c>
      <c r="J242" s="8">
        <v>3355</v>
      </c>
      <c r="K242" s="18">
        <v>81.809999999999988</v>
      </c>
    </row>
    <row r="243" spans="2:11" hidden="1" x14ac:dyDescent="0.25">
      <c r="B243" s="20" t="s">
        <v>144</v>
      </c>
      <c r="C243" s="21">
        <v>23</v>
      </c>
      <c r="D243" s="21">
        <v>39</v>
      </c>
      <c r="E243" s="7">
        <v>31601.410000000011</v>
      </c>
      <c r="F243" s="7">
        <v>211820</v>
      </c>
      <c r="G243" s="7"/>
      <c r="H243" s="8">
        <f t="shared" si="10"/>
        <v>810.29256410256437</v>
      </c>
      <c r="I243" s="8">
        <f t="shared" si="11"/>
        <v>5431.2820512820517</v>
      </c>
      <c r="J243" s="8">
        <v>3218</v>
      </c>
      <c r="K243" s="18">
        <v>85.458333333333329</v>
      </c>
    </row>
    <row r="244" spans="2:11" hidden="1" x14ac:dyDescent="0.25">
      <c r="B244" s="22" t="s">
        <v>145</v>
      </c>
      <c r="C244" s="21">
        <v>26</v>
      </c>
      <c r="D244" s="21">
        <v>56</v>
      </c>
      <c r="E244" s="7">
        <v>47392.499999999993</v>
      </c>
      <c r="F244" s="7">
        <v>282665</v>
      </c>
      <c r="G244" s="7"/>
      <c r="H244" s="8">
        <f t="shared" si="10"/>
        <v>846.29464285714278</v>
      </c>
      <c r="I244" s="8">
        <f t="shared" si="11"/>
        <v>5047.5892857142853</v>
      </c>
      <c r="J244" s="8">
        <v>3218</v>
      </c>
      <c r="K244" s="18">
        <v>84.625</v>
      </c>
    </row>
    <row r="245" spans="2:11" hidden="1" x14ac:dyDescent="0.25">
      <c r="B245" s="22" t="s">
        <v>146</v>
      </c>
      <c r="C245" s="21">
        <v>30</v>
      </c>
      <c r="D245" s="21">
        <v>49</v>
      </c>
      <c r="E245" s="7">
        <v>37695.5</v>
      </c>
      <c r="F245" s="7">
        <v>218150</v>
      </c>
      <c r="G245" s="7"/>
      <c r="H245" s="8">
        <f t="shared" si="10"/>
        <v>769.29591836734699</v>
      </c>
      <c r="I245" s="8">
        <f t="shared" si="11"/>
        <v>4452.0408163265311</v>
      </c>
      <c r="J245" s="8">
        <v>3492</v>
      </c>
      <c r="K245" s="18">
        <v>90</v>
      </c>
    </row>
    <row r="246" spans="2:11" hidden="1" x14ac:dyDescent="0.25">
      <c r="B246" s="22" t="s">
        <v>147</v>
      </c>
      <c r="C246" s="21">
        <v>27</v>
      </c>
      <c r="D246" s="21">
        <v>49</v>
      </c>
      <c r="E246" s="7">
        <v>39728.099999999984</v>
      </c>
      <c r="F246" s="7">
        <v>255332</v>
      </c>
      <c r="G246" s="7"/>
      <c r="H246" s="8">
        <f t="shared" si="10"/>
        <v>810.77755102040783</v>
      </c>
      <c r="I246" s="8">
        <f t="shared" si="11"/>
        <v>5210.8571428571431</v>
      </c>
      <c r="J246" s="8">
        <v>3239</v>
      </c>
      <c r="K246" s="18">
        <v>83.833333333333343</v>
      </c>
    </row>
    <row r="247" spans="2:11" hidden="1" x14ac:dyDescent="0.25">
      <c r="B247" s="22" t="s">
        <v>148</v>
      </c>
      <c r="C247" s="21">
        <v>28</v>
      </c>
      <c r="D247" s="21">
        <v>52</v>
      </c>
      <c r="E247" s="7">
        <v>39933.700000000004</v>
      </c>
      <c r="F247" s="7">
        <v>238060</v>
      </c>
      <c r="G247" s="7"/>
      <c r="H247" s="8">
        <f t="shared" si="10"/>
        <v>767.95576923076931</v>
      </c>
      <c r="I247" s="8">
        <f t="shared" si="11"/>
        <v>4578.0769230769229</v>
      </c>
      <c r="J247" s="8">
        <v>3400</v>
      </c>
      <c r="K247" s="18">
        <v>83.833333333333343</v>
      </c>
    </row>
    <row r="248" spans="2:11" hidden="1" x14ac:dyDescent="0.25">
      <c r="B248" s="23" t="s">
        <v>149</v>
      </c>
      <c r="C248" s="21">
        <v>25</v>
      </c>
      <c r="D248" s="21">
        <v>47</v>
      </c>
      <c r="E248" s="7">
        <v>39577</v>
      </c>
      <c r="F248" s="7">
        <v>251397</v>
      </c>
      <c r="G248" s="7"/>
      <c r="H248" s="8">
        <f t="shared" si="10"/>
        <v>842.063829787234</v>
      </c>
      <c r="I248" s="8">
        <f t="shared" si="11"/>
        <v>5348.8723404255315</v>
      </c>
      <c r="J248" s="8">
        <v>3358</v>
      </c>
      <c r="K248" s="18">
        <v>81.75833333333334</v>
      </c>
    </row>
    <row r="249" spans="2:11" hidden="1" x14ac:dyDescent="0.25">
      <c r="B249" s="23" t="s">
        <v>150</v>
      </c>
      <c r="C249" s="21">
        <v>28</v>
      </c>
      <c r="D249" s="21">
        <v>52</v>
      </c>
      <c r="E249" s="7">
        <v>35770.399999999994</v>
      </c>
      <c r="F249" s="7">
        <v>203927</v>
      </c>
      <c r="G249" s="7"/>
      <c r="H249" s="8">
        <f t="shared" si="10"/>
        <v>687.89230769230755</v>
      </c>
      <c r="I249" s="8">
        <f t="shared" si="11"/>
        <v>3921.6730769230771</v>
      </c>
      <c r="J249" s="8">
        <v>3395</v>
      </c>
      <c r="K249" s="18">
        <v>81.50833333333334</v>
      </c>
    </row>
    <row r="250" spans="2:11" hidden="1" x14ac:dyDescent="0.25">
      <c r="B250" s="23" t="s">
        <v>151</v>
      </c>
      <c r="C250" s="21">
        <v>32</v>
      </c>
      <c r="D250" s="21">
        <v>57</v>
      </c>
      <c r="E250" s="7">
        <v>44424.600000000006</v>
      </c>
      <c r="F250" s="7">
        <v>281946</v>
      </c>
      <c r="G250" s="7"/>
      <c r="H250" s="8">
        <f t="shared" si="10"/>
        <v>779.37894736842111</v>
      </c>
      <c r="I250" s="8">
        <f t="shared" si="11"/>
        <v>4946.4210526315792</v>
      </c>
      <c r="J250" s="8">
        <v>3540</v>
      </c>
      <c r="K250" s="18">
        <v>82.821428571428569</v>
      </c>
    </row>
    <row r="251" spans="2:11" hidden="1" x14ac:dyDescent="0.25">
      <c r="B251" s="23" t="s">
        <v>152</v>
      </c>
      <c r="C251" s="21">
        <v>31</v>
      </c>
      <c r="D251" s="21">
        <v>57</v>
      </c>
      <c r="E251" s="7">
        <v>42872.299999999996</v>
      </c>
      <c r="F251" s="7">
        <v>261257</v>
      </c>
      <c r="G251" s="7"/>
      <c r="H251" s="8">
        <f t="shared" si="10"/>
        <v>752.14561403508765</v>
      </c>
      <c r="I251" s="8">
        <f t="shared" si="11"/>
        <v>4583.4561403508769</v>
      </c>
      <c r="J251" s="8">
        <v>3418</v>
      </c>
      <c r="K251" s="18">
        <v>83.833333333333343</v>
      </c>
    </row>
    <row r="252" spans="2:11" hidden="1" x14ac:dyDescent="0.25">
      <c r="B252" s="23" t="s">
        <v>153</v>
      </c>
      <c r="C252" s="21">
        <v>18</v>
      </c>
      <c r="D252" s="21">
        <v>35</v>
      </c>
      <c r="E252" s="7">
        <v>26204.7</v>
      </c>
      <c r="F252" s="7">
        <v>169659</v>
      </c>
      <c r="G252" s="7"/>
      <c r="H252" s="8">
        <f t="shared" si="10"/>
        <v>748.70571428571429</v>
      </c>
      <c r="I252" s="8">
        <f t="shared" si="11"/>
        <v>4847.3999999999996</v>
      </c>
      <c r="J252" s="8">
        <v>3343</v>
      </c>
      <c r="K252" s="18">
        <v>82.3125</v>
      </c>
    </row>
    <row r="253" spans="2:11" hidden="1" x14ac:dyDescent="0.25">
      <c r="B253" s="20" t="s">
        <v>154</v>
      </c>
      <c r="C253" s="21">
        <v>20</v>
      </c>
      <c r="D253" s="21">
        <v>49</v>
      </c>
      <c r="E253" s="7">
        <v>33779.899999999994</v>
      </c>
      <c r="F253" s="7">
        <v>202652</v>
      </c>
      <c r="G253" s="7"/>
      <c r="H253" s="8">
        <f t="shared" si="10"/>
        <v>689.38571428571413</v>
      </c>
      <c r="I253" s="8">
        <f t="shared" si="11"/>
        <v>4135.7551020408164</v>
      </c>
      <c r="J253" s="8">
        <v>3343</v>
      </c>
      <c r="K253" s="18">
        <v>85.158333333333331</v>
      </c>
    </row>
    <row r="254" spans="2:11" hidden="1" x14ac:dyDescent="0.25">
      <c r="B254" s="20" t="s">
        <v>155</v>
      </c>
      <c r="C254" s="21">
        <v>31</v>
      </c>
      <c r="D254" s="21">
        <v>53</v>
      </c>
      <c r="E254" s="7">
        <v>38651.799999999996</v>
      </c>
      <c r="F254" s="7">
        <v>239506</v>
      </c>
      <c r="G254" s="7"/>
      <c r="H254" s="8">
        <f t="shared" si="10"/>
        <v>729.27924528301878</v>
      </c>
      <c r="I254" s="8">
        <f t="shared" si="11"/>
        <v>4518.9811320754716</v>
      </c>
      <c r="J254" s="8">
        <v>3298</v>
      </c>
      <c r="K254" s="18">
        <v>82.041666666666657</v>
      </c>
    </row>
    <row r="255" spans="2:11" ht="17.25" customHeight="1" x14ac:dyDescent="0.25">
      <c r="B255" s="24" t="s">
        <v>156</v>
      </c>
      <c r="C255" s="21">
        <v>33</v>
      </c>
      <c r="D255" s="21">
        <v>55</v>
      </c>
      <c r="E255" s="7">
        <v>42135.899999999994</v>
      </c>
      <c r="F255" s="7">
        <v>267116</v>
      </c>
      <c r="G255" s="7"/>
      <c r="H255" s="8">
        <f t="shared" si="10"/>
        <v>766.10727272727263</v>
      </c>
      <c r="I255" s="8">
        <f t="shared" si="11"/>
        <v>4856.6545454545458</v>
      </c>
      <c r="J255" s="8">
        <f>+G255/D255</f>
        <v>0</v>
      </c>
      <c r="K255" s="18">
        <v>82.416666666666657</v>
      </c>
    </row>
    <row r="256" spans="2:11" x14ac:dyDescent="0.25">
      <c r="B256" s="20" t="s">
        <v>157</v>
      </c>
      <c r="C256" s="21">
        <v>30</v>
      </c>
      <c r="D256" s="21">
        <v>56</v>
      </c>
      <c r="E256" s="7">
        <v>36856.999999999993</v>
      </c>
      <c r="F256" s="7">
        <v>235060</v>
      </c>
      <c r="G256" s="7"/>
      <c r="H256" s="8">
        <f t="shared" si="10"/>
        <v>658.16071428571411</v>
      </c>
      <c r="I256" s="8">
        <f t="shared" si="11"/>
        <v>4197.5</v>
      </c>
      <c r="J256" s="8">
        <v>3317</v>
      </c>
      <c r="K256" s="18">
        <v>90</v>
      </c>
    </row>
    <row r="257" spans="2:11" x14ac:dyDescent="0.25">
      <c r="B257" s="20" t="s">
        <v>158</v>
      </c>
      <c r="C257" s="21">
        <v>29</v>
      </c>
      <c r="D257" s="21">
        <v>55</v>
      </c>
      <c r="E257" s="7">
        <v>40263.700000000012</v>
      </c>
      <c r="F257" s="7">
        <v>253370</v>
      </c>
      <c r="G257" s="7"/>
      <c r="H257" s="8">
        <f t="shared" si="10"/>
        <v>732.06727272727289</v>
      </c>
      <c r="I257" s="8">
        <f t="shared" si="11"/>
        <v>4606.727272727273</v>
      </c>
      <c r="J257" s="8">
        <v>3317</v>
      </c>
      <c r="K257" s="18">
        <v>81.25</v>
      </c>
    </row>
    <row r="258" spans="2:11" x14ac:dyDescent="0.25">
      <c r="B258" s="20" t="s">
        <v>159</v>
      </c>
      <c r="C258" s="21">
        <v>30</v>
      </c>
      <c r="D258" s="21">
        <v>57</v>
      </c>
      <c r="E258" s="7">
        <v>41861</v>
      </c>
      <c r="F258" s="7">
        <v>263262</v>
      </c>
      <c r="G258" s="7"/>
      <c r="H258" s="8">
        <f t="shared" si="10"/>
        <v>734.40350877192986</v>
      </c>
      <c r="I258" s="8">
        <f t="shared" si="11"/>
        <v>4618.6315789473683</v>
      </c>
      <c r="J258" s="8">
        <v>3357</v>
      </c>
      <c r="K258" s="18">
        <v>82</v>
      </c>
    </row>
    <row r="259" spans="2:11" x14ac:dyDescent="0.25">
      <c r="B259" s="20" t="s">
        <v>160</v>
      </c>
      <c r="C259" s="21">
        <v>31</v>
      </c>
      <c r="D259" s="21">
        <v>58</v>
      </c>
      <c r="E259" s="7">
        <v>42457.700000000026</v>
      </c>
      <c r="F259" s="7">
        <v>268560</v>
      </c>
      <c r="G259" s="7"/>
      <c r="H259" s="8">
        <f t="shared" si="10"/>
        <v>732.02931034482799</v>
      </c>
      <c r="I259" s="8">
        <f t="shared" si="11"/>
        <v>4630.3448275862065</v>
      </c>
      <c r="J259" s="8">
        <v>3397</v>
      </c>
      <c r="K259" s="18">
        <v>82.777777777777771</v>
      </c>
    </row>
    <row r="260" spans="2:11" x14ac:dyDescent="0.25">
      <c r="B260" s="20" t="s">
        <v>161</v>
      </c>
      <c r="C260" s="21">
        <v>35</v>
      </c>
      <c r="D260" s="21">
        <v>64</v>
      </c>
      <c r="E260" s="7">
        <v>45276.69999999999</v>
      </c>
      <c r="F260" s="7">
        <v>279896</v>
      </c>
      <c r="G260" s="7"/>
      <c r="H260" s="8">
        <f t="shared" si="10"/>
        <v>707.44843749999984</v>
      </c>
      <c r="I260" s="8">
        <f t="shared" si="11"/>
        <v>4373.375</v>
      </c>
      <c r="J260" s="8">
        <v>3374</v>
      </c>
      <c r="K260" s="18">
        <v>81.944444444444443</v>
      </c>
    </row>
    <row r="261" spans="2:11" x14ac:dyDescent="0.25">
      <c r="B261" s="20" t="s">
        <v>162</v>
      </c>
      <c r="C261" s="21">
        <v>35</v>
      </c>
      <c r="D261" s="21">
        <v>54</v>
      </c>
      <c r="E261" s="7">
        <v>44297.3</v>
      </c>
      <c r="F261" s="7">
        <v>273715</v>
      </c>
      <c r="G261" s="7"/>
      <c r="H261" s="8">
        <f t="shared" ref="H261:H291" si="12">E261/D261</f>
        <v>820.32037037037037</v>
      </c>
      <c r="I261" s="8">
        <f t="shared" ref="I261:I291" si="13">F261/D261</f>
        <v>5068.7962962962965</v>
      </c>
      <c r="J261" s="8">
        <v>3354</v>
      </c>
      <c r="K261" s="18">
        <v>82.791666666666657</v>
      </c>
    </row>
    <row r="262" spans="2:11" x14ac:dyDescent="0.25">
      <c r="B262" s="20" t="s">
        <v>163</v>
      </c>
      <c r="C262" s="21">
        <v>32</v>
      </c>
      <c r="D262" s="21">
        <v>57</v>
      </c>
      <c r="E262" s="7">
        <v>40525.400000000009</v>
      </c>
      <c r="F262" s="7">
        <v>258965</v>
      </c>
      <c r="G262" s="7"/>
      <c r="H262" s="8">
        <f t="shared" si="12"/>
        <v>710.97192982456158</v>
      </c>
      <c r="I262" s="8">
        <f t="shared" si="13"/>
        <v>4543.2456140350878</v>
      </c>
      <c r="J262" s="8">
        <v>3403</v>
      </c>
      <c r="K262" s="18">
        <v>82</v>
      </c>
    </row>
    <row r="263" spans="2:11" x14ac:dyDescent="0.25">
      <c r="B263" s="20" t="s">
        <v>164</v>
      </c>
      <c r="C263" s="21">
        <v>26</v>
      </c>
      <c r="D263" s="21">
        <v>44</v>
      </c>
      <c r="E263" s="7">
        <v>33726</v>
      </c>
      <c r="F263" s="7">
        <v>203025</v>
      </c>
      <c r="G263" s="7"/>
      <c r="H263" s="8">
        <f t="shared" si="12"/>
        <v>766.5</v>
      </c>
      <c r="I263" s="8">
        <f t="shared" si="13"/>
        <v>4614.204545454545</v>
      </c>
      <c r="J263" s="8">
        <v>3339</v>
      </c>
      <c r="K263" s="18">
        <v>82.708333333333329</v>
      </c>
    </row>
    <row r="264" spans="2:11" x14ac:dyDescent="0.25">
      <c r="B264" s="20" t="s">
        <v>165</v>
      </c>
      <c r="C264" s="21">
        <v>25</v>
      </c>
      <c r="D264" s="21">
        <v>45</v>
      </c>
      <c r="E264" s="7">
        <v>34606.97</v>
      </c>
      <c r="F264" s="7">
        <v>231490</v>
      </c>
      <c r="G264" s="7"/>
      <c r="H264" s="8">
        <f t="shared" si="12"/>
        <v>769.04377777777779</v>
      </c>
      <c r="I264" s="8">
        <f t="shared" si="13"/>
        <v>5144.2222222222226</v>
      </c>
      <c r="J264" s="8">
        <v>3373</v>
      </c>
      <c r="K264" s="18">
        <v>82.287499999999994</v>
      </c>
    </row>
    <row r="265" spans="2:11" x14ac:dyDescent="0.25">
      <c r="B265" s="20" t="s">
        <v>166</v>
      </c>
      <c r="C265" s="21">
        <v>35</v>
      </c>
      <c r="D265" s="21">
        <v>56</v>
      </c>
      <c r="E265" s="7">
        <v>43481.299999999988</v>
      </c>
      <c r="F265" s="7">
        <v>277310</v>
      </c>
      <c r="G265" s="7"/>
      <c r="H265" s="8">
        <f t="shared" si="12"/>
        <v>776.45178571428551</v>
      </c>
      <c r="I265" s="8">
        <f t="shared" si="13"/>
        <v>4951.9642857142853</v>
      </c>
      <c r="J265" s="8">
        <v>3373</v>
      </c>
      <c r="K265" s="18">
        <v>82.214285714285722</v>
      </c>
    </row>
    <row r="266" spans="2:11" x14ac:dyDescent="0.25">
      <c r="B266" s="20" t="s">
        <v>167</v>
      </c>
      <c r="C266" s="21">
        <v>22</v>
      </c>
      <c r="D266" s="21">
        <v>40</v>
      </c>
      <c r="E266" s="7">
        <v>29954.500000000004</v>
      </c>
      <c r="F266" s="7">
        <v>189315</v>
      </c>
      <c r="G266" s="7"/>
      <c r="H266" s="8">
        <f t="shared" si="12"/>
        <v>748.86250000000007</v>
      </c>
      <c r="I266" s="8">
        <f t="shared" si="13"/>
        <v>4732.875</v>
      </c>
      <c r="J266" s="8">
        <v>3467</v>
      </c>
      <c r="K266" s="18">
        <v>82.8</v>
      </c>
    </row>
    <row r="267" spans="2:11" x14ac:dyDescent="0.25">
      <c r="B267" s="20" t="s">
        <v>168</v>
      </c>
      <c r="C267" s="21">
        <v>21</v>
      </c>
      <c r="D267" s="21">
        <v>27</v>
      </c>
      <c r="E267" s="7">
        <v>23890.100000000002</v>
      </c>
      <c r="F267" s="7">
        <v>157465</v>
      </c>
      <c r="G267" s="7"/>
      <c r="H267" s="8">
        <f t="shared" si="12"/>
        <v>884.81851851851854</v>
      </c>
      <c r="I267" s="8">
        <f t="shared" si="13"/>
        <v>5832.0370370370374</v>
      </c>
      <c r="J267" s="8">
        <v>3249</v>
      </c>
      <c r="K267" s="18">
        <v>82.1875</v>
      </c>
    </row>
    <row r="268" spans="2:11" x14ac:dyDescent="0.25">
      <c r="B268" s="20" t="s">
        <v>169</v>
      </c>
      <c r="C268" s="21">
        <v>57</v>
      </c>
      <c r="D268" s="21">
        <v>57</v>
      </c>
      <c r="E268" s="7">
        <v>43727.19999999999</v>
      </c>
      <c r="F268" s="7">
        <v>296530</v>
      </c>
      <c r="G268" s="7"/>
      <c r="H268" s="8">
        <f t="shared" si="12"/>
        <v>767.14385964912265</v>
      </c>
      <c r="I268" s="8">
        <f t="shared" si="13"/>
        <v>5202.2807017543855</v>
      </c>
      <c r="J268" s="8">
        <v>3400</v>
      </c>
      <c r="K268" s="18">
        <v>82.404761904761898</v>
      </c>
    </row>
    <row r="269" spans="2:11" x14ac:dyDescent="0.25">
      <c r="B269" s="20" t="s">
        <v>170</v>
      </c>
      <c r="C269" s="21">
        <v>32</v>
      </c>
      <c r="D269" s="21">
        <v>53</v>
      </c>
      <c r="E269" s="7">
        <v>40713.399999999994</v>
      </c>
      <c r="F269" s="7">
        <v>262465</v>
      </c>
      <c r="G269" s="7"/>
      <c r="H269" s="8">
        <f t="shared" si="12"/>
        <v>768.17735849056589</v>
      </c>
      <c r="I269" s="8">
        <f t="shared" si="13"/>
        <v>4952.1698113207549</v>
      </c>
      <c r="J269" s="8">
        <v>3429</v>
      </c>
      <c r="K269" s="18">
        <v>82.304761904761904</v>
      </c>
    </row>
    <row r="270" spans="2:11" hidden="1" x14ac:dyDescent="0.25">
      <c r="C270" s="21">
        <v>32</v>
      </c>
      <c r="D270" s="21">
        <v>53</v>
      </c>
      <c r="E270" s="7">
        <v>40713.399999999994</v>
      </c>
      <c r="F270" s="7">
        <v>262465</v>
      </c>
      <c r="G270" s="7"/>
      <c r="H270" s="8">
        <f t="shared" si="12"/>
        <v>768.17735849056589</v>
      </c>
      <c r="I270" s="8">
        <f t="shared" si="13"/>
        <v>4952.1698113207549</v>
      </c>
      <c r="J270" s="8">
        <v>3429</v>
      </c>
      <c r="K270" s="18">
        <v>82.304761904761904</v>
      </c>
    </row>
    <row r="271" spans="2:11" hidden="1" x14ac:dyDescent="0.25">
      <c r="C271" s="21">
        <v>32</v>
      </c>
      <c r="D271" s="21">
        <v>53</v>
      </c>
      <c r="E271" s="7">
        <v>40713.399999999994</v>
      </c>
      <c r="F271" s="7">
        <v>262465</v>
      </c>
      <c r="G271" s="7"/>
      <c r="H271" s="8">
        <f t="shared" si="12"/>
        <v>768.17735849056589</v>
      </c>
      <c r="I271" s="8">
        <f t="shared" si="13"/>
        <v>4952.1698113207549</v>
      </c>
      <c r="J271" s="8">
        <v>3429</v>
      </c>
      <c r="K271" s="18">
        <v>82.304761904761904</v>
      </c>
    </row>
    <row r="272" spans="2:11" hidden="1" x14ac:dyDescent="0.25">
      <c r="C272" s="21">
        <v>32</v>
      </c>
      <c r="D272" s="21">
        <v>53</v>
      </c>
      <c r="E272" s="7">
        <v>40713.399999999994</v>
      </c>
      <c r="F272" s="7">
        <v>262465</v>
      </c>
      <c r="G272" s="7"/>
      <c r="H272" s="8">
        <f t="shared" si="12"/>
        <v>768.17735849056589</v>
      </c>
      <c r="I272" s="8">
        <f t="shared" si="13"/>
        <v>4952.1698113207549</v>
      </c>
      <c r="J272" s="8">
        <v>3429</v>
      </c>
      <c r="K272" s="18">
        <v>82.304761904761904</v>
      </c>
    </row>
    <row r="273" spans="2:11" hidden="1" x14ac:dyDescent="0.25">
      <c r="C273" s="21">
        <v>32</v>
      </c>
      <c r="D273" s="21">
        <v>53</v>
      </c>
      <c r="E273" s="7">
        <v>40713.399999999994</v>
      </c>
      <c r="F273" s="7">
        <v>262465</v>
      </c>
      <c r="G273" s="7"/>
      <c r="H273" s="8">
        <f t="shared" si="12"/>
        <v>768.17735849056589</v>
      </c>
      <c r="I273" s="8">
        <f t="shared" si="13"/>
        <v>4952.1698113207549</v>
      </c>
      <c r="J273" s="8">
        <v>3429</v>
      </c>
      <c r="K273" s="18">
        <v>82.304761904761904</v>
      </c>
    </row>
    <row r="274" spans="2:11" hidden="1" x14ac:dyDescent="0.25">
      <c r="C274" s="21">
        <v>32</v>
      </c>
      <c r="D274" s="21">
        <v>53</v>
      </c>
      <c r="E274" s="7">
        <v>40713.399999999994</v>
      </c>
      <c r="F274" s="7">
        <v>262465</v>
      </c>
      <c r="G274" s="7"/>
      <c r="H274" s="8">
        <f t="shared" si="12"/>
        <v>768.17735849056589</v>
      </c>
      <c r="I274" s="8">
        <f t="shared" si="13"/>
        <v>4952.1698113207549</v>
      </c>
      <c r="J274" s="8">
        <v>3429</v>
      </c>
      <c r="K274" s="18">
        <v>82.304761904761904</v>
      </c>
    </row>
    <row r="275" spans="2:11" hidden="1" x14ac:dyDescent="0.25">
      <c r="C275" s="21">
        <v>32</v>
      </c>
      <c r="D275" s="21">
        <v>53</v>
      </c>
      <c r="E275" s="7">
        <v>40713.399999999994</v>
      </c>
      <c r="F275" s="7">
        <v>262465</v>
      </c>
      <c r="G275" s="7"/>
      <c r="H275" s="8">
        <f t="shared" si="12"/>
        <v>768.17735849056589</v>
      </c>
      <c r="I275" s="8">
        <f t="shared" si="13"/>
        <v>4952.1698113207549</v>
      </c>
      <c r="J275" s="8">
        <v>3429</v>
      </c>
      <c r="K275" s="18">
        <v>82.304761904761904</v>
      </c>
    </row>
    <row r="276" spans="2:11" hidden="1" x14ac:dyDescent="0.25">
      <c r="C276" s="21">
        <v>32</v>
      </c>
      <c r="D276" s="21">
        <v>53</v>
      </c>
      <c r="E276" s="7">
        <v>40713.399999999994</v>
      </c>
      <c r="F276" s="7">
        <v>262465</v>
      </c>
      <c r="G276" s="7"/>
      <c r="H276" s="8">
        <f t="shared" si="12"/>
        <v>768.17735849056589</v>
      </c>
      <c r="I276" s="8">
        <f t="shared" si="13"/>
        <v>4952.1698113207549</v>
      </c>
      <c r="J276" s="8">
        <v>3429</v>
      </c>
      <c r="K276" s="18">
        <v>82.304761904761904</v>
      </c>
    </row>
    <row r="277" spans="2:11" hidden="1" x14ac:dyDescent="0.25">
      <c r="C277" s="21">
        <v>32</v>
      </c>
      <c r="D277" s="21">
        <v>53</v>
      </c>
      <c r="E277" s="7">
        <v>40713.399999999994</v>
      </c>
      <c r="F277" s="7">
        <v>262465</v>
      </c>
      <c r="G277" s="7"/>
      <c r="H277" s="8">
        <f t="shared" si="12"/>
        <v>768.17735849056589</v>
      </c>
      <c r="I277" s="8">
        <f t="shared" si="13"/>
        <v>4952.1698113207549</v>
      </c>
      <c r="J277" s="8">
        <v>3429</v>
      </c>
      <c r="K277" s="18">
        <v>82.304761904761904</v>
      </c>
    </row>
    <row r="278" spans="2:11" hidden="1" x14ac:dyDescent="0.25">
      <c r="C278" s="21">
        <v>32</v>
      </c>
      <c r="D278" s="21">
        <v>53</v>
      </c>
      <c r="E278" s="7">
        <v>40713.399999999994</v>
      </c>
      <c r="F278" s="7">
        <v>262465</v>
      </c>
      <c r="G278" s="7"/>
      <c r="H278" s="8">
        <f t="shared" si="12"/>
        <v>768.17735849056589</v>
      </c>
      <c r="I278" s="8">
        <f t="shared" si="13"/>
        <v>4952.1698113207549</v>
      </c>
      <c r="J278" s="8">
        <v>3429</v>
      </c>
      <c r="K278" s="18">
        <v>82.304761904761904</v>
      </c>
    </row>
    <row r="279" spans="2:11" hidden="1" x14ac:dyDescent="0.25">
      <c r="C279" s="21">
        <v>32</v>
      </c>
      <c r="D279" s="21">
        <v>53</v>
      </c>
      <c r="E279" s="7">
        <v>40713.399999999994</v>
      </c>
      <c r="F279" s="7">
        <v>262465</v>
      </c>
      <c r="G279" s="7"/>
      <c r="H279" s="8">
        <f t="shared" si="12"/>
        <v>768.17735849056589</v>
      </c>
      <c r="I279" s="8">
        <f t="shared" si="13"/>
        <v>4952.1698113207549</v>
      </c>
      <c r="J279" s="8">
        <v>3429</v>
      </c>
      <c r="K279" s="18">
        <v>82.304761904761904</v>
      </c>
    </row>
    <row r="280" spans="2:11" hidden="1" x14ac:dyDescent="0.25">
      <c r="C280" s="21">
        <v>32</v>
      </c>
      <c r="D280" s="21">
        <v>53</v>
      </c>
      <c r="E280" s="7">
        <v>40713.399999999994</v>
      </c>
      <c r="F280" s="7">
        <v>262465</v>
      </c>
      <c r="G280" s="7"/>
      <c r="H280" s="8">
        <f t="shared" si="12"/>
        <v>768.17735849056589</v>
      </c>
      <c r="I280" s="8">
        <f t="shared" si="13"/>
        <v>4952.1698113207549</v>
      </c>
      <c r="J280" s="8">
        <v>3429</v>
      </c>
      <c r="K280" s="18">
        <v>82.304761904761904</v>
      </c>
    </row>
    <row r="281" spans="2:11" hidden="1" x14ac:dyDescent="0.25">
      <c r="C281" s="21">
        <v>32</v>
      </c>
      <c r="D281" s="21">
        <v>53</v>
      </c>
      <c r="E281" s="7">
        <v>40713.399999999994</v>
      </c>
      <c r="F281" s="7">
        <v>262465</v>
      </c>
      <c r="G281" s="7"/>
      <c r="H281" s="8">
        <f t="shared" si="12"/>
        <v>768.17735849056589</v>
      </c>
      <c r="I281" s="8">
        <f t="shared" si="13"/>
        <v>4952.1698113207549</v>
      </c>
      <c r="J281" s="8">
        <v>3429</v>
      </c>
      <c r="K281" s="18">
        <v>82.304761904761904</v>
      </c>
    </row>
    <row r="282" spans="2:11" hidden="1" x14ac:dyDescent="0.25">
      <c r="C282" s="21">
        <v>32</v>
      </c>
      <c r="D282" s="21">
        <v>53</v>
      </c>
      <c r="E282" s="7">
        <v>40713.399999999994</v>
      </c>
      <c r="F282" s="7">
        <v>262465</v>
      </c>
      <c r="G282" s="7"/>
      <c r="H282" s="8">
        <f t="shared" si="12"/>
        <v>768.17735849056589</v>
      </c>
      <c r="I282" s="8">
        <f t="shared" si="13"/>
        <v>4952.1698113207549</v>
      </c>
      <c r="J282" s="8">
        <v>3429</v>
      </c>
      <c r="K282" s="18">
        <v>82.304761904761904</v>
      </c>
    </row>
    <row r="283" spans="2:11" hidden="1" x14ac:dyDescent="0.25">
      <c r="C283" s="21">
        <v>32</v>
      </c>
      <c r="D283" s="21">
        <v>53</v>
      </c>
      <c r="E283" s="7">
        <v>40713.399999999994</v>
      </c>
      <c r="F283" s="7">
        <v>262465</v>
      </c>
      <c r="G283" s="7"/>
      <c r="H283" s="8">
        <f t="shared" si="12"/>
        <v>768.17735849056589</v>
      </c>
      <c r="I283" s="8">
        <f t="shared" si="13"/>
        <v>4952.1698113207549</v>
      </c>
      <c r="J283" s="8">
        <v>3429</v>
      </c>
      <c r="K283" s="18">
        <v>82.304761904761904</v>
      </c>
    </row>
    <row r="284" spans="2:11" x14ac:dyDescent="0.25">
      <c r="B284" s="20" t="s">
        <v>171</v>
      </c>
      <c r="C284" s="21">
        <v>31</v>
      </c>
      <c r="D284" s="21">
        <v>59</v>
      </c>
      <c r="E284" s="7">
        <v>42406.500000000029</v>
      </c>
      <c r="F284" s="7">
        <v>273153</v>
      </c>
      <c r="G284" s="7"/>
      <c r="H284" s="8">
        <f t="shared" si="12"/>
        <v>718.7542372881361</v>
      </c>
      <c r="I284" s="8">
        <f t="shared" si="13"/>
        <v>4629.7118644067796</v>
      </c>
      <c r="J284" s="8">
        <v>3429</v>
      </c>
      <c r="K284" s="18">
        <v>83.517857142857139</v>
      </c>
    </row>
    <row r="285" spans="2:11" x14ac:dyDescent="0.25">
      <c r="B285" s="20" t="s">
        <v>172</v>
      </c>
      <c r="C285" s="21">
        <v>34</v>
      </c>
      <c r="D285" s="21">
        <v>55</v>
      </c>
      <c r="E285" s="7">
        <v>43905.599999999984</v>
      </c>
      <c r="F285" s="7">
        <v>302106</v>
      </c>
      <c r="G285" s="7"/>
      <c r="H285" s="8">
        <f t="shared" si="12"/>
        <v>798.28363636363611</v>
      </c>
      <c r="I285" s="8">
        <f t="shared" si="13"/>
        <v>5492.8363636363638</v>
      </c>
      <c r="J285" s="8">
        <v>3261</v>
      </c>
      <c r="K285" s="18">
        <v>81.958333333333343</v>
      </c>
    </row>
    <row r="286" spans="2:11" x14ac:dyDescent="0.25">
      <c r="B286" s="20" t="s">
        <v>173</v>
      </c>
      <c r="C286" s="21">
        <v>39</v>
      </c>
      <c r="D286" s="21">
        <v>53</v>
      </c>
      <c r="E286" s="7">
        <v>43437.299999999996</v>
      </c>
      <c r="F286" s="7">
        <v>345876</v>
      </c>
      <c r="G286" s="7"/>
      <c r="H286" s="8">
        <f t="shared" si="12"/>
        <v>819.5716981132075</v>
      </c>
      <c r="I286" s="8">
        <f t="shared" si="13"/>
        <v>6525.9622641509432</v>
      </c>
      <c r="J286" s="8">
        <v>3379</v>
      </c>
      <c r="K286" s="18">
        <v>81.958333333333343</v>
      </c>
    </row>
    <row r="287" spans="2:11" x14ac:dyDescent="0.25">
      <c r="B287" s="20" t="s">
        <v>174</v>
      </c>
      <c r="C287" s="21">
        <v>38</v>
      </c>
      <c r="D287" s="21">
        <v>52</v>
      </c>
      <c r="E287" s="7">
        <v>54512.30000000001</v>
      </c>
      <c r="F287" s="7">
        <v>402725</v>
      </c>
      <c r="G287" s="7"/>
      <c r="H287" s="8">
        <f t="shared" si="12"/>
        <v>1048.3134615384618</v>
      </c>
      <c r="I287" s="8">
        <f t="shared" si="13"/>
        <v>7744.7115384615381</v>
      </c>
      <c r="J287" s="8">
        <v>3404</v>
      </c>
      <c r="K287" s="18">
        <v>82.488095238095241</v>
      </c>
    </row>
    <row r="288" spans="2:11" x14ac:dyDescent="0.25">
      <c r="B288" s="20" t="s">
        <v>175</v>
      </c>
      <c r="C288" s="25">
        <v>40</v>
      </c>
      <c r="D288" s="21">
        <v>53</v>
      </c>
      <c r="E288" s="7">
        <v>48088.479999999981</v>
      </c>
      <c r="F288" s="7">
        <v>348875</v>
      </c>
      <c r="G288" s="7"/>
      <c r="H288" s="8">
        <f t="shared" si="12"/>
        <v>907.3298113207544</v>
      </c>
      <c r="I288" s="8">
        <f t="shared" si="13"/>
        <v>6582.5471698113206</v>
      </c>
      <c r="J288" s="8">
        <v>532</v>
      </c>
      <c r="K288" s="26">
        <v>81.25</v>
      </c>
    </row>
    <row r="289" spans="2:11" x14ac:dyDescent="0.25">
      <c r="B289" s="20" t="s">
        <v>176</v>
      </c>
      <c r="C289" s="25">
        <v>40</v>
      </c>
      <c r="D289" s="21">
        <v>53</v>
      </c>
      <c r="E289" s="7">
        <v>48088.479999999981</v>
      </c>
      <c r="F289" s="7">
        <v>348875</v>
      </c>
      <c r="G289" s="7"/>
      <c r="H289" s="8">
        <f t="shared" si="12"/>
        <v>907.3298113207544</v>
      </c>
      <c r="I289" s="8">
        <f t="shared" si="13"/>
        <v>6582.5471698113206</v>
      </c>
      <c r="J289" s="8">
        <v>532</v>
      </c>
      <c r="K289" s="26">
        <v>81.69047619047619</v>
      </c>
    </row>
    <row r="290" spans="2:11" x14ac:dyDescent="0.25">
      <c r="B290" s="15" t="s">
        <v>177</v>
      </c>
      <c r="C290" s="25">
        <v>39</v>
      </c>
      <c r="D290" s="21">
        <v>66</v>
      </c>
      <c r="E290" s="7">
        <v>44972.700000000004</v>
      </c>
      <c r="F290" s="7">
        <v>332965</v>
      </c>
      <c r="G290" s="7"/>
      <c r="H290" s="8">
        <f t="shared" si="12"/>
        <v>681.40454545454554</v>
      </c>
      <c r="I290" s="8">
        <f t="shared" si="13"/>
        <v>5044.924242424242</v>
      </c>
      <c r="J290" s="8">
        <v>532</v>
      </c>
      <c r="K290" s="26">
        <v>82.471428571428575</v>
      </c>
    </row>
    <row r="291" spans="2:11" s="32" customFormat="1" x14ac:dyDescent="0.25">
      <c r="B291" s="33" t="s">
        <v>178</v>
      </c>
      <c r="C291" s="33">
        <v>46</v>
      </c>
      <c r="D291" s="34">
        <v>62</v>
      </c>
      <c r="E291" s="34">
        <v>55852.900000000016</v>
      </c>
      <c r="F291" s="34">
        <v>394620</v>
      </c>
      <c r="G291" s="34"/>
      <c r="H291" s="35">
        <f t="shared" si="12"/>
        <v>900.85322580645186</v>
      </c>
      <c r="I291" s="35">
        <f t="shared" si="13"/>
        <v>6364.8387096774195</v>
      </c>
      <c r="J291" s="35">
        <v>532</v>
      </c>
      <c r="K291" s="36">
        <v>83.142857142857139</v>
      </c>
    </row>
  </sheetData>
  <mergeCells count="1">
    <mergeCell ref="B2:K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Hernández Campos</dc:creator>
  <cp:lastModifiedBy>Laura Cuaxilotl Aragon</cp:lastModifiedBy>
  <dcterms:created xsi:type="dcterms:W3CDTF">2026-03-17T21:22:29Z</dcterms:created>
  <dcterms:modified xsi:type="dcterms:W3CDTF">2026-03-24T16:01:17Z</dcterms:modified>
</cp:coreProperties>
</file>