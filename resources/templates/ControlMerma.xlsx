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sanchez\Desktop\"/>
    </mc:Choice>
  </mc:AlternateContent>
  <xr:revisionPtr revIDLastSave="0" documentId="8_{A2CB89F2-10FD-41E9-8A4A-6FF1FC54A9E4}" xr6:coauthVersionLast="47" xr6:coauthVersionMax="47" xr10:uidLastSave="{00000000-0000-0000-0000-000000000000}"/>
  <bookViews>
    <workbookView xWindow="-108" yWindow="-108" windowWidth="23256" windowHeight="12456" xr2:uid="{B5D0BA4E-E411-4C12-B6CA-80B50E818ACA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4" l="1"/>
  <c r="E20" i="4"/>
  <c r="D20" i="4"/>
  <c r="AB19" i="4"/>
  <c r="AA19" i="4" s="1"/>
  <c r="R19" i="4"/>
  <c r="Q19" i="4" s="1"/>
  <c r="C19" i="4"/>
  <c r="AB18" i="4"/>
  <c r="AA18" i="4"/>
  <c r="X18" i="4"/>
  <c r="U18" i="4"/>
  <c r="R18" i="4"/>
  <c r="K18" i="4" s="1"/>
  <c r="Q18" i="4"/>
  <c r="N18" i="4"/>
  <c r="C18" i="4"/>
  <c r="AB17" i="4"/>
  <c r="X17" i="4" s="1"/>
  <c r="R17" i="4"/>
  <c r="N17" i="4" s="1"/>
  <c r="Q17" i="4"/>
  <c r="C17" i="4"/>
  <c r="AB16" i="4"/>
  <c r="X16" i="4" s="1"/>
  <c r="AA16" i="4"/>
  <c r="R16" i="4"/>
  <c r="Q16" i="4"/>
  <c r="N16" i="4"/>
  <c r="K16" i="4"/>
  <c r="C16" i="4"/>
  <c r="AB15" i="4"/>
  <c r="AA15" i="4"/>
  <c r="X15" i="4"/>
  <c r="U15" i="4"/>
  <c r="R15" i="4"/>
  <c r="Q15" i="4" s="1"/>
  <c r="C15" i="4"/>
  <c r="AB14" i="4"/>
  <c r="U14" i="4" s="1"/>
  <c r="AA14" i="4"/>
  <c r="X14" i="4"/>
  <c r="R14" i="4"/>
  <c r="Q14" i="4"/>
  <c r="N14" i="4"/>
  <c r="K14" i="4"/>
  <c r="C14" i="4"/>
  <c r="AB13" i="4"/>
  <c r="U13" i="4" s="1"/>
  <c r="X13" i="4"/>
  <c r="R13" i="4"/>
  <c r="N13" i="4" s="1"/>
  <c r="Q13" i="4"/>
  <c r="C13" i="4"/>
  <c r="AB12" i="4"/>
  <c r="X12" i="4" s="1"/>
  <c r="AA12" i="4"/>
  <c r="R12" i="4"/>
  <c r="Q12" i="4"/>
  <c r="N12" i="4"/>
  <c r="K12" i="4"/>
  <c r="C12" i="4"/>
  <c r="AB11" i="4"/>
  <c r="AA11" i="4"/>
  <c r="X11" i="4"/>
  <c r="U11" i="4"/>
  <c r="R11" i="4"/>
  <c r="Q11" i="4" s="1"/>
  <c r="C11" i="4"/>
  <c r="AB10" i="4"/>
  <c r="U10" i="4" s="1"/>
  <c r="AA10" i="4"/>
  <c r="X10" i="4"/>
  <c r="R10" i="4"/>
  <c r="Q10" i="4"/>
  <c r="N10" i="4"/>
  <c r="K10" i="4"/>
  <c r="C10" i="4"/>
  <c r="AB9" i="4"/>
  <c r="U9" i="4" s="1"/>
  <c r="X9" i="4"/>
  <c r="R9" i="4"/>
  <c r="N9" i="4" s="1"/>
  <c r="Q9" i="4"/>
  <c r="C9" i="4"/>
  <c r="AB8" i="4"/>
  <c r="X8" i="4" s="1"/>
  <c r="AA8" i="4"/>
  <c r="R8" i="4"/>
  <c r="Q8" i="4"/>
  <c r="N8" i="4"/>
  <c r="K8" i="4"/>
  <c r="C8" i="4"/>
  <c r="AB7" i="4"/>
  <c r="AA7" i="4"/>
  <c r="X7" i="4"/>
  <c r="U7" i="4"/>
  <c r="R7" i="4"/>
  <c r="Q7" i="4" s="1"/>
  <c r="C7" i="4"/>
  <c r="U6" i="4"/>
  <c r="AA6" i="4"/>
  <c r="X6" i="4"/>
  <c r="R6" i="4"/>
  <c r="Q6" i="4"/>
  <c r="N6" i="4"/>
  <c r="K6" i="4"/>
  <c r="C6" i="4"/>
  <c r="C20" i="4" s="1"/>
  <c r="K7" i="4" l="1"/>
  <c r="AA9" i="4"/>
  <c r="K11" i="4"/>
  <c r="AA13" i="4"/>
  <c r="K15" i="4"/>
  <c r="AA17" i="4"/>
  <c r="K19" i="4"/>
  <c r="N19" i="4"/>
  <c r="N7" i="4"/>
  <c r="U8" i="4"/>
  <c r="N11" i="4"/>
  <c r="U12" i="4"/>
  <c r="N15" i="4"/>
  <c r="U16" i="4"/>
  <c r="U19" i="4"/>
  <c r="X19" i="4"/>
  <c r="K9" i="4"/>
  <c r="K13" i="4"/>
  <c r="K17" i="4"/>
  <c r="U17" i="4"/>
</calcChain>
</file>

<file path=xl/sharedStrings.xml><?xml version="1.0" encoding="utf-8"?>
<sst xmlns="http://schemas.openxmlformats.org/spreadsheetml/2006/main" count="50" uniqueCount="36">
  <si>
    <t>JULIOS URD</t>
  </si>
  <si>
    <t>TELAS ENG</t>
  </si>
  <si>
    <t>Sumatoria</t>
  </si>
  <si>
    <t>Sin Goma</t>
  </si>
  <si>
    <t>Con Goma</t>
  </si>
  <si>
    <t>ORDEN</t>
  </si>
  <si>
    <t>CUENTA</t>
  </si>
  <si>
    <t>URD. A</t>
  </si>
  <si>
    <t>A</t>
  </si>
  <si>
    <t>MTS. A</t>
  </si>
  <si>
    <t>URD. B</t>
  </si>
  <si>
    <t>B</t>
  </si>
  <si>
    <t>MTS. B</t>
  </si>
  <si>
    <t>URD. C</t>
  </si>
  <si>
    <t>C</t>
  </si>
  <si>
    <t>MTS. C</t>
  </si>
  <si>
    <t>ENG. A</t>
  </si>
  <si>
    <t>ENG. B</t>
  </si>
  <si>
    <t>ENG. C</t>
  </si>
  <si>
    <t>WP2  1</t>
  </si>
  <si>
    <t>00129</t>
  </si>
  <si>
    <t>RB</t>
  </si>
  <si>
    <t>JR</t>
  </si>
  <si>
    <t>WP3  1</t>
  </si>
  <si>
    <t>00131</t>
  </si>
  <si>
    <t>DP</t>
  </si>
  <si>
    <t>UE</t>
  </si>
  <si>
    <t>FC</t>
  </si>
  <si>
    <t>00146</t>
  </si>
  <si>
    <t>CG</t>
  </si>
  <si>
    <t>MS</t>
  </si>
  <si>
    <t>Merma Punta</t>
  </si>
  <si>
    <t>PC</t>
  </si>
  <si>
    <t>RI</t>
  </si>
  <si>
    <t>Fecha</t>
  </si>
  <si>
    <t xml:space="preserve"> HILO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</si>
</sst>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6" borderId="0" xfId="0" applyFont="1" applyFill="1" applyAlignment="1">
      <alignment horizontal="center"/>
    </xf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2" fontId="8" fillId="7" borderId="9" xfId="0" applyNumberFormat="1" applyFont="1" applyFill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7" fontId="1" fillId="0" borderId="12" xfId="0" applyNumberFormat="1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67" fontId="0" fillId="0" borderId="0" xfId="0" applyNumberFormat="1" applyAlignment="1">
      <alignment horizontal="center"/>
    </xf>
    <xf numFmtId="0" fontId="7" fillId="0" borderId="0" xfId="0" applyFont="1"/>
    <xf numFmtId="166" fontId="8" fillId="7" borderId="14" xfId="0" applyNumberFormat="1" applyFont="1" applyFill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167" fontId="1" fillId="0" borderId="16" xfId="0" applyNumberFormat="1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6" fontId="8" fillId="7" borderId="18" xfId="0" applyNumberFormat="1" applyFont="1" applyFill="1" applyBorder="1" applyAlignment="1">
      <alignment horizontal="center"/>
    </xf>
    <xf numFmtId="167" fontId="5" fillId="0" borderId="17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7" fontId="0" fillId="0" borderId="17" xfId="0" applyNumberForma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167" fontId="1" fillId="0" borderId="20" xfId="0" applyNumberFormat="1" applyFont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166" fontId="8" fillId="7" borderId="9" xfId="0" applyNumberFormat="1" applyFont="1" applyFill="1" applyBorder="1" applyAlignment="1">
      <alignment horizontal="center"/>
    </xf>
    <xf numFmtId="167" fontId="5" fillId="0" borderId="10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67" fontId="1" fillId="0" borderId="26" xfId="0" applyNumberFormat="1" applyFont="1" applyBorder="1" applyAlignment="1">
      <alignment horizontal="center"/>
    </xf>
    <xf numFmtId="0" fontId="3" fillId="0" borderId="0" xfId="0" applyFont="1"/>
    <xf numFmtId="0" fontId="0" fillId="0" borderId="17" xfId="0" applyBorder="1"/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167" fontId="1" fillId="0" borderId="24" xfId="0" applyNumberFormat="1" applyFont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4" fontId="0" fillId="0" borderId="0" xfId="0" applyNumberFormat="1"/>
    <xf numFmtId="166" fontId="11" fillId="2" borderId="0" xfId="0" applyNumberFormat="1" applyFont="1" applyFill="1"/>
    <xf numFmtId="166" fontId="5" fillId="3" borderId="0" xfId="0" applyNumberFormat="1" applyFont="1" applyFill="1"/>
    <xf numFmtId="0" fontId="0" fillId="8" borderId="0" xfId="0" applyFill="1" applyAlignment="1">
      <alignment horizontal="center"/>
    </xf>
    <xf numFmtId="16" fontId="0" fillId="0" borderId="0" xfId="0" applyNumberFormat="1"/>
    <xf numFmtId="16" fontId="9" fillId="0" borderId="0" xfId="0" applyNumberFormat="1" applyFont="1" applyAlignment="1">
      <alignment vertical="center"/>
    </xf>
    <xf numFmtId="0" fontId="1" fillId="4" borderId="1" xfId="0" applyFont="1" applyFill="1" applyBorder="1" applyAlignment="1">
      <alignment horizontal="center" textRotation="90"/>
    </xf>
    <xf numFmtId="0" fontId="1" fillId="4" borderId="4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1" fillId="5" borderId="4" xfId="0" applyFont="1" applyFill="1" applyBorder="1" applyAlignment="1">
      <alignment horizontal="center" textRotation="90"/>
    </xf>
    <xf numFmtId="0" fontId="1" fillId="4" borderId="2" xfId="0" applyFont="1" applyFill="1" applyBorder="1" applyAlignment="1">
      <alignment horizontal="center" textRotation="90"/>
    </xf>
    <xf numFmtId="0" fontId="1" fillId="4" borderId="3" xfId="0" applyFont="1" applyFill="1" applyBorder="1" applyAlignment="1">
      <alignment horizontal="center" textRotation="90"/>
    </xf>
    <xf numFmtId="0" fontId="1" fillId="4" borderId="8" xfId="0" applyFont="1" applyFill="1" applyBorder="1" applyAlignment="1">
      <alignment horizontal="center" textRotation="90"/>
    </xf>
    <xf numFmtId="0" fontId="1" fillId="5" borderId="2" xfId="0" applyFont="1" applyFill="1" applyBorder="1" applyAlignment="1">
      <alignment horizontal="center" textRotation="90"/>
    </xf>
    <xf numFmtId="0" fontId="1" fillId="5" borderId="3" xfId="0" applyFont="1" applyFill="1" applyBorder="1" applyAlignment="1">
      <alignment horizontal="center" textRotation="90"/>
    </xf>
    <xf numFmtId="0" fontId="1" fillId="5" borderId="8" xfId="0" applyFont="1" applyFill="1" applyBorder="1" applyAlignment="1">
      <alignment horizontal="center" textRotation="90"/>
    </xf>
    <xf numFmtId="0" fontId="0" fillId="9" borderId="0" xfId="0" applyFill="1"/>
    <xf numFmtId="4" fontId="0" fillId="9" borderId="0" xfId="0" applyNumberFormat="1" applyFill="1"/>
  </cellXfs>
  <cellStyles count="2">
    <cellStyle name="Normal" xfId="0" builtinId="0"/>
    <cellStyle name="Normal 2" xfId="1" xr:uid="{94D1287A-AA2C-40F1-88CC-025552A3D9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FBE0-8724-4A9D-BF01-81AD498C2D59}">
  <dimension ref="A1:AB20"/>
  <sheetViews>
    <sheetView tabSelected="1" workbookViewId="0">
      <selection activeCell="D6" sqref="D6"/>
    </sheetView>
  </sheetViews>
  <sheetFormatPr baseColWidth="10" defaultRowHeight="14.4" x14ac:dyDescent="0.3"/>
  <sheetData>
    <row r="1" spans="1:28" ht="15" thickBot="1" x14ac:dyDescent="0.35">
      <c r="A1" s="77"/>
      <c r="B1" s="78"/>
      <c r="C1" s="77"/>
      <c r="D1" s="77"/>
      <c r="J1" s="67" t="s">
        <v>0</v>
      </c>
      <c r="M1" s="67" t="s">
        <v>0</v>
      </c>
      <c r="P1" s="67" t="s">
        <v>0</v>
      </c>
      <c r="T1" s="69" t="s">
        <v>1</v>
      </c>
      <c r="W1" s="69" t="s">
        <v>1</v>
      </c>
      <c r="Z1" s="69" t="s">
        <v>1</v>
      </c>
    </row>
    <row r="2" spans="1:28" x14ac:dyDescent="0.3">
      <c r="J2" s="67"/>
      <c r="M2" s="67"/>
      <c r="P2" s="67"/>
      <c r="R2" s="71" t="s">
        <v>0</v>
      </c>
      <c r="T2" s="69"/>
      <c r="W2" s="69"/>
      <c r="Z2" s="69"/>
      <c r="AB2" s="74" t="s">
        <v>1</v>
      </c>
    </row>
    <row r="3" spans="1:28" x14ac:dyDescent="0.3">
      <c r="J3" s="67"/>
      <c r="M3" s="67"/>
      <c r="P3" s="67"/>
      <c r="R3" s="72"/>
      <c r="T3" s="69"/>
      <c r="W3" s="69"/>
      <c r="Z3" s="69"/>
      <c r="AB3" s="75"/>
    </row>
    <row r="4" spans="1:28" ht="15" thickBot="1" x14ac:dyDescent="0.35">
      <c r="J4" s="68"/>
      <c r="M4" s="68"/>
      <c r="P4" s="68"/>
      <c r="R4" s="72"/>
      <c r="T4" s="70"/>
      <c r="W4" s="70"/>
      <c r="Z4" s="70"/>
      <c r="AB4" s="75"/>
    </row>
    <row r="5" spans="1:28" ht="16.2" thickBot="1" x14ac:dyDescent="0.35">
      <c r="A5" t="s">
        <v>34</v>
      </c>
      <c r="B5" s="3"/>
      <c r="C5" s="4" t="s">
        <v>2</v>
      </c>
      <c r="D5" s="5" t="s">
        <v>3</v>
      </c>
      <c r="E5" s="5" t="s">
        <v>4</v>
      </c>
      <c r="F5" s="6" t="s">
        <v>5</v>
      </c>
      <c r="G5" s="7" t="s">
        <v>6</v>
      </c>
      <c r="H5" s="8" t="s">
        <v>35</v>
      </c>
      <c r="I5" s="9" t="s">
        <v>7</v>
      </c>
      <c r="J5" s="10" t="s">
        <v>8</v>
      </c>
      <c r="K5" s="8" t="s">
        <v>9</v>
      </c>
      <c r="L5" s="9" t="s">
        <v>10</v>
      </c>
      <c r="M5" s="10" t="s">
        <v>11</v>
      </c>
      <c r="N5" s="8" t="s">
        <v>12</v>
      </c>
      <c r="O5" s="9" t="s">
        <v>13</v>
      </c>
      <c r="P5" s="10" t="s">
        <v>14</v>
      </c>
      <c r="Q5" s="8" t="s">
        <v>15</v>
      </c>
      <c r="R5" s="73"/>
      <c r="S5" s="11" t="s">
        <v>16</v>
      </c>
      <c r="T5" s="12" t="s">
        <v>8</v>
      </c>
      <c r="U5" s="8" t="s">
        <v>9</v>
      </c>
      <c r="V5" s="11" t="s">
        <v>17</v>
      </c>
      <c r="W5" s="12" t="s">
        <v>11</v>
      </c>
      <c r="X5" s="8" t="s">
        <v>12</v>
      </c>
      <c r="Y5" s="11" t="s">
        <v>18</v>
      </c>
      <c r="Z5" s="12" t="s">
        <v>14</v>
      </c>
      <c r="AA5" s="8" t="s">
        <v>15</v>
      </c>
      <c r="AB5" s="76"/>
    </row>
    <row r="6" spans="1:28" ht="15.6" x14ac:dyDescent="0.3">
      <c r="A6" s="65">
        <v>46082</v>
      </c>
      <c r="B6" s="13" t="s">
        <v>19</v>
      </c>
      <c r="C6" s="14">
        <f t="shared" ref="C6:C17" si="0">+E6+D6</f>
        <v>10</v>
      </c>
      <c r="D6" s="15">
        <v>8</v>
      </c>
      <c r="E6" s="16">
        <v>2</v>
      </c>
      <c r="F6" s="17" t="s">
        <v>20</v>
      </c>
      <c r="G6" s="18">
        <v>3776</v>
      </c>
      <c r="H6" s="19">
        <v>12</v>
      </c>
      <c r="I6" s="18" t="s">
        <v>21</v>
      </c>
      <c r="J6" s="20">
        <v>5</v>
      </c>
      <c r="K6" s="21">
        <f>(((D6/R6)*J6)*H6*1000)/(0.59*G6)</f>
        <v>26.931916116058609</v>
      </c>
      <c r="L6" s="18" t="s">
        <v>30</v>
      </c>
      <c r="M6" s="20">
        <v>2</v>
      </c>
      <c r="N6" s="21">
        <f>(((D6/R6)*M6)*H6*1000)/(0.59*G6)</f>
        <v>10.772766446423443</v>
      </c>
      <c r="O6" s="18" t="s">
        <v>32</v>
      </c>
      <c r="P6" s="20">
        <v>1</v>
      </c>
      <c r="Q6" s="21">
        <f>(((D6/R6)*P6)*H6*1000)/(0.59*G6)</f>
        <v>5.3863832232117215</v>
      </c>
      <c r="R6" s="22">
        <f>J6+M6+P6</f>
        <v>8</v>
      </c>
      <c r="S6" s="18" t="s">
        <v>22</v>
      </c>
      <c r="T6" s="20">
        <v>2</v>
      </c>
      <c r="U6" s="21">
        <f>(((E6/AB6)*T6)*H6*1000)/(0.59*G6)</f>
        <v>10.772766446423443</v>
      </c>
      <c r="V6" s="18"/>
      <c r="W6" s="20"/>
      <c r="X6" s="21">
        <f>(((E6/AB6)*W6)*H6*1000)/(0.59*G6)</f>
        <v>0</v>
      </c>
      <c r="Y6" s="18"/>
      <c r="Z6" s="20"/>
      <c r="AA6" s="21">
        <f>(((E6/AB6)*Z6)*H6*1000)/(0.59*G6)</f>
        <v>0</v>
      </c>
      <c r="AB6" s="23">
        <f>T6+W6+Z6</f>
        <v>2</v>
      </c>
    </row>
    <row r="7" spans="1:28" ht="15.6" x14ac:dyDescent="0.3">
      <c r="A7" s="65">
        <v>46082</v>
      </c>
      <c r="B7" s="25">
        <v>2</v>
      </c>
      <c r="C7" s="26">
        <f t="shared" si="0"/>
        <v>0</v>
      </c>
      <c r="D7" s="27"/>
      <c r="E7" s="28"/>
      <c r="G7" s="29"/>
      <c r="H7" s="30"/>
      <c r="I7" s="29"/>
      <c r="J7" s="31"/>
      <c r="K7" s="32" t="e">
        <f t="shared" ref="K7:K19" si="1">(((D7/R7)*J7)*H7*1000)/(0.59*G7)</f>
        <v>#DIV/0!</v>
      </c>
      <c r="L7" s="29"/>
      <c r="M7" s="31"/>
      <c r="N7" s="32" t="e">
        <f t="shared" ref="N7:N19" si="2">(((D7/R7)*M7)*H7*1000)/(0.59*G7)</f>
        <v>#DIV/0!</v>
      </c>
      <c r="O7" s="29"/>
      <c r="P7" s="31"/>
      <c r="Q7" s="32" t="e">
        <f t="shared" ref="Q7:Q19" si="3">(((D7/R7)*P7)*H7*1000)/(0.59*G7)</f>
        <v>#DIV/0!</v>
      </c>
      <c r="R7" s="33">
        <f t="shared" ref="R7:R19" si="4">J7+M7+P7</f>
        <v>0</v>
      </c>
      <c r="S7" s="29"/>
      <c r="T7" s="31"/>
      <c r="U7" s="32" t="e">
        <f t="shared" ref="U7:U19" si="5">(((E7/AB7)*T7)*H7*1000)/(0.59*G7)</f>
        <v>#DIV/0!</v>
      </c>
      <c r="V7" s="29"/>
      <c r="W7" s="31"/>
      <c r="X7" s="32" t="e">
        <f t="shared" ref="X7:X19" si="6">(((E7/AB7)*W7)*H7*1000)/(0.59*G7)</f>
        <v>#DIV/0!</v>
      </c>
      <c r="Y7" s="29"/>
      <c r="Z7" s="31"/>
      <c r="AA7" s="32" t="e">
        <f t="shared" ref="AA7:AA19" si="7">(((E7/AB7)*Z7)*H7*1000)/(0.59*G7)</f>
        <v>#DIV/0!</v>
      </c>
      <c r="AB7" s="34">
        <f t="shared" ref="AB7:AB19" si="8">T7+W7+Z7</f>
        <v>0</v>
      </c>
    </row>
    <row r="8" spans="1:28" ht="15.6" x14ac:dyDescent="0.3">
      <c r="A8" s="65">
        <v>46083</v>
      </c>
      <c r="B8" s="25">
        <v>3</v>
      </c>
      <c r="C8" s="26">
        <f t="shared" si="0"/>
        <v>0</v>
      </c>
      <c r="D8" s="27"/>
      <c r="E8" s="28"/>
      <c r="G8" s="29"/>
      <c r="H8" s="30"/>
      <c r="I8" s="29"/>
      <c r="J8" s="31"/>
      <c r="K8" s="32" t="e">
        <f t="shared" si="1"/>
        <v>#DIV/0!</v>
      </c>
      <c r="L8" s="29"/>
      <c r="M8" s="31"/>
      <c r="N8" s="32" t="e">
        <f t="shared" si="2"/>
        <v>#DIV/0!</v>
      </c>
      <c r="O8" s="29"/>
      <c r="P8" s="31"/>
      <c r="Q8" s="32" t="e">
        <f t="shared" si="3"/>
        <v>#DIV/0!</v>
      </c>
      <c r="R8" s="33">
        <f t="shared" si="4"/>
        <v>0</v>
      </c>
      <c r="S8" s="29"/>
      <c r="T8" s="31"/>
      <c r="U8" s="32" t="e">
        <f t="shared" si="5"/>
        <v>#DIV/0!</v>
      </c>
      <c r="V8" s="29"/>
      <c r="W8" s="31"/>
      <c r="X8" s="32" t="e">
        <f t="shared" si="6"/>
        <v>#DIV/0!</v>
      </c>
      <c r="Y8" s="29"/>
      <c r="Z8" s="31"/>
      <c r="AA8" s="32" t="e">
        <f t="shared" si="7"/>
        <v>#DIV/0!</v>
      </c>
      <c r="AB8" s="34">
        <f t="shared" si="8"/>
        <v>0</v>
      </c>
    </row>
    <row r="9" spans="1:28" ht="15.6" x14ac:dyDescent="0.3">
      <c r="A9" s="65">
        <v>46083</v>
      </c>
      <c r="B9" s="25">
        <v>4</v>
      </c>
      <c r="C9" s="26">
        <f t="shared" si="0"/>
        <v>0</v>
      </c>
      <c r="D9" s="27"/>
      <c r="E9" s="28"/>
      <c r="G9" s="29"/>
      <c r="H9" s="30"/>
      <c r="I9" s="29"/>
      <c r="J9" s="31"/>
      <c r="K9" s="32" t="e">
        <f t="shared" si="1"/>
        <v>#DIV/0!</v>
      </c>
      <c r="L9" s="29"/>
      <c r="M9" s="31"/>
      <c r="N9" s="32" t="e">
        <f t="shared" si="2"/>
        <v>#DIV/0!</v>
      </c>
      <c r="O9" s="29"/>
      <c r="P9" s="31"/>
      <c r="Q9" s="32" t="e">
        <f t="shared" si="3"/>
        <v>#DIV/0!</v>
      </c>
      <c r="R9" s="33">
        <f t="shared" si="4"/>
        <v>0</v>
      </c>
      <c r="S9" s="29"/>
      <c r="T9" s="31"/>
      <c r="U9" s="32" t="e">
        <f t="shared" si="5"/>
        <v>#DIV/0!</v>
      </c>
      <c r="V9" s="29"/>
      <c r="W9" s="31"/>
      <c r="X9" s="32" t="e">
        <f t="shared" si="6"/>
        <v>#DIV/0!</v>
      </c>
      <c r="Y9" s="29"/>
      <c r="Z9" s="31"/>
      <c r="AA9" s="32" t="e">
        <f t="shared" si="7"/>
        <v>#DIV/0!</v>
      </c>
      <c r="AB9" s="34">
        <f t="shared" si="8"/>
        <v>0</v>
      </c>
    </row>
    <row r="10" spans="1:28" ht="15.6" x14ac:dyDescent="0.3">
      <c r="A10" s="65">
        <v>46084</v>
      </c>
      <c r="B10" s="25">
        <v>5</v>
      </c>
      <c r="C10" s="26">
        <f t="shared" si="0"/>
        <v>0</v>
      </c>
      <c r="D10" s="27"/>
      <c r="E10" s="28"/>
      <c r="G10" s="29"/>
      <c r="H10" s="30"/>
      <c r="I10" s="29"/>
      <c r="J10" s="31"/>
      <c r="K10" s="32" t="e">
        <f t="shared" si="1"/>
        <v>#DIV/0!</v>
      </c>
      <c r="L10" s="29"/>
      <c r="M10" s="31"/>
      <c r="N10" s="32" t="e">
        <f t="shared" si="2"/>
        <v>#DIV/0!</v>
      </c>
      <c r="O10" s="29"/>
      <c r="P10" s="31"/>
      <c r="Q10" s="32" t="e">
        <f t="shared" si="3"/>
        <v>#DIV/0!</v>
      </c>
      <c r="R10" s="33">
        <f t="shared" si="4"/>
        <v>0</v>
      </c>
      <c r="S10" s="29"/>
      <c r="T10" s="31"/>
      <c r="U10" s="32" t="e">
        <f t="shared" si="5"/>
        <v>#DIV/0!</v>
      </c>
      <c r="V10" s="29"/>
      <c r="W10" s="31"/>
      <c r="X10" s="32" t="e">
        <f t="shared" si="6"/>
        <v>#DIV/0!</v>
      </c>
      <c r="Y10" s="29"/>
      <c r="Z10" s="31"/>
      <c r="AA10" s="32" t="e">
        <f t="shared" si="7"/>
        <v>#DIV/0!</v>
      </c>
      <c r="AB10" s="34">
        <f t="shared" si="8"/>
        <v>0</v>
      </c>
    </row>
    <row r="11" spans="1:28" ht="17.399999999999999" x14ac:dyDescent="0.3">
      <c r="A11" s="66">
        <v>46084</v>
      </c>
      <c r="B11" s="25">
        <v>6</v>
      </c>
      <c r="C11" s="26">
        <f t="shared" si="0"/>
        <v>0</v>
      </c>
      <c r="D11" s="27"/>
      <c r="E11" s="28"/>
      <c r="G11" s="29"/>
      <c r="H11" s="30"/>
      <c r="I11" s="29"/>
      <c r="J11" s="31"/>
      <c r="K11" s="32" t="e">
        <f t="shared" si="1"/>
        <v>#DIV/0!</v>
      </c>
      <c r="L11" s="29"/>
      <c r="M11" s="31"/>
      <c r="N11" s="32" t="e">
        <f t="shared" si="2"/>
        <v>#DIV/0!</v>
      </c>
      <c r="O11" s="29"/>
      <c r="P11" s="31"/>
      <c r="Q11" s="32" t="e">
        <f t="shared" si="3"/>
        <v>#DIV/0!</v>
      </c>
      <c r="R11" s="33">
        <f t="shared" si="4"/>
        <v>0</v>
      </c>
      <c r="S11" s="29"/>
      <c r="T11" s="31"/>
      <c r="U11" s="32" t="e">
        <f t="shared" si="5"/>
        <v>#DIV/0!</v>
      </c>
      <c r="V11" s="29"/>
      <c r="W11" s="31"/>
      <c r="X11" s="32" t="e">
        <f t="shared" si="6"/>
        <v>#DIV/0!</v>
      </c>
      <c r="Y11" s="29"/>
      <c r="Z11" s="31"/>
      <c r="AA11" s="32" t="e">
        <f t="shared" si="7"/>
        <v>#DIV/0!</v>
      </c>
      <c r="AB11" s="34">
        <f t="shared" si="8"/>
        <v>0</v>
      </c>
    </row>
    <row r="12" spans="1:28" ht="16.2" thickBot="1" x14ac:dyDescent="0.35">
      <c r="B12" s="25">
        <v>7</v>
      </c>
      <c r="C12" s="35">
        <f t="shared" si="0"/>
        <v>0</v>
      </c>
      <c r="D12" s="36"/>
      <c r="E12" s="37"/>
      <c r="F12" s="38"/>
      <c r="G12" s="39"/>
      <c r="H12" s="40"/>
      <c r="I12" s="39"/>
      <c r="J12" s="41"/>
      <c r="K12" s="42" t="e">
        <f t="shared" si="1"/>
        <v>#DIV/0!</v>
      </c>
      <c r="L12" s="39"/>
      <c r="M12" s="41"/>
      <c r="N12" s="42" t="e">
        <f t="shared" si="2"/>
        <v>#DIV/0!</v>
      </c>
      <c r="O12" s="39"/>
      <c r="P12" s="41"/>
      <c r="Q12" s="42" t="e">
        <f t="shared" si="3"/>
        <v>#DIV/0!</v>
      </c>
      <c r="R12" s="43">
        <f t="shared" si="4"/>
        <v>0</v>
      </c>
      <c r="S12" s="39"/>
      <c r="T12" s="41"/>
      <c r="U12" s="42" t="e">
        <f t="shared" si="5"/>
        <v>#DIV/0!</v>
      </c>
      <c r="V12" s="39"/>
      <c r="W12" s="41"/>
      <c r="X12" s="42" t="e">
        <f t="shared" si="6"/>
        <v>#DIV/0!</v>
      </c>
      <c r="Y12" s="39"/>
      <c r="Z12" s="41"/>
      <c r="AA12" s="42" t="e">
        <f t="shared" si="7"/>
        <v>#DIV/0!</v>
      </c>
      <c r="AB12" s="44">
        <f t="shared" si="8"/>
        <v>0</v>
      </c>
    </row>
    <row r="13" spans="1:28" ht="15.6" x14ac:dyDescent="0.3">
      <c r="B13" s="13" t="s">
        <v>23</v>
      </c>
      <c r="C13" s="45">
        <f t="shared" si="0"/>
        <v>8.8000000000000007</v>
      </c>
      <c r="D13" s="46">
        <v>8</v>
      </c>
      <c r="E13" s="47">
        <v>0.8</v>
      </c>
      <c r="F13" s="17" t="s">
        <v>24</v>
      </c>
      <c r="G13" s="48">
        <v>2766</v>
      </c>
      <c r="H13" s="49">
        <v>12</v>
      </c>
      <c r="I13" s="48" t="s">
        <v>25</v>
      </c>
      <c r="J13" s="50">
        <v>6</v>
      </c>
      <c r="K13" s="51">
        <f t="shared" si="1"/>
        <v>58.825692121033867</v>
      </c>
      <c r="L13" s="48"/>
      <c r="M13" s="50"/>
      <c r="N13" s="51">
        <f t="shared" si="2"/>
        <v>0</v>
      </c>
      <c r="O13" s="48"/>
      <c r="P13" s="50"/>
      <c r="Q13" s="51">
        <f t="shared" si="3"/>
        <v>0</v>
      </c>
      <c r="R13" s="22">
        <f t="shared" si="4"/>
        <v>6</v>
      </c>
      <c r="S13" s="48" t="s">
        <v>26</v>
      </c>
      <c r="T13" s="50">
        <v>1</v>
      </c>
      <c r="U13" s="51">
        <f t="shared" si="5"/>
        <v>2.9412846060516937</v>
      </c>
      <c r="V13" s="48" t="s">
        <v>27</v>
      </c>
      <c r="W13" s="50">
        <v>1</v>
      </c>
      <c r="X13" s="51">
        <f t="shared" si="6"/>
        <v>2.9412846060516937</v>
      </c>
      <c r="Y13" s="48"/>
      <c r="Z13" s="50"/>
      <c r="AA13" s="51">
        <f t="shared" si="7"/>
        <v>0</v>
      </c>
      <c r="AB13" s="23">
        <f t="shared" si="8"/>
        <v>2</v>
      </c>
    </row>
    <row r="14" spans="1:28" ht="15.6" x14ac:dyDescent="0.3">
      <c r="B14" s="25">
        <v>2</v>
      </c>
      <c r="C14" s="26">
        <f t="shared" si="0"/>
        <v>3</v>
      </c>
      <c r="D14" s="27">
        <v>1</v>
      </c>
      <c r="E14" s="28">
        <v>2</v>
      </c>
      <c r="F14" t="s">
        <v>28</v>
      </c>
      <c r="G14" s="29">
        <v>3524</v>
      </c>
      <c r="H14" s="30">
        <v>12</v>
      </c>
      <c r="I14" s="29" t="s">
        <v>29</v>
      </c>
      <c r="J14" s="31">
        <v>4</v>
      </c>
      <c r="K14" s="32">
        <f>(((D14/R14)*J14)*H14*1000)/(0.59*G14)</f>
        <v>3.2980351955322615</v>
      </c>
      <c r="L14" s="29" t="s">
        <v>30</v>
      </c>
      <c r="M14" s="31">
        <v>3</v>
      </c>
      <c r="N14" s="32">
        <f t="shared" si="2"/>
        <v>2.4735263966491963</v>
      </c>
      <c r="O14" s="29"/>
      <c r="P14" s="31"/>
      <c r="Q14" s="32">
        <f t="shared" si="3"/>
        <v>0</v>
      </c>
      <c r="R14" s="33">
        <f t="shared" si="4"/>
        <v>7</v>
      </c>
      <c r="S14" s="29" t="s">
        <v>27</v>
      </c>
      <c r="T14" s="31">
        <v>2</v>
      </c>
      <c r="U14" s="32">
        <f t="shared" si="5"/>
        <v>7.6954154562419443</v>
      </c>
      <c r="V14" s="29" t="s">
        <v>33</v>
      </c>
      <c r="W14" s="31">
        <v>1</v>
      </c>
      <c r="X14" s="32">
        <f t="shared" si="6"/>
        <v>3.8477077281209722</v>
      </c>
      <c r="Y14" s="29"/>
      <c r="Z14" s="31"/>
      <c r="AA14" s="32">
        <f t="shared" si="7"/>
        <v>0</v>
      </c>
      <c r="AB14" s="34">
        <f t="shared" si="8"/>
        <v>3</v>
      </c>
    </row>
    <row r="15" spans="1:28" ht="15.6" x14ac:dyDescent="0.3">
      <c r="B15" s="25">
        <v>3</v>
      </c>
      <c r="C15" s="26">
        <f t="shared" si="0"/>
        <v>0</v>
      </c>
      <c r="D15" s="27"/>
      <c r="E15" s="28"/>
      <c r="G15" s="29"/>
      <c r="H15" s="30"/>
      <c r="I15" s="29"/>
      <c r="J15" s="31"/>
      <c r="K15" s="32" t="e">
        <f t="shared" si="1"/>
        <v>#DIV/0!</v>
      </c>
      <c r="L15" s="29"/>
      <c r="M15" s="31"/>
      <c r="N15" s="32" t="e">
        <f t="shared" si="2"/>
        <v>#DIV/0!</v>
      </c>
      <c r="O15" s="29"/>
      <c r="P15" s="31"/>
      <c r="Q15" s="32" t="e">
        <f t="shared" si="3"/>
        <v>#DIV/0!</v>
      </c>
      <c r="R15" s="33">
        <f t="shared" si="4"/>
        <v>0</v>
      </c>
      <c r="S15" s="29"/>
      <c r="T15" s="31"/>
      <c r="U15" s="32" t="e">
        <f t="shared" si="5"/>
        <v>#DIV/0!</v>
      </c>
      <c r="V15" s="29"/>
      <c r="W15" s="31"/>
      <c r="X15" s="32" t="e">
        <f t="shared" si="6"/>
        <v>#DIV/0!</v>
      </c>
      <c r="Y15" s="29"/>
      <c r="Z15" s="31"/>
      <c r="AA15" s="32" t="e">
        <f t="shared" si="7"/>
        <v>#DIV/0!</v>
      </c>
      <c r="AB15" s="34">
        <f t="shared" si="8"/>
        <v>0</v>
      </c>
    </row>
    <row r="16" spans="1:28" ht="15.6" x14ac:dyDescent="0.3">
      <c r="B16" s="25">
        <v>4</v>
      </c>
      <c r="C16" s="26">
        <f t="shared" si="0"/>
        <v>0</v>
      </c>
      <c r="D16" s="27"/>
      <c r="E16" s="28"/>
      <c r="G16" s="29"/>
      <c r="H16" s="30"/>
      <c r="I16" s="29"/>
      <c r="J16" s="31"/>
      <c r="K16" s="32" t="e">
        <f t="shared" si="1"/>
        <v>#DIV/0!</v>
      </c>
      <c r="L16" s="29"/>
      <c r="M16" s="31"/>
      <c r="N16" s="32" t="e">
        <f t="shared" si="2"/>
        <v>#DIV/0!</v>
      </c>
      <c r="O16" s="29"/>
      <c r="P16" s="31"/>
      <c r="Q16" s="32" t="e">
        <f t="shared" si="3"/>
        <v>#DIV/0!</v>
      </c>
      <c r="R16" s="33">
        <f t="shared" si="4"/>
        <v>0</v>
      </c>
      <c r="S16" s="29"/>
      <c r="T16" s="31"/>
      <c r="U16" s="32" t="e">
        <f t="shared" si="5"/>
        <v>#DIV/0!</v>
      </c>
      <c r="V16" s="29"/>
      <c r="W16" s="31"/>
      <c r="X16" s="32" t="e">
        <f t="shared" si="6"/>
        <v>#DIV/0!</v>
      </c>
      <c r="Y16" s="29"/>
      <c r="Z16" s="31"/>
      <c r="AA16" s="32" t="e">
        <f t="shared" si="7"/>
        <v>#DIV/0!</v>
      </c>
      <c r="AB16" s="34">
        <f t="shared" si="8"/>
        <v>0</v>
      </c>
    </row>
    <row r="17" spans="1:28" ht="15.6" x14ac:dyDescent="0.3">
      <c r="A17" s="2"/>
      <c r="B17" s="25">
        <v>5</v>
      </c>
      <c r="C17" s="26">
        <f t="shared" si="0"/>
        <v>0</v>
      </c>
      <c r="D17" s="27"/>
      <c r="E17" s="28"/>
      <c r="G17" s="29"/>
      <c r="H17" s="30"/>
      <c r="I17" s="29"/>
      <c r="J17" s="31"/>
      <c r="K17" s="32" t="e">
        <f t="shared" si="1"/>
        <v>#DIV/0!</v>
      </c>
      <c r="L17" s="29"/>
      <c r="M17" s="31"/>
      <c r="N17" s="32" t="e">
        <f t="shared" si="2"/>
        <v>#DIV/0!</v>
      </c>
      <c r="O17" s="29"/>
      <c r="P17" s="31"/>
      <c r="Q17" s="32" t="e">
        <f t="shared" si="3"/>
        <v>#DIV/0!</v>
      </c>
      <c r="R17" s="33">
        <f t="shared" si="4"/>
        <v>0</v>
      </c>
      <c r="S17" s="29"/>
      <c r="T17" s="31"/>
      <c r="U17" s="32" t="e">
        <f t="shared" si="5"/>
        <v>#DIV/0!</v>
      </c>
      <c r="V17" s="29"/>
      <c r="W17" s="31"/>
      <c r="X17" s="32" t="e">
        <f t="shared" si="6"/>
        <v>#DIV/0!</v>
      </c>
      <c r="Y17" s="29"/>
      <c r="Z17" s="31"/>
      <c r="AA17" s="32" t="e">
        <f t="shared" si="7"/>
        <v>#DIV/0!</v>
      </c>
      <c r="AB17" s="34">
        <f t="shared" si="8"/>
        <v>0</v>
      </c>
    </row>
    <row r="18" spans="1:28" ht="15.6" x14ac:dyDescent="0.3">
      <c r="A18" s="2"/>
      <c r="B18" s="25">
        <v>6</v>
      </c>
      <c r="C18" s="26">
        <f>+E18+D18</f>
        <v>0</v>
      </c>
      <c r="D18" s="27"/>
      <c r="E18" s="28"/>
      <c r="G18" s="29"/>
      <c r="H18" s="30"/>
      <c r="I18" s="29"/>
      <c r="J18" s="31"/>
      <c r="K18" s="32" t="e">
        <f t="shared" si="1"/>
        <v>#DIV/0!</v>
      </c>
      <c r="L18" s="29"/>
      <c r="M18" s="31"/>
      <c r="N18" s="32" t="e">
        <f t="shared" si="2"/>
        <v>#DIV/0!</v>
      </c>
      <c r="O18" s="29"/>
      <c r="P18" s="31"/>
      <c r="Q18" s="32" t="e">
        <f t="shared" si="3"/>
        <v>#DIV/0!</v>
      </c>
      <c r="R18" s="33">
        <f t="shared" si="4"/>
        <v>0</v>
      </c>
      <c r="S18" s="29"/>
      <c r="T18" s="31"/>
      <c r="U18" s="32" t="e">
        <f t="shared" si="5"/>
        <v>#DIV/0!</v>
      </c>
      <c r="V18" s="29"/>
      <c r="W18" s="31"/>
      <c r="X18" s="32" t="e">
        <f t="shared" si="6"/>
        <v>#DIV/0!</v>
      </c>
      <c r="Y18" s="29"/>
      <c r="Z18" s="31"/>
      <c r="AA18" s="32" t="e">
        <f t="shared" si="7"/>
        <v>#DIV/0!</v>
      </c>
      <c r="AB18" s="34">
        <f t="shared" si="8"/>
        <v>0</v>
      </c>
    </row>
    <row r="19" spans="1:28" ht="16.2" thickBot="1" x14ac:dyDescent="0.35">
      <c r="A19" s="52"/>
      <c r="B19" s="25">
        <v>7</v>
      </c>
      <c r="C19" s="35">
        <f>+E19+D19</f>
        <v>0</v>
      </c>
      <c r="D19" s="36"/>
      <c r="E19" s="37"/>
      <c r="F19" s="53"/>
      <c r="G19" s="54"/>
      <c r="H19" s="55"/>
      <c r="I19" s="54"/>
      <c r="J19" s="56"/>
      <c r="K19" s="57" t="e">
        <f t="shared" si="1"/>
        <v>#DIV/0!</v>
      </c>
      <c r="L19" s="54"/>
      <c r="M19" s="56"/>
      <c r="N19" s="57" t="e">
        <f t="shared" si="2"/>
        <v>#DIV/0!</v>
      </c>
      <c r="O19" s="54"/>
      <c r="P19" s="56"/>
      <c r="Q19" s="57" t="e">
        <f t="shared" si="3"/>
        <v>#DIV/0!</v>
      </c>
      <c r="R19" s="58">
        <f t="shared" si="4"/>
        <v>0</v>
      </c>
      <c r="S19" s="54"/>
      <c r="T19" s="56"/>
      <c r="U19" s="57" t="e">
        <f t="shared" si="5"/>
        <v>#DIV/0!</v>
      </c>
      <c r="V19" s="54"/>
      <c r="W19" s="56"/>
      <c r="X19" s="57" t="e">
        <f t="shared" si="6"/>
        <v>#DIV/0!</v>
      </c>
      <c r="Y19" s="54"/>
      <c r="Z19" s="56"/>
      <c r="AA19" s="57" t="e">
        <f t="shared" si="7"/>
        <v>#DIV/0!</v>
      </c>
      <c r="AB19" s="59">
        <f t="shared" si="8"/>
        <v>0</v>
      </c>
    </row>
    <row r="20" spans="1:28" ht="18" x14ac:dyDescent="0.35">
      <c r="A20" s="60"/>
      <c r="B20" s="61"/>
      <c r="C20" s="62">
        <f>SUM(C6:C19)</f>
        <v>21.8</v>
      </c>
      <c r="D20" s="63">
        <f>SUM(D6:D19)</f>
        <v>17</v>
      </c>
      <c r="E20" s="63">
        <f>SUM(E6:E19)</f>
        <v>4.8</v>
      </c>
      <c r="F20" s="64" t="s">
        <v>31</v>
      </c>
      <c r="G20" s="1"/>
      <c r="H20" s="1"/>
      <c r="I20" s="1"/>
      <c r="J20" s="1"/>
      <c r="K20" s="1"/>
      <c r="L20" s="1"/>
      <c r="M20" s="1"/>
      <c r="T20" s="1"/>
      <c r="U20" s="1"/>
      <c r="V20" s="1"/>
      <c r="W20" s="1"/>
      <c r="X20" s="24"/>
      <c r="Y20" s="24"/>
    </row>
  </sheetData>
  <mergeCells count="8">
    <mergeCell ref="AB2:AB5"/>
    <mergeCell ref="J1:J4"/>
    <mergeCell ref="M1:M4"/>
    <mergeCell ref="P1:P4"/>
    <mergeCell ref="T1:T4"/>
    <mergeCell ref="W1:W4"/>
    <mergeCell ref="Z1:Z4"/>
    <mergeCell ref="R2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Hernandez</dc:creator>
  <cp:lastModifiedBy>Franco Sanchez</cp:lastModifiedBy>
  <dcterms:created xsi:type="dcterms:W3CDTF">2026-03-13T15:25:10Z</dcterms:created>
  <dcterms:modified xsi:type="dcterms:W3CDTF">2026-03-17T00:15:15Z</dcterms:modified>
</cp:coreProperties>
</file>