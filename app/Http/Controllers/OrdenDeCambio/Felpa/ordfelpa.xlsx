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sanchez\Desktop\"/>
    </mc:Choice>
  </mc:AlternateContent>
  <xr:revisionPtr revIDLastSave="0" documentId="13_ncr:1_{FB25D4B2-73B3-42A5-A527-23EF47FF097A}" xr6:coauthVersionLast="47" xr6:coauthVersionMax="47" xr10:uidLastSave="{00000000-0000-0000-0000-000000000000}"/>
  <bookViews>
    <workbookView xWindow="-28920" yWindow="-120" windowWidth="29040" windowHeight="15720" xr2:uid="{5AD2B563-86DE-4E16-A95C-13676F9A1017}"/>
  </bookViews>
  <sheets>
    <sheet name="REGISTRO" sheetId="2" r:id="rId1"/>
    <sheet name="Hoja1" sheetId="1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1" l="1"/>
  <c r="D87" i="1" s="1"/>
  <c r="K91" i="1"/>
  <c r="I91" i="1"/>
  <c r="H91" i="1"/>
  <c r="D91" i="1"/>
  <c r="B91" i="1"/>
  <c r="A91" i="1"/>
  <c r="G73" i="1"/>
  <c r="E73" i="1"/>
  <c r="C73" i="1"/>
  <c r="B73" i="1"/>
  <c r="A73" i="1"/>
  <c r="M26" i="1"/>
  <c r="D97" i="1" s="1"/>
  <c r="M19" i="1"/>
  <c r="H19" i="1"/>
  <c r="P76" i="1" s="1"/>
  <c r="C19" i="1"/>
  <c r="O78" i="1" s="1"/>
  <c r="K17" i="1"/>
  <c r="H17" i="1" s="1"/>
  <c r="C102" i="1" s="1"/>
  <c r="C17" i="1"/>
  <c r="L76" i="1" s="1"/>
  <c r="N16" i="1"/>
  <c r="I16" i="1"/>
  <c r="O93" i="1" s="1"/>
  <c r="F16" i="1"/>
  <c r="M93" i="1" s="1"/>
  <c r="B16" i="1"/>
  <c r="N15" i="1"/>
  <c r="G96" i="1" s="1"/>
  <c r="M15" i="1"/>
  <c r="E96" i="1" s="1"/>
  <c r="L15" i="1"/>
  <c r="C96" i="1" s="1"/>
  <c r="K15" i="1"/>
  <c r="A96" i="1" s="1"/>
  <c r="J15" i="1"/>
  <c r="E91" i="1" s="1"/>
  <c r="I15" i="1"/>
  <c r="O91" i="1" s="1"/>
  <c r="G15" i="1"/>
  <c r="F73" i="1" s="1"/>
  <c r="F15" i="1"/>
  <c r="M91" i="1" s="1"/>
  <c r="O14" i="1"/>
  <c r="H71" i="1" s="1"/>
  <c r="N14" i="1"/>
  <c r="G94" i="1" s="1"/>
  <c r="M14" i="1"/>
  <c r="E94" i="1" s="1"/>
  <c r="L14" i="1"/>
  <c r="C94" i="1" s="1"/>
  <c r="K14" i="1"/>
  <c r="A94" i="1" s="1"/>
  <c r="J14" i="1"/>
  <c r="E90" i="1" s="1"/>
  <c r="I14" i="1"/>
  <c r="O90" i="1" s="1"/>
  <c r="H14" i="1"/>
  <c r="H90" i="1" s="1"/>
  <c r="G14" i="1"/>
  <c r="F72" i="1" s="1"/>
  <c r="F14" i="1"/>
  <c r="C75" i="1" s="1"/>
  <c r="E14" i="1"/>
  <c r="E72" i="1" s="1"/>
  <c r="D14" i="1"/>
  <c r="I90" i="1" s="1"/>
  <c r="C14" i="1"/>
  <c r="D90" i="1" s="1"/>
  <c r="B14" i="1"/>
  <c r="B72" i="1" s="1"/>
  <c r="A14" i="1"/>
  <c r="A72" i="1" s="1"/>
  <c r="O10" i="1"/>
  <c r="M10" i="1"/>
  <c r="J10" i="1"/>
  <c r="P68" i="1" s="1"/>
  <c r="D10" i="1"/>
  <c r="J68" i="1" s="1"/>
  <c r="O9" i="1"/>
  <c r="M9" i="1"/>
  <c r="I9" i="1"/>
  <c r="F68" i="1" s="1"/>
  <c r="F9" i="1"/>
  <c r="B9" i="1"/>
  <c r="B85" i="1" s="1"/>
  <c r="L8" i="1"/>
  <c r="L67" i="1" s="1"/>
  <c r="L88" i="1" s="1"/>
  <c r="I8" i="1"/>
  <c r="I67" i="1" s="1"/>
  <c r="D8" i="1"/>
  <c r="D67" i="1" s="1"/>
  <c r="L7" i="1"/>
  <c r="L66" i="1" s="1"/>
  <c r="I7" i="1"/>
  <c r="I66" i="1" s="1"/>
  <c r="J6" i="1"/>
  <c r="D6" i="1"/>
  <c r="D5" i="1"/>
  <c r="P4" i="1"/>
  <c r="P64" i="1" s="1"/>
  <c r="A1" i="1"/>
  <c r="D66" i="1" l="1"/>
  <c r="A99" i="1"/>
  <c r="K97" i="1"/>
  <c r="G91" i="1"/>
  <c r="B68" i="1"/>
  <c r="P85" i="1"/>
  <c r="L87" i="1"/>
  <c r="A90" i="1"/>
  <c r="P97" i="1"/>
  <c r="G72" i="1"/>
  <c r="B90" i="1"/>
  <c r="I87" i="1"/>
  <c r="K90" i="1"/>
  <c r="M90" i="1"/>
  <c r="H102" i="1"/>
  <c r="N37" i="1"/>
  <c r="N98" i="1"/>
  <c r="C72" i="1"/>
  <c r="G90" i="1"/>
  <c r="K19" i="1"/>
  <c r="N102" i="1" s="1"/>
</calcChain>
</file>

<file path=xl/sharedStrings.xml><?xml version="1.0" encoding="utf-8"?>
<sst xmlns="http://schemas.openxmlformats.org/spreadsheetml/2006/main" count="166" uniqueCount="108">
  <si>
    <t>ORDEN DE CAMBIO DE MODELO</t>
  </si>
  <si>
    <t>ORDEN No:</t>
  </si>
  <si>
    <t>HORA DE IMPRESIÓN:</t>
  </si>
  <si>
    <t xml:space="preserve">FECHA DE ORDEN: </t>
  </si>
  <si>
    <t>PRIORIDAD:</t>
  </si>
  <si>
    <t>DEPARTAMENTO:</t>
  </si>
  <si>
    <t>TELAR:</t>
  </si>
  <si>
    <t>MODELO:</t>
  </si>
  <si>
    <t>CANTIDAD A PRODUCIR:</t>
  </si>
  <si>
    <t>FECHA COMPR:</t>
  </si>
  <si>
    <t>CLAVE</t>
  </si>
  <si>
    <t>TOLERANCIA:</t>
  </si>
  <si>
    <t>RASURADA:</t>
  </si>
  <si>
    <t>CAMBIO DE REPASO:</t>
  </si>
  <si>
    <t>RIZO:</t>
  </si>
  <si>
    <t>CLAVE EN SISTEMA:</t>
  </si>
  <si>
    <t>CLAVE AX:</t>
  </si>
  <si>
    <t>CALIDAD:</t>
  </si>
  <si>
    <t>PIE:</t>
  </si>
  <si>
    <t>CARACTERISTICAS DEL MODELO</t>
  </si>
  <si>
    <t>LARGO</t>
  </si>
  <si>
    <t>P-CRUDO</t>
  </si>
  <si>
    <t>LUCHAJE</t>
  </si>
  <si>
    <t>PLANO DE DOBLADILLO</t>
  </si>
  <si>
    <t>HILO</t>
  </si>
  <si>
    <t>CENEFA TRAMA</t>
  </si>
  <si>
    <t>OBSERVACIONES</t>
  </si>
  <si>
    <t>TIPO</t>
  </si>
  <si>
    <t>RIZO</t>
  </si>
  <si>
    <t>ALT. RIZO</t>
  </si>
  <si>
    <t>TIPO RIZO</t>
  </si>
  <si>
    <t>PIE</t>
  </si>
  <si>
    <t>TRA</t>
  </si>
  <si>
    <t>C1</t>
  </si>
  <si>
    <t>C2</t>
  </si>
  <si>
    <t>C3</t>
  </si>
  <si>
    <t>C4</t>
  </si>
  <si>
    <t>ANCHO</t>
  </si>
  <si>
    <t>Cms.</t>
  </si>
  <si>
    <t xml:space="preserve">CUENTAS   </t>
  </si>
  <si>
    <t>DENSIDAD:</t>
  </si>
  <si>
    <t>TAMAÑO CENEFA</t>
  </si>
  <si>
    <t>CMS.</t>
  </si>
  <si>
    <t>MTS./ROLLO</t>
  </si>
  <si>
    <t>PROGRAMA CORTE DE ROLLO:</t>
  </si>
  <si>
    <t>REPETICIONES.</t>
  </si>
  <si>
    <t xml:space="preserve">MED. DE INICIO DE RIZO A CENEFA: </t>
  </si>
  <si>
    <t>VELOCIDAD MINIMA</t>
  </si>
  <si>
    <t>TOALLAS/ ROLLO</t>
  </si>
  <si>
    <t>TIRAS</t>
  </si>
  <si>
    <t>PESO MUESTRA REDONDA</t>
  </si>
  <si>
    <t>PESO CORRECTO DE MUESTRA REDONDA</t>
  </si>
  <si>
    <t>TOTAL DE PASADAS DEL DIBUJO</t>
  </si>
  <si>
    <t>VERIFICAR COLOCACION DE PAPELETA EN TELAR</t>
  </si>
  <si>
    <t>VERIFICAR PROGGRAMA CORTE DE ROLLO CORRECTO</t>
  </si>
  <si>
    <t>ACTUALIZACION ARCHIVO DE ALINEACION</t>
  </si>
  <si>
    <t>PEGAR MUESTRA DE TOALLA O CENEFA</t>
  </si>
  <si>
    <t>HORA INICIO</t>
  </si>
  <si>
    <t>LIBERACION SUP. TEJIDO / HORA</t>
  </si>
  <si>
    <t>LIBERACION MECANICO / HORA</t>
  </si>
  <si>
    <t>HORA FIN</t>
  </si>
  <si>
    <t>NOMBRE DEL ARCHIVO</t>
  </si>
  <si>
    <t>LIBERACION DESARROLLO / HORA</t>
  </si>
  <si>
    <t>RECIBE EN CRUDO / HORA</t>
  </si>
  <si>
    <t>LIBERACION AUDITOR CALIDAD</t>
  </si>
  <si>
    <t>Talon para  supervisor de tejido</t>
  </si>
  <si>
    <t>Talón 1 de 4</t>
  </si>
  <si>
    <t>F-PL-08</t>
  </si>
  <si>
    <t>Versión 04</t>
  </si>
  <si>
    <t>CONTROL Y ENTREGA DE DIBUJOS</t>
  </si>
  <si>
    <t>FECHA</t>
  </si>
  <si>
    <t>TELAR</t>
  </si>
  <si>
    <t>TRAMA             ANCHO PEINE</t>
  </si>
  <si>
    <t>DESPERDICIO              TRAMA</t>
  </si>
  <si>
    <t>LONG. DE LUCHA TOT.</t>
  </si>
  <si>
    <r>
      <t>TITULO</t>
    </r>
    <r>
      <rPr>
        <b/>
        <sz val="6"/>
        <rFont val="Arial"/>
        <family val="2"/>
      </rPr>
      <t>(FONDO)</t>
    </r>
    <r>
      <rPr>
        <b/>
        <sz val="8"/>
        <rFont val="Arial"/>
        <family val="2"/>
      </rPr>
      <t xml:space="preserve">        FIBRA            COLOR</t>
    </r>
  </si>
  <si>
    <t>No. PASADAS (FONDO)</t>
  </si>
  <si>
    <t>(cm.)</t>
  </si>
  <si>
    <t>CODIGO-MODELO</t>
  </si>
  <si>
    <r>
      <t>TITULO</t>
    </r>
    <r>
      <rPr>
        <b/>
        <sz val="5"/>
        <rFont val="Arial"/>
        <family val="2"/>
      </rPr>
      <t>(FONDO)</t>
    </r>
    <r>
      <rPr>
        <b/>
        <sz val="9"/>
        <rFont val="Arial"/>
        <family val="2"/>
      </rPr>
      <t xml:space="preserve">        FIBRA              COLOR</t>
    </r>
  </si>
  <si>
    <t>N° PASADAS (CENEFA)</t>
  </si>
  <si>
    <t>SULZER LISO</t>
  </si>
  <si>
    <t>SMIT LISO</t>
  </si>
  <si>
    <t>SI</t>
  </si>
  <si>
    <t>NO</t>
  </si>
  <si>
    <t>ENTREGO</t>
  </si>
  <si>
    <t>DISCO</t>
  </si>
  <si>
    <t>Talón 2 de 4</t>
  </si>
  <si>
    <t>CLAVE:</t>
  </si>
  <si>
    <t xml:space="preserve">RAZURADA:  </t>
  </si>
  <si>
    <t>ALTURA RIZO</t>
  </si>
  <si>
    <t>TIPO   RIZO</t>
  </si>
  <si>
    <t>FECHA DE EJECUCIÓN</t>
  </si>
  <si>
    <t>TURNO:</t>
  </si>
  <si>
    <t>HILO DE RIZO</t>
  </si>
  <si>
    <t>RECIBIO TALON (NOMBRE FECHA Y HORA</t>
  </si>
  <si>
    <t>NOTA: Entregar inmediatamente este talon a CRUDO en cuanto este hecho el cambio.</t>
  </si>
  <si>
    <t>Talón 3 de 4</t>
  </si>
  <si>
    <t>PAPELETA DE TELAR</t>
  </si>
  <si>
    <t>TRAMA</t>
  </si>
  <si>
    <t>PLANO</t>
  </si>
  <si>
    <t>MED-PLANO</t>
  </si>
  <si>
    <t>CUENTAS:</t>
  </si>
  <si>
    <t>OBSERVACIONES:</t>
  </si>
  <si>
    <t>REPETICIONES</t>
  </si>
  <si>
    <t>Talón 4 de 4</t>
  </si>
  <si>
    <t>.JC5</t>
  </si>
  <si>
    <t>22.03.22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</si>
</sst>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d\-mmm\-yy"/>
    <numFmt numFmtId="165" formatCode="0_ ;\-0\ "/>
    <numFmt numFmtId="166" formatCode="0.0"/>
  </numFmts>
  <fonts count="46"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Arial Narrow"/>
      <family val="2"/>
    </font>
    <font>
      <b/>
      <sz val="9"/>
      <color theme="0"/>
      <name val="Arial Narrow"/>
      <family val="2"/>
    </font>
    <font>
      <b/>
      <sz val="16"/>
      <name val="Arial Narrow"/>
      <family val="2"/>
    </font>
    <font>
      <b/>
      <sz val="10"/>
      <name val="Arial Narrow"/>
      <family val="2"/>
    </font>
    <font>
      <sz val="6"/>
      <name val="Arial Narrow"/>
      <family val="2"/>
    </font>
    <font>
      <b/>
      <sz val="14"/>
      <name val="Arial Narrow"/>
      <family val="2"/>
    </font>
    <font>
      <b/>
      <sz val="9"/>
      <name val="Arial Narrow"/>
      <family val="2"/>
    </font>
    <font>
      <b/>
      <sz val="18"/>
      <name val="Arial Narrow"/>
      <family val="2"/>
    </font>
    <font>
      <b/>
      <sz val="12"/>
      <name val="Arial Narrow"/>
      <family val="2"/>
    </font>
    <font>
      <sz val="9"/>
      <name val="Arial Narrow"/>
      <family val="2"/>
    </font>
    <font>
      <b/>
      <sz val="20"/>
      <name val="Arial Narrow"/>
      <family val="2"/>
    </font>
    <font>
      <b/>
      <sz val="24"/>
      <name val="Arial Narrow"/>
      <family val="2"/>
    </font>
    <font>
      <b/>
      <sz val="8"/>
      <name val="Arial Narrow"/>
      <family val="2"/>
    </font>
    <font>
      <b/>
      <sz val="6"/>
      <name val="Arial Narrow"/>
      <family val="2"/>
    </font>
    <font>
      <sz val="8"/>
      <name val="Arial Narrow"/>
      <family val="2"/>
    </font>
    <font>
      <sz val="7"/>
      <name val="Arial Narrow"/>
      <family val="2"/>
    </font>
    <font>
      <b/>
      <sz val="7"/>
      <name val="Arial Narrow"/>
      <family val="2"/>
    </font>
    <font>
      <b/>
      <i/>
      <sz val="9"/>
      <name val="Arial Narrow"/>
      <family val="2"/>
    </font>
    <font>
      <i/>
      <sz val="10"/>
      <name val="ITC Zapf Chancery"/>
      <family val="4"/>
    </font>
    <font>
      <b/>
      <sz val="9"/>
      <name val="Arial"/>
      <family val="2"/>
    </font>
    <font>
      <b/>
      <sz val="12"/>
      <name val="Arial"/>
      <family val="2"/>
    </font>
    <font>
      <b/>
      <sz val="20"/>
      <name val="Arial"/>
      <family val="2"/>
    </font>
    <font>
      <b/>
      <sz val="16"/>
      <name val="Arial"/>
      <family val="2"/>
    </font>
    <font>
      <sz val="14"/>
      <name val="Arial"/>
      <family val="2"/>
    </font>
    <font>
      <sz val="12"/>
      <name val="Arial"/>
      <family val="2"/>
    </font>
    <font>
      <b/>
      <sz val="8"/>
      <name val="Arial"/>
      <family val="2"/>
    </font>
    <font>
      <b/>
      <sz val="6"/>
      <name val="Arial"/>
      <family val="2"/>
    </font>
    <font>
      <sz val="8"/>
      <name val="Arial"/>
      <family val="2"/>
    </font>
    <font>
      <sz val="16"/>
      <name val="Arial"/>
      <family val="2"/>
    </font>
    <font>
      <b/>
      <sz val="5"/>
      <name val="Arial"/>
      <family val="2"/>
    </font>
    <font>
      <b/>
      <sz val="9"/>
      <name val="Arial Black"/>
      <family val="2"/>
    </font>
    <font>
      <b/>
      <sz val="10"/>
      <name val="Arial Black"/>
      <family val="2"/>
    </font>
    <font>
      <sz val="14"/>
      <name val="Arial Narrow"/>
      <family val="2"/>
    </font>
    <font>
      <b/>
      <sz val="15"/>
      <name val="Arial Narrow"/>
      <family val="2"/>
    </font>
    <font>
      <b/>
      <sz val="26"/>
      <name val="Arial Narrow"/>
      <family val="2"/>
    </font>
    <font>
      <b/>
      <sz val="28"/>
      <name val="Arial Narrow"/>
      <family val="2"/>
    </font>
    <font>
      <b/>
      <sz val="22"/>
      <name val="Arial Narrow"/>
      <family val="2"/>
    </font>
    <font>
      <sz val="16"/>
      <name val="Arial Narrow"/>
      <family val="2"/>
    </font>
    <font>
      <sz val="12"/>
      <name val="Arial Narrow"/>
      <family val="2"/>
    </font>
    <font>
      <b/>
      <sz val="11"/>
      <name val="ITC Zapf Chancery"/>
      <family val="4"/>
    </font>
    <font>
      <b/>
      <sz val="11"/>
      <name val="Arial Narrow"/>
      <family val="2"/>
    </font>
    <font>
      <b/>
      <sz val="30"/>
      <name val="Arial Narrow"/>
      <family val="2"/>
    </font>
    <font>
      <b/>
      <sz val="12"/>
      <name val="Aptos Black"/>
      <family val="2"/>
    </font>
    <font>
      <u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6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dashDotDot">
        <color indexed="64"/>
      </bottom>
      <diagonal/>
    </border>
    <border>
      <left/>
      <right/>
      <top/>
      <bottom style="dashDot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320">
    <xf numFmtId="0" fontId="0" fillId="0" borderId="0" xfId="0"/>
    <xf numFmtId="0" fontId="2" fillId="0" borderId="0" xfId="1" applyFont="1"/>
    <xf numFmtId="0" fontId="4" fillId="0" borderId="0" xfId="1" applyFont="1" applyAlignment="1">
      <alignment horizontal="center" vertical="top" wrapText="1"/>
    </xf>
    <xf numFmtId="0" fontId="5" fillId="0" borderId="0" xfId="1" applyFont="1" applyAlignment="1">
      <alignment horizontal="center"/>
    </xf>
    <xf numFmtId="0" fontId="6" fillId="0" borderId="0" xfId="1" applyFont="1" applyAlignment="1">
      <alignment horizontal="center"/>
    </xf>
    <xf numFmtId="0" fontId="5" fillId="0" borderId="0" xfId="1" applyFont="1"/>
    <xf numFmtId="0" fontId="8" fillId="0" borderId="0" xfId="1" applyFont="1" applyAlignment="1">
      <alignment horizontal="right"/>
    </xf>
    <xf numFmtId="0" fontId="2" fillId="0" borderId="0" xfId="1" applyFont="1" applyAlignment="1">
      <alignment horizontal="left"/>
    </xf>
    <xf numFmtId="0" fontId="11" fillId="0" borderId="0" xfId="1" applyFont="1" applyAlignment="1">
      <alignment horizontal="right"/>
    </xf>
    <xf numFmtId="1" fontId="10" fillId="0" borderId="1" xfId="1" applyNumberFormat="1" applyFont="1" applyBorder="1" applyAlignment="1">
      <alignment horizontal="center"/>
    </xf>
    <xf numFmtId="0" fontId="11" fillId="0" borderId="0" xfId="1" applyFont="1"/>
    <xf numFmtId="3" fontId="7" fillId="0" borderId="0" xfId="1" applyNumberFormat="1" applyFont="1" applyAlignment="1">
      <alignment vertical="top" wrapText="1"/>
    </xf>
    <xf numFmtId="0" fontId="12" fillId="0" borderId="0" xfId="1" applyFont="1" applyAlignment="1">
      <alignment horizontal="center"/>
    </xf>
    <xf numFmtId="1" fontId="13" fillId="0" borderId="0" xfId="1" applyNumberFormat="1" applyFont="1" applyAlignment="1">
      <alignment horizontal="center" wrapText="1"/>
    </xf>
    <xf numFmtId="0" fontId="13" fillId="0" borderId="0" xfId="1" applyFont="1" applyAlignment="1">
      <alignment horizontal="center" wrapText="1"/>
    </xf>
    <xf numFmtId="0" fontId="13" fillId="0" borderId="0" xfId="1" applyFont="1" applyAlignment="1">
      <alignment horizontal="center"/>
    </xf>
    <xf numFmtId="0" fontId="2" fillId="0" borderId="0" xfId="1" applyFont="1" applyAlignment="1">
      <alignment vertical="center"/>
    </xf>
    <xf numFmtId="0" fontId="14" fillId="0" borderId="0" xfId="1" applyFont="1" applyAlignment="1">
      <alignment horizontal="left" vertical="top" wrapText="1"/>
    </xf>
    <xf numFmtId="0" fontId="8" fillId="0" borderId="0" xfId="1" applyFont="1" applyAlignment="1">
      <alignment horizontal="left" vertical="top" wrapText="1"/>
    </xf>
    <xf numFmtId="0" fontId="6" fillId="0" borderId="16" xfId="1" applyFont="1" applyBorder="1" applyAlignment="1">
      <alignment horizontal="center"/>
    </xf>
    <xf numFmtId="0" fontId="6" fillId="0" borderId="17" xfId="1" applyFont="1" applyBorder="1" applyAlignment="1">
      <alignment horizontal="center"/>
    </xf>
    <xf numFmtId="0" fontId="6" fillId="0" borderId="18" xfId="1" applyFont="1" applyBorder="1" applyAlignment="1">
      <alignment horizontal="center"/>
    </xf>
    <xf numFmtId="0" fontId="6" fillId="0" borderId="19" xfId="1" applyFont="1" applyBorder="1" applyAlignment="1">
      <alignment horizontal="center"/>
    </xf>
    <xf numFmtId="1" fontId="14" fillId="0" borderId="22" xfId="1" applyNumberFormat="1" applyFont="1" applyBorder="1" applyAlignment="1">
      <alignment horizontal="center" vertical="center"/>
    </xf>
    <xf numFmtId="0" fontId="14" fillId="0" borderId="22" xfId="1" applyFont="1" applyBorder="1" applyAlignment="1">
      <alignment horizontal="center" shrinkToFit="1"/>
    </xf>
    <xf numFmtId="1" fontId="14" fillId="0" borderId="23" xfId="1" applyNumberFormat="1" applyFont="1" applyBorder="1" applyAlignment="1">
      <alignment horizontal="center"/>
    </xf>
    <xf numFmtId="166" fontId="14" fillId="0" borderId="22" xfId="1" applyNumberFormat="1" applyFont="1" applyBorder="1" applyAlignment="1">
      <alignment horizontal="center"/>
    </xf>
    <xf numFmtId="166" fontId="14" fillId="0" borderId="24" xfId="1" applyNumberFormat="1" applyFont="1" applyBorder="1" applyAlignment="1">
      <alignment horizontal="center"/>
    </xf>
    <xf numFmtId="49" fontId="14" fillId="0" borderId="24" xfId="1" applyNumberFormat="1" applyFont="1" applyBorder="1" applyAlignment="1">
      <alignment horizontal="center" shrinkToFit="1"/>
    </xf>
    <xf numFmtId="166" fontId="14" fillId="0" borderId="25" xfId="1" applyNumberFormat="1" applyFont="1" applyBorder="1" applyAlignment="1">
      <alignment horizontal="center"/>
    </xf>
    <xf numFmtId="166" fontId="14" fillId="0" borderId="23" xfId="1" applyNumberFormat="1" applyFont="1" applyBorder="1" applyAlignment="1">
      <alignment horizontal="center"/>
    </xf>
    <xf numFmtId="0" fontId="14" fillId="0" borderId="22" xfId="1" applyFont="1" applyBorder="1" applyAlignment="1">
      <alignment horizontal="center"/>
    </xf>
    <xf numFmtId="0" fontId="14" fillId="0" borderId="25" xfId="1" applyFont="1" applyBorder="1" applyAlignment="1">
      <alignment horizontal="center"/>
    </xf>
    <xf numFmtId="0" fontId="14" fillId="0" borderId="26" xfId="1" applyFont="1" applyBorder="1" applyAlignment="1">
      <alignment horizontal="center"/>
    </xf>
    <xf numFmtId="0" fontId="6" fillId="0" borderId="27" xfId="1" applyFont="1" applyBorder="1" applyAlignment="1">
      <alignment horizontal="center" vertical="center"/>
    </xf>
    <xf numFmtId="0" fontId="6" fillId="0" borderId="28" xfId="1" applyFont="1" applyBorder="1" applyAlignment="1">
      <alignment horizontal="center" vertical="center"/>
    </xf>
    <xf numFmtId="0" fontId="6" fillId="0" borderId="29" xfId="1" applyFont="1" applyBorder="1" applyAlignment="1">
      <alignment horizontal="center" vertical="center"/>
    </xf>
    <xf numFmtId="0" fontId="6" fillId="0" borderId="27" xfId="1" applyFont="1" applyBorder="1" applyAlignment="1">
      <alignment horizontal="center"/>
    </xf>
    <xf numFmtId="0" fontId="6" fillId="0" borderId="29" xfId="1" applyFont="1" applyBorder="1" applyAlignment="1">
      <alignment horizontal="center"/>
    </xf>
    <xf numFmtId="1" fontId="6" fillId="0" borderId="27" xfId="1" applyNumberFormat="1" applyFont="1" applyBorder="1" applyAlignment="1">
      <alignment horizontal="center" shrinkToFit="1"/>
    </xf>
    <xf numFmtId="0" fontId="6" fillId="0" borderId="30" xfId="1" applyFont="1" applyBorder="1" applyAlignment="1">
      <alignment horizontal="center"/>
    </xf>
    <xf numFmtId="0" fontId="6" fillId="0" borderId="31" xfId="1" applyFont="1" applyBorder="1" applyAlignment="1">
      <alignment horizontal="center"/>
    </xf>
    <xf numFmtId="1" fontId="6" fillId="0" borderId="28" xfId="1" applyNumberFormat="1" applyFont="1" applyBorder="1" applyAlignment="1">
      <alignment horizontal="center" shrinkToFit="1"/>
    </xf>
    <xf numFmtId="0" fontId="6" fillId="0" borderId="32" xfId="1" applyFont="1" applyBorder="1" applyAlignment="1">
      <alignment horizontal="center" shrinkToFit="1"/>
    </xf>
    <xf numFmtId="0" fontId="6" fillId="0" borderId="27" xfId="1" applyFont="1" applyBorder="1" applyAlignment="1">
      <alignment horizontal="center" shrinkToFit="1"/>
    </xf>
    <xf numFmtId="0" fontId="6" fillId="0" borderId="28" xfId="1" applyFont="1" applyBorder="1" applyAlignment="1">
      <alignment horizontal="center" shrinkToFit="1"/>
    </xf>
    <xf numFmtId="0" fontId="6" fillId="0" borderId="30" xfId="1" applyFont="1" applyBorder="1" applyAlignment="1">
      <alignment horizontal="center" shrinkToFit="1"/>
    </xf>
    <xf numFmtId="0" fontId="6" fillId="0" borderId="31" xfId="1" applyFont="1" applyBorder="1" applyAlignment="1">
      <alignment horizontal="center" shrinkToFit="1"/>
    </xf>
    <xf numFmtId="0" fontId="8" fillId="0" borderId="35" xfId="1" applyFont="1" applyBorder="1"/>
    <xf numFmtId="3" fontId="8" fillId="0" borderId="35" xfId="1" applyNumberFormat="1" applyFont="1" applyBorder="1" applyAlignment="1">
      <alignment horizontal="center"/>
    </xf>
    <xf numFmtId="0" fontId="11" fillId="0" borderId="35" xfId="1" applyFont="1" applyBorder="1"/>
    <xf numFmtId="1" fontId="6" fillId="0" borderId="35" xfId="1" applyNumberFormat="1" applyFont="1" applyBorder="1" applyAlignment="1">
      <alignment horizontal="right"/>
    </xf>
    <xf numFmtId="1" fontId="8" fillId="0" borderId="36" xfId="1" applyNumberFormat="1" applyFont="1" applyBorder="1" applyAlignment="1">
      <alignment horizontal="center"/>
    </xf>
    <xf numFmtId="0" fontId="8" fillId="0" borderId="13" xfId="1" applyFont="1" applyBorder="1" applyAlignment="1">
      <alignment horizontal="center"/>
    </xf>
    <xf numFmtId="0" fontId="8" fillId="0" borderId="4" xfId="1" applyFont="1" applyBorder="1" applyAlignment="1">
      <alignment horizontal="center"/>
    </xf>
    <xf numFmtId="0" fontId="16" fillId="0" borderId="0" xfId="1" applyFont="1"/>
    <xf numFmtId="2" fontId="8" fillId="0" borderId="12" xfId="1" applyNumberFormat="1" applyFont="1" applyBorder="1" applyAlignment="1">
      <alignment horizontal="center"/>
    </xf>
    <xf numFmtId="49" fontId="8" fillId="0" borderId="1" xfId="1" applyNumberFormat="1" applyFont="1" applyBorder="1" applyAlignment="1">
      <alignment horizontal="center" shrinkToFit="1"/>
    </xf>
    <xf numFmtId="0" fontId="16" fillId="0" borderId="0" xfId="1" applyFont="1" applyAlignment="1">
      <alignment horizontal="right"/>
    </xf>
    <xf numFmtId="1" fontId="8" fillId="0" borderId="37" xfId="1" applyNumberFormat="1" applyFont="1" applyBorder="1" applyAlignment="1">
      <alignment horizontal="center"/>
    </xf>
    <xf numFmtId="1" fontId="8" fillId="0" borderId="1" xfId="1" applyNumberFormat="1" applyFont="1" applyBorder="1" applyAlignment="1">
      <alignment horizontal="center"/>
    </xf>
    <xf numFmtId="0" fontId="17" fillId="0" borderId="0" xfId="1" applyFont="1"/>
    <xf numFmtId="1" fontId="14" fillId="0" borderId="0" xfId="1" applyNumberFormat="1" applyFont="1" applyAlignment="1">
      <alignment shrinkToFit="1"/>
    </xf>
    <xf numFmtId="1" fontId="5" fillId="0" borderId="1" xfId="1" applyNumberFormat="1" applyFont="1" applyBorder="1" applyAlignment="1">
      <alignment horizontal="center"/>
    </xf>
    <xf numFmtId="0" fontId="5" fillId="0" borderId="1" xfId="1" applyFont="1" applyBorder="1" applyAlignment="1">
      <alignment horizontal="center"/>
    </xf>
    <xf numFmtId="49" fontId="8" fillId="0" borderId="0" xfId="1" applyNumberFormat="1" applyFont="1" applyAlignment="1">
      <alignment horizontal="center" shrinkToFit="1"/>
    </xf>
    <xf numFmtId="1" fontId="5" fillId="0" borderId="0" xfId="1" applyNumberFormat="1" applyFont="1" applyAlignment="1">
      <alignment horizontal="center"/>
    </xf>
    <xf numFmtId="49" fontId="5" fillId="0" borderId="0" xfId="1" applyNumberFormat="1" applyFont="1" applyAlignment="1">
      <alignment horizontal="center"/>
    </xf>
    <xf numFmtId="0" fontId="15" fillId="0" borderId="0" xfId="1" applyFont="1" applyAlignment="1">
      <alignment horizontal="center" vertical="center" wrapText="1"/>
    </xf>
    <xf numFmtId="1" fontId="18" fillId="0" borderId="1" xfId="1" applyNumberFormat="1" applyFont="1" applyBorder="1" applyAlignment="1">
      <alignment shrinkToFit="1"/>
    </xf>
    <xf numFmtId="0" fontId="2" fillId="0" borderId="1" xfId="1" applyFont="1" applyBorder="1"/>
    <xf numFmtId="0" fontId="15" fillId="0" borderId="1" xfId="1" applyFont="1" applyBorder="1" applyAlignment="1">
      <alignment horizontal="center" vertical="center" wrapText="1"/>
    </xf>
    <xf numFmtId="0" fontId="14" fillId="0" borderId="0" xfId="1" applyFont="1"/>
    <xf numFmtId="1" fontId="11" fillId="0" borderId="0" xfId="1" applyNumberFormat="1" applyFont="1"/>
    <xf numFmtId="49" fontId="11" fillId="0" borderId="0" xfId="1" applyNumberFormat="1" applyFont="1" applyAlignment="1">
      <alignment horizontal="center"/>
    </xf>
    <xf numFmtId="1" fontId="7" fillId="0" borderId="0" xfId="1" applyNumberFormat="1" applyFont="1" applyAlignment="1">
      <alignment shrinkToFit="1"/>
    </xf>
    <xf numFmtId="0" fontId="17" fillId="0" borderId="1" xfId="1" applyFont="1" applyBorder="1"/>
    <xf numFmtId="0" fontId="14" fillId="0" borderId="1" xfId="1" applyFont="1" applyBorder="1"/>
    <xf numFmtId="0" fontId="11" fillId="0" borderId="1" xfId="1" applyFont="1" applyBorder="1"/>
    <xf numFmtId="0" fontId="16" fillId="0" borderId="1" xfId="1" applyFont="1" applyBorder="1"/>
    <xf numFmtId="0" fontId="14" fillId="0" borderId="3" xfId="1" applyFont="1" applyBorder="1"/>
    <xf numFmtId="0" fontId="8" fillId="0" borderId="0" xfId="1" applyFont="1"/>
    <xf numFmtId="0" fontId="14" fillId="0" borderId="0" xfId="1" applyFont="1" applyAlignment="1">
      <alignment horizontal="center"/>
    </xf>
    <xf numFmtId="0" fontId="2" fillId="0" borderId="0" xfId="1" applyFont="1" applyAlignment="1">
      <alignment horizontal="center"/>
    </xf>
    <xf numFmtId="0" fontId="19" fillId="0" borderId="0" xfId="1" applyFont="1"/>
    <xf numFmtId="0" fontId="20" fillId="0" borderId="0" xfId="1" applyFont="1" applyAlignment="1">
      <alignment horizontal="right"/>
    </xf>
    <xf numFmtId="0" fontId="21" fillId="0" borderId="38" xfId="1" applyFont="1" applyBorder="1"/>
    <xf numFmtId="0" fontId="21" fillId="0" borderId="39" xfId="1" applyFont="1" applyBorder="1"/>
    <xf numFmtId="0" fontId="21" fillId="0" borderId="39" xfId="1" applyFont="1" applyBorder="1" applyAlignment="1">
      <alignment horizontal="right"/>
    </xf>
    <xf numFmtId="0" fontId="21" fillId="0" borderId="0" xfId="1" applyFont="1"/>
    <xf numFmtId="0" fontId="21" fillId="0" borderId="0" xfId="1" applyFont="1" applyAlignment="1">
      <alignment horizontal="right"/>
    </xf>
    <xf numFmtId="0" fontId="1" fillId="0" borderId="0" xfId="1"/>
    <xf numFmtId="0" fontId="22" fillId="0" borderId="0" xfId="1" applyFont="1" applyAlignment="1">
      <alignment vertical="center"/>
    </xf>
    <xf numFmtId="49" fontId="23" fillId="0" borderId="0" xfId="1" applyNumberFormat="1" applyFont="1" applyAlignment="1">
      <alignment vertical="center"/>
    </xf>
    <xf numFmtId="0" fontId="21" fillId="0" borderId="43" xfId="1" applyFont="1" applyBorder="1"/>
    <xf numFmtId="0" fontId="1" fillId="0" borderId="33" xfId="1" applyBorder="1"/>
    <xf numFmtId="0" fontId="21" fillId="0" borderId="52" xfId="1" applyFont="1" applyBorder="1"/>
    <xf numFmtId="0" fontId="21" fillId="0" borderId="48" xfId="1" applyFont="1" applyBorder="1"/>
    <xf numFmtId="0" fontId="1" fillId="0" borderId="0" xfId="1" applyAlignment="1">
      <alignment horizontal="right"/>
    </xf>
    <xf numFmtId="0" fontId="32" fillId="0" borderId="0" xfId="1" applyFont="1"/>
    <xf numFmtId="0" fontId="33" fillId="0" borderId="0" xfId="1" applyFont="1"/>
    <xf numFmtId="0" fontId="21" fillId="0" borderId="0" xfId="1" applyFont="1" applyAlignment="1">
      <alignment horizontal="center"/>
    </xf>
    <xf numFmtId="0" fontId="21" fillId="0" borderId="29" xfId="1" applyFont="1" applyBorder="1"/>
    <xf numFmtId="0" fontId="21" fillId="0" borderId="1" xfId="1" applyFont="1" applyBorder="1"/>
    <xf numFmtId="0" fontId="21" fillId="0" borderId="55" xfId="1" applyFont="1" applyBorder="1"/>
    <xf numFmtId="0" fontId="8" fillId="0" borderId="0" xfId="1" applyFont="1" applyAlignment="1">
      <alignment horizontal="center"/>
    </xf>
    <xf numFmtId="1" fontId="12" fillId="0" borderId="1" xfId="1" applyNumberFormat="1" applyFont="1" applyBorder="1" applyAlignment="1">
      <alignment horizontal="center"/>
    </xf>
    <xf numFmtId="0" fontId="12" fillId="0" borderId="0" xfId="1" applyFont="1" applyAlignment="1">
      <alignment horizontal="left"/>
    </xf>
    <xf numFmtId="3" fontId="4" fillId="0" borderId="0" xfId="1" applyNumberFormat="1" applyFont="1" applyAlignment="1">
      <alignment wrapText="1"/>
    </xf>
    <xf numFmtId="49" fontId="12" fillId="0" borderId="0" xfId="1" applyNumberFormat="1" applyFont="1" applyAlignment="1">
      <alignment horizontal="center"/>
    </xf>
    <xf numFmtId="0" fontId="13" fillId="0" borderId="0" xfId="1" applyFont="1" applyAlignment="1">
      <alignment horizontal="center" vertical="center" wrapText="1"/>
    </xf>
    <xf numFmtId="49" fontId="4" fillId="0" borderId="22" xfId="1" applyNumberFormat="1" applyFont="1" applyBorder="1" applyAlignment="1">
      <alignment horizontal="center" vertical="center"/>
    </xf>
    <xf numFmtId="49" fontId="35" fillId="0" borderId="25" xfId="1" applyNumberFormat="1" applyFont="1" applyBorder="1" applyAlignment="1">
      <alignment horizontal="center" vertical="center"/>
    </xf>
    <xf numFmtId="49" fontId="4" fillId="0" borderId="54" xfId="1" applyNumberFormat="1" applyFont="1" applyBorder="1" applyAlignment="1">
      <alignment horizontal="center" vertical="center"/>
    </xf>
    <xf numFmtId="1" fontId="7" fillId="0" borderId="59" xfId="1" applyNumberFormat="1" applyFont="1" applyBorder="1" applyAlignment="1">
      <alignment horizontal="center" vertical="center"/>
    </xf>
    <xf numFmtId="49" fontId="4" fillId="0" borderId="59" xfId="1" applyNumberFormat="1" applyFont="1" applyBorder="1" applyAlignment="1">
      <alignment horizontal="center" vertical="center" shrinkToFit="1"/>
    </xf>
    <xf numFmtId="0" fontId="14" fillId="0" borderId="27" xfId="1" applyFont="1" applyBorder="1" applyAlignment="1">
      <alignment horizontal="center" vertical="center"/>
    </xf>
    <xf numFmtId="0" fontId="14" fillId="0" borderId="28" xfId="1" applyFont="1" applyBorder="1" applyAlignment="1">
      <alignment horizontal="center" vertical="center"/>
    </xf>
    <xf numFmtId="0" fontId="16" fillId="0" borderId="20" xfId="1" applyFont="1" applyBorder="1" applyAlignment="1">
      <alignment vertical="center"/>
    </xf>
    <xf numFmtId="0" fontId="14" fillId="0" borderId="36" xfId="1" applyFont="1" applyBorder="1" applyAlignment="1">
      <alignment horizontal="center" vertical="center"/>
    </xf>
    <xf numFmtId="0" fontId="12" fillId="0" borderId="35" xfId="1" applyFont="1" applyBorder="1"/>
    <xf numFmtId="1" fontId="8" fillId="0" borderId="0" xfId="1" applyNumberFormat="1" applyFont="1" applyAlignment="1">
      <alignment horizontal="center"/>
    </xf>
    <xf numFmtId="0" fontId="12" fillId="0" borderId="0" xfId="1" applyFont="1"/>
    <xf numFmtId="0" fontId="2" fillId="0" borderId="0" xfId="1" applyFont="1" applyAlignment="1">
      <alignment wrapText="1"/>
    </xf>
    <xf numFmtId="0" fontId="11" fillId="0" borderId="4" xfId="1" applyFont="1" applyBorder="1"/>
    <xf numFmtId="49" fontId="5" fillId="0" borderId="1" xfId="1" applyNumberFormat="1" applyFont="1" applyBorder="1" applyAlignment="1">
      <alignment horizontal="center" shrinkToFit="1"/>
    </xf>
    <xf numFmtId="1" fontId="2" fillId="0" borderId="1" xfId="1" applyNumberFormat="1" applyFont="1" applyBorder="1" applyAlignment="1">
      <alignment horizontal="center"/>
    </xf>
    <xf numFmtId="0" fontId="14" fillId="0" borderId="35" xfId="1" applyFont="1" applyBorder="1"/>
    <xf numFmtId="0" fontId="10" fillId="0" borderId="0" xfId="1" applyFont="1" applyAlignment="1">
      <alignment horizontal="left"/>
    </xf>
    <xf numFmtId="0" fontId="36" fillId="0" borderId="1" xfId="1" applyFont="1" applyBorder="1" applyAlignment="1">
      <alignment horizontal="center"/>
    </xf>
    <xf numFmtId="0" fontId="10" fillId="0" borderId="0" xfId="1" applyFont="1" applyAlignment="1">
      <alignment horizontal="right"/>
    </xf>
    <xf numFmtId="0" fontId="7" fillId="0" borderId="0" xfId="1" applyFont="1" applyAlignment="1">
      <alignment horizontal="left"/>
    </xf>
    <xf numFmtId="0" fontId="13" fillId="0" borderId="0" xfId="1" applyFont="1" applyAlignment="1">
      <alignment horizontal="left"/>
    </xf>
    <xf numFmtId="0" fontId="10" fillId="0" borderId="0" xfId="1" applyFont="1"/>
    <xf numFmtId="0" fontId="10" fillId="0" borderId="0" xfId="1" applyFont="1" applyAlignment="1">
      <alignment horizontal="center"/>
    </xf>
    <xf numFmtId="0" fontId="14" fillId="0" borderId="55" xfId="1" applyFont="1" applyBorder="1" applyAlignment="1">
      <alignment horizontal="center"/>
    </xf>
    <xf numFmtId="0" fontId="37" fillId="0" borderId="0" xfId="1" applyFont="1" applyAlignment="1">
      <alignment horizontal="center"/>
    </xf>
    <xf numFmtId="0" fontId="9" fillId="0" borderId="55" xfId="1" applyFont="1" applyBorder="1" applyAlignment="1">
      <alignment horizontal="center" vertical="center" wrapText="1"/>
    </xf>
    <xf numFmtId="49" fontId="37" fillId="0" borderId="55" xfId="1" applyNumberFormat="1" applyFont="1" applyBorder="1" applyAlignment="1">
      <alignment horizontal="center" vertical="center" shrinkToFit="1"/>
    </xf>
    <xf numFmtId="0" fontId="5" fillId="0" borderId="55" xfId="1" applyFont="1" applyBorder="1" applyAlignment="1">
      <alignment horizontal="center" vertical="center" wrapText="1"/>
    </xf>
    <xf numFmtId="0" fontId="5" fillId="0" borderId="55" xfId="1" applyFont="1" applyBorder="1" applyAlignment="1">
      <alignment horizontal="center"/>
    </xf>
    <xf numFmtId="0" fontId="36" fillId="0" borderId="0" xfId="1" applyFont="1"/>
    <xf numFmtId="0" fontId="7" fillId="0" borderId="0" xfId="1" applyFont="1"/>
    <xf numFmtId="0" fontId="4" fillId="0" borderId="0" xfId="1" applyFont="1"/>
    <xf numFmtId="0" fontId="38" fillId="0" borderId="0" xfId="1" applyFont="1" applyAlignment="1">
      <alignment horizontal="center"/>
    </xf>
    <xf numFmtId="1" fontId="4" fillId="0" borderId="0" xfId="1" applyNumberFormat="1" applyFont="1" applyAlignment="1">
      <alignment horizontal="center"/>
    </xf>
    <xf numFmtId="0" fontId="4" fillId="0" borderId="0" xfId="1" applyFont="1" applyAlignment="1">
      <alignment horizontal="left" vertical="center" shrinkToFit="1"/>
    </xf>
    <xf numFmtId="0" fontId="10" fillId="0" borderId="0" xfId="1" applyFont="1" applyAlignment="1">
      <alignment horizontal="left" shrinkToFit="1"/>
    </xf>
    <xf numFmtId="1" fontId="10" fillId="0" borderId="1" xfId="1" applyNumberFormat="1" applyFont="1" applyBorder="1" applyAlignment="1">
      <alignment horizontal="center" shrinkToFit="1"/>
    </xf>
    <xf numFmtId="0" fontId="40" fillId="0" borderId="0" xfId="1" applyFont="1" applyAlignment="1">
      <alignment horizontal="center"/>
    </xf>
    <xf numFmtId="0" fontId="40" fillId="0" borderId="0" xfId="1" applyFont="1" applyAlignment="1">
      <alignment horizontal="left"/>
    </xf>
    <xf numFmtId="0" fontId="40" fillId="0" borderId="0" xfId="1" applyFont="1"/>
    <xf numFmtId="0" fontId="10" fillId="0" borderId="1" xfId="1" applyFont="1" applyBorder="1" applyAlignment="1">
      <alignment horizontal="center" shrinkToFit="1"/>
    </xf>
    <xf numFmtId="0" fontId="41" fillId="0" borderId="0" xfId="1" applyFont="1"/>
    <xf numFmtId="0" fontId="42" fillId="0" borderId="0" xfId="1" applyFont="1"/>
    <xf numFmtId="3" fontId="3" fillId="0" borderId="0" xfId="1" applyNumberFormat="1" applyFont="1" applyAlignment="1">
      <alignment horizontal="center"/>
    </xf>
    <xf numFmtId="0" fontId="1" fillId="0" borderId="42" xfId="1" applyBorder="1"/>
    <xf numFmtId="0" fontId="21" fillId="0" borderId="42" xfId="1" applyFont="1" applyBorder="1"/>
    <xf numFmtId="0" fontId="44" fillId="0" borderId="0" xfId="1" applyFont="1"/>
    <xf numFmtId="0" fontId="4" fillId="0" borderId="0" xfId="1" applyFont="1" applyAlignment="1">
      <alignment horizontal="left" vertical="center" shrinkToFit="1"/>
    </xf>
    <xf numFmtId="0" fontId="36" fillId="0" borderId="0" xfId="1" applyFont="1" applyAlignment="1">
      <alignment horizontal="center" shrinkToFit="1"/>
    </xf>
    <xf numFmtId="0" fontId="10" fillId="0" borderId="0" xfId="1" applyFont="1" applyAlignment="1">
      <alignment horizontal="center"/>
    </xf>
    <xf numFmtId="0" fontId="11" fillId="0" borderId="0" xfId="1" applyFont="1" applyAlignment="1">
      <alignment horizontal="left"/>
    </xf>
    <xf numFmtId="0" fontId="10" fillId="0" borderId="2" xfId="1" applyFont="1" applyBorder="1" applyAlignment="1">
      <alignment horizontal="center"/>
    </xf>
    <xf numFmtId="0" fontId="11" fillId="0" borderId="0" xfId="1" applyFont="1" applyAlignment="1">
      <alignment horizontal="right"/>
    </xf>
    <xf numFmtId="1" fontId="10" fillId="0" borderId="1" xfId="1" applyNumberFormat="1" applyFont="1" applyBorder="1" applyAlignment="1">
      <alignment horizontal="left"/>
    </xf>
    <xf numFmtId="3" fontId="7" fillId="0" borderId="1" xfId="1" applyNumberFormat="1" applyFont="1" applyBorder="1" applyAlignment="1">
      <alignment horizontal="center" vertical="top" wrapText="1"/>
    </xf>
    <xf numFmtId="164" fontId="10" fillId="0" borderId="1" xfId="1" applyNumberFormat="1" applyFont="1" applyBorder="1" applyAlignment="1">
      <alignment horizontal="center"/>
    </xf>
    <xf numFmtId="14" fontId="5" fillId="0" borderId="3" xfId="1" applyNumberFormat="1" applyFont="1" applyBorder="1" applyAlignment="1">
      <alignment horizontal="left" shrinkToFit="1"/>
    </xf>
    <xf numFmtId="0" fontId="2" fillId="0" borderId="4" xfId="1" applyFont="1" applyBorder="1" applyAlignment="1">
      <alignment horizontal="center"/>
    </xf>
    <xf numFmtId="0" fontId="6" fillId="0" borderId="5" xfId="1" applyFont="1" applyBorder="1" applyAlignment="1">
      <alignment horizontal="center" vertical="center"/>
    </xf>
    <xf numFmtId="0" fontId="6" fillId="0" borderId="13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0" fontId="6" fillId="0" borderId="14" xfId="1" applyFont="1" applyBorder="1" applyAlignment="1">
      <alignment horizontal="center" vertical="center"/>
    </xf>
    <xf numFmtId="0" fontId="6" fillId="0" borderId="7" xfId="1" applyFont="1" applyBorder="1" applyAlignment="1">
      <alignment horizontal="center" vertical="center"/>
    </xf>
    <xf numFmtId="0" fontId="6" fillId="0" borderId="15" xfId="1" applyFont="1" applyBorder="1" applyAlignment="1">
      <alignment horizontal="center" vertical="center"/>
    </xf>
    <xf numFmtId="0" fontId="6" fillId="0" borderId="8" xfId="1" applyFont="1" applyBorder="1" applyAlignment="1">
      <alignment horizontal="center"/>
    </xf>
    <xf numFmtId="0" fontId="6" fillId="0" borderId="9" xfId="1" applyFont="1" applyBorder="1" applyAlignment="1">
      <alignment horizontal="center"/>
    </xf>
    <xf numFmtId="0" fontId="6" fillId="0" borderId="10" xfId="1" applyFont="1" applyBorder="1" applyAlignment="1">
      <alignment horizontal="center"/>
    </xf>
    <xf numFmtId="0" fontId="6" fillId="0" borderId="11" xfId="1" applyFont="1" applyBorder="1" applyAlignment="1">
      <alignment horizontal="center" vertical="center"/>
    </xf>
    <xf numFmtId="0" fontId="6" fillId="0" borderId="12" xfId="1" applyFont="1" applyBorder="1" applyAlignment="1">
      <alignment horizontal="center" vertical="center"/>
    </xf>
    <xf numFmtId="0" fontId="6" fillId="0" borderId="20" xfId="1" applyFont="1" applyBorder="1" applyAlignment="1">
      <alignment horizontal="center" vertical="center"/>
    </xf>
    <xf numFmtId="0" fontId="6" fillId="0" borderId="21" xfId="1" applyFont="1" applyBorder="1" applyAlignment="1">
      <alignment horizontal="center" vertical="center"/>
    </xf>
    <xf numFmtId="0" fontId="11" fillId="0" borderId="3" xfId="1" applyFont="1" applyBorder="1" applyAlignment="1">
      <alignment horizontal="center" wrapText="1"/>
    </xf>
    <xf numFmtId="0" fontId="11" fillId="0" borderId="0" xfId="1" applyFont="1" applyAlignment="1">
      <alignment horizontal="center" wrapText="1"/>
    </xf>
    <xf numFmtId="0" fontId="11" fillId="0" borderId="0" xfId="1" applyFont="1" applyAlignment="1">
      <alignment horizontal="center"/>
    </xf>
    <xf numFmtId="0" fontId="10" fillId="0" borderId="1" xfId="1" applyFont="1" applyBorder="1" applyAlignment="1">
      <alignment horizontal="center"/>
    </xf>
    <xf numFmtId="0" fontId="8" fillId="0" borderId="0" xfId="1" applyFont="1" applyAlignment="1">
      <alignment horizontal="center" vertical="top" wrapText="1"/>
    </xf>
    <xf numFmtId="1" fontId="4" fillId="0" borderId="0" xfId="1" applyNumberFormat="1" applyFont="1" applyAlignment="1">
      <alignment horizontal="left" shrinkToFit="1"/>
    </xf>
    <xf numFmtId="0" fontId="5" fillId="0" borderId="0" xfId="1" applyFont="1" applyAlignment="1">
      <alignment horizontal="center"/>
    </xf>
    <xf numFmtId="0" fontId="7" fillId="0" borderId="0" xfId="1" applyFont="1" applyAlignment="1">
      <alignment horizontal="center"/>
    </xf>
    <xf numFmtId="1" fontId="9" fillId="2" borderId="0" xfId="1" applyNumberFormat="1" applyFont="1" applyFill="1" applyAlignment="1">
      <alignment horizontal="center" vertical="top"/>
    </xf>
    <xf numFmtId="0" fontId="2" fillId="0" borderId="0" xfId="1" applyFont="1" applyAlignment="1">
      <alignment horizontal="left"/>
    </xf>
    <xf numFmtId="18" fontId="10" fillId="0" borderId="0" xfId="1" applyNumberFormat="1" applyFont="1" applyAlignment="1">
      <alignment horizontal="left"/>
    </xf>
    <xf numFmtId="1" fontId="5" fillId="0" borderId="0" xfId="1" applyNumberFormat="1" applyFont="1" applyAlignment="1">
      <alignment horizontal="left"/>
    </xf>
    <xf numFmtId="165" fontId="4" fillId="0" borderId="0" xfId="1" applyNumberFormat="1" applyFont="1" applyAlignment="1">
      <alignment horizontal="left" vertical="top" wrapText="1"/>
    </xf>
    <xf numFmtId="1" fontId="12" fillId="0" borderId="0" xfId="1" applyNumberFormat="1" applyFont="1" applyAlignment="1">
      <alignment horizontal="center" shrinkToFit="1"/>
    </xf>
    <xf numFmtId="1" fontId="12" fillId="0" borderId="1" xfId="1" applyNumberFormat="1" applyFont="1" applyBorder="1" applyAlignment="1">
      <alignment horizontal="center" shrinkToFit="1"/>
    </xf>
    <xf numFmtId="0" fontId="2" fillId="0" borderId="3" xfId="1" applyFont="1" applyBorder="1" applyAlignment="1">
      <alignment horizontal="center"/>
    </xf>
    <xf numFmtId="0" fontId="1" fillId="0" borderId="0" xfId="1" applyAlignment="1">
      <alignment horizontal="center"/>
    </xf>
    <xf numFmtId="0" fontId="22" fillId="0" borderId="0" xfId="1" applyFont="1" applyAlignment="1">
      <alignment horizontal="center" vertical="center"/>
    </xf>
    <xf numFmtId="0" fontId="24" fillId="0" borderId="0" xfId="1" applyFont="1" applyAlignment="1">
      <alignment horizontal="center" vertical="center"/>
    </xf>
    <xf numFmtId="1" fontId="22" fillId="0" borderId="0" xfId="1" applyNumberFormat="1" applyFont="1" applyAlignment="1">
      <alignment horizontal="center" vertical="center"/>
    </xf>
    <xf numFmtId="0" fontId="15" fillId="0" borderId="11" xfId="1" applyFont="1" applyBorder="1" applyAlignment="1">
      <alignment horizontal="center" vertical="center" wrapText="1"/>
    </xf>
    <xf numFmtId="0" fontId="15" fillId="0" borderId="12" xfId="1" applyFont="1" applyBorder="1" applyAlignment="1">
      <alignment horizontal="center" vertical="center" wrapText="1"/>
    </xf>
    <xf numFmtId="0" fontId="15" fillId="0" borderId="33" xfId="1" applyFont="1" applyBorder="1" applyAlignment="1">
      <alignment horizontal="center" vertical="center" wrapText="1"/>
    </xf>
    <xf numFmtId="0" fontId="15" fillId="0" borderId="34" xfId="1" applyFont="1" applyBorder="1" applyAlignment="1">
      <alignment horizontal="center" vertical="center" wrapText="1"/>
    </xf>
    <xf numFmtId="0" fontId="15" fillId="0" borderId="20" xfId="1" applyFont="1" applyBorder="1" applyAlignment="1">
      <alignment horizontal="center" vertical="center" wrapText="1"/>
    </xf>
    <xf numFmtId="0" fontId="15" fillId="0" borderId="21" xfId="1" applyFont="1" applyBorder="1" applyAlignment="1">
      <alignment horizontal="center" vertical="center" wrapText="1"/>
    </xf>
    <xf numFmtId="49" fontId="8" fillId="0" borderId="1" xfId="1" applyNumberFormat="1" applyFont="1" applyBorder="1" applyAlignment="1">
      <alignment horizontal="center" shrinkToFit="1"/>
    </xf>
    <xf numFmtId="0" fontId="17" fillId="0" borderId="0" xfId="1" applyFont="1" applyAlignment="1">
      <alignment horizontal="center"/>
    </xf>
    <xf numFmtId="0" fontId="21" fillId="0" borderId="7" xfId="1" applyFont="1" applyBorder="1" applyAlignment="1">
      <alignment horizontal="center" wrapText="1"/>
    </xf>
    <xf numFmtId="0" fontId="21" fillId="0" borderId="45" xfId="1" applyFont="1" applyBorder="1" applyAlignment="1">
      <alignment horizontal="center" wrapText="1"/>
    </xf>
    <xf numFmtId="0" fontId="21" fillId="0" borderId="48" xfId="1" applyFont="1" applyBorder="1" applyAlignment="1">
      <alignment horizontal="center" wrapText="1"/>
    </xf>
    <xf numFmtId="0" fontId="1" fillId="0" borderId="41" xfId="1" applyBorder="1" applyAlignment="1">
      <alignment horizontal="center" vertical="center"/>
    </xf>
    <xf numFmtId="0" fontId="1" fillId="0" borderId="42" xfId="1" applyBorder="1" applyAlignment="1">
      <alignment horizontal="center" vertical="center"/>
    </xf>
    <xf numFmtId="0" fontId="29" fillId="0" borderId="42" xfId="1" applyFont="1" applyBorder="1" applyAlignment="1">
      <alignment horizontal="center" vertical="top"/>
    </xf>
    <xf numFmtId="0" fontId="1" fillId="0" borderId="42" xfId="1" applyBorder="1" applyAlignment="1">
      <alignment horizontal="center"/>
    </xf>
    <xf numFmtId="0" fontId="21" fillId="0" borderId="42" xfId="1" applyFont="1" applyBorder="1" applyAlignment="1">
      <alignment horizontal="center"/>
    </xf>
    <xf numFmtId="0" fontId="21" fillId="0" borderId="43" xfId="1" applyFont="1" applyBorder="1" applyAlignment="1">
      <alignment horizontal="center"/>
    </xf>
    <xf numFmtId="0" fontId="21" fillId="0" borderId="49" xfId="1" applyFont="1" applyBorder="1" applyAlignment="1">
      <alignment horizontal="center"/>
    </xf>
    <xf numFmtId="0" fontId="21" fillId="0" borderId="2" xfId="1" applyFont="1" applyBorder="1" applyAlignment="1">
      <alignment horizontal="center"/>
    </xf>
    <xf numFmtId="0" fontId="21" fillId="0" borderId="50" xfId="1" applyFont="1" applyBorder="1" applyAlignment="1">
      <alignment horizontal="center"/>
    </xf>
    <xf numFmtId="0" fontId="25" fillId="0" borderId="22" xfId="1" applyFont="1" applyBorder="1" applyAlignment="1">
      <alignment horizontal="center" vertical="center"/>
    </xf>
    <xf numFmtId="0" fontId="25" fillId="0" borderId="25" xfId="1" applyFont="1" applyBorder="1" applyAlignment="1">
      <alignment horizontal="center" vertical="center"/>
    </xf>
    <xf numFmtId="0" fontId="25" fillId="0" borderId="41" xfId="1" applyFont="1" applyBorder="1" applyAlignment="1">
      <alignment horizontal="center" vertical="center"/>
    </xf>
    <xf numFmtId="0" fontId="25" fillId="0" borderId="42" xfId="1" applyFont="1" applyBorder="1" applyAlignment="1">
      <alignment horizontal="center" vertical="center"/>
    </xf>
    <xf numFmtId="0" fontId="26" fillId="0" borderId="25" xfId="1" applyFont="1" applyBorder="1" applyAlignment="1">
      <alignment horizontal="center" vertical="center" wrapText="1"/>
    </xf>
    <xf numFmtId="0" fontId="26" fillId="0" borderId="42" xfId="1" applyFont="1" applyBorder="1" applyAlignment="1">
      <alignment horizontal="center" vertical="center" wrapText="1"/>
    </xf>
    <xf numFmtId="0" fontId="25" fillId="0" borderId="25" xfId="1" applyFont="1" applyBorder="1" applyAlignment="1">
      <alignment horizontal="center" vertical="center" wrapText="1"/>
    </xf>
    <xf numFmtId="0" fontId="25" fillId="0" borderId="42" xfId="1" applyFont="1" applyBorder="1" applyAlignment="1">
      <alignment horizontal="center" vertical="center" wrapText="1"/>
    </xf>
    <xf numFmtId="0" fontId="25" fillId="0" borderId="23" xfId="1" applyFont="1" applyBorder="1" applyAlignment="1">
      <alignment horizontal="center" vertical="center" wrapText="1"/>
    </xf>
    <xf numFmtId="0" fontId="25" fillId="0" borderId="43" xfId="1" applyFont="1" applyBorder="1" applyAlignment="1">
      <alignment horizontal="center" vertical="center" wrapText="1"/>
    </xf>
    <xf numFmtId="0" fontId="27" fillId="0" borderId="11" xfId="1" applyFont="1" applyBorder="1" applyAlignment="1">
      <alignment vertical="center"/>
    </xf>
    <xf numFmtId="0" fontId="27" fillId="0" borderId="35" xfId="1" applyFont="1" applyBorder="1" applyAlignment="1">
      <alignment vertical="center"/>
    </xf>
    <xf numFmtId="0" fontId="27" fillId="0" borderId="40" xfId="1" applyFont="1" applyBorder="1" applyAlignment="1">
      <alignment vertical="center"/>
    </xf>
    <xf numFmtId="0" fontId="27" fillId="0" borderId="33" xfId="1" applyFont="1" applyBorder="1" applyAlignment="1">
      <alignment vertical="center"/>
    </xf>
    <xf numFmtId="0" fontId="27" fillId="0" borderId="0" xfId="1" applyFont="1" applyAlignment="1">
      <alignment vertical="center"/>
    </xf>
    <xf numFmtId="0" fontId="27" fillId="0" borderId="44" xfId="1" applyFont="1" applyBorder="1" applyAlignment="1">
      <alignment vertical="center"/>
    </xf>
    <xf numFmtId="0" fontId="27" fillId="0" borderId="46" xfId="1" applyFont="1" applyBorder="1" applyAlignment="1">
      <alignment vertical="center"/>
    </xf>
    <xf numFmtId="0" fontId="27" fillId="0" borderId="1" xfId="1" applyFont="1" applyBorder="1" applyAlignment="1">
      <alignment vertical="center"/>
    </xf>
    <xf numFmtId="0" fontId="27" fillId="0" borderId="47" xfId="1" applyFont="1" applyBorder="1" applyAlignment="1">
      <alignment vertical="center"/>
    </xf>
    <xf numFmtId="0" fontId="27" fillId="0" borderId="7" xfId="1" applyFont="1" applyBorder="1" applyAlignment="1">
      <alignment horizontal="center" wrapText="1"/>
    </xf>
    <xf numFmtId="0" fontId="27" fillId="0" borderId="15" xfId="1" applyFont="1" applyBorder="1" applyAlignment="1">
      <alignment horizontal="center" wrapText="1"/>
    </xf>
    <xf numFmtId="0" fontId="21" fillId="0" borderId="54" xfId="1" applyFont="1" applyBorder="1" applyAlignment="1">
      <alignment horizontal="center"/>
    </xf>
    <xf numFmtId="0" fontId="21" fillId="0" borderId="37" xfId="1" applyFont="1" applyBorder="1" applyAlignment="1">
      <alignment horizontal="center"/>
    </xf>
    <xf numFmtId="0" fontId="21" fillId="0" borderId="24" xfId="1" applyFont="1" applyBorder="1" applyAlignment="1">
      <alignment horizontal="center"/>
    </xf>
    <xf numFmtId="0" fontId="1" fillId="0" borderId="34" xfId="1" applyBorder="1" applyAlignment="1">
      <alignment horizontal="center"/>
    </xf>
    <xf numFmtId="0" fontId="30" fillId="0" borderId="33" xfId="1" applyFont="1" applyBorder="1" applyAlignment="1">
      <alignment horizontal="center" vertical="center"/>
    </xf>
    <xf numFmtId="0" fontId="30" fillId="0" borderId="0" xfId="1" applyFont="1" applyAlignment="1">
      <alignment horizontal="center" vertical="center"/>
    </xf>
    <xf numFmtId="0" fontId="30" fillId="0" borderId="34" xfId="1" applyFont="1" applyBorder="1" applyAlignment="1">
      <alignment horizontal="center" vertical="center"/>
    </xf>
    <xf numFmtId="0" fontId="30" fillId="0" borderId="20" xfId="1" applyFont="1" applyBorder="1" applyAlignment="1">
      <alignment horizontal="center" vertical="center"/>
    </xf>
    <xf numFmtId="0" fontId="30" fillId="0" borderId="4" xfId="1" applyFont="1" applyBorder="1" applyAlignment="1">
      <alignment horizontal="center" vertical="center"/>
    </xf>
    <xf numFmtId="0" fontId="21" fillId="0" borderId="51" xfId="1" applyFont="1" applyBorder="1" applyAlignment="1">
      <alignment horizontal="center"/>
    </xf>
    <xf numFmtId="0" fontId="21" fillId="0" borderId="31" xfId="1" applyFont="1" applyBorder="1" applyAlignment="1">
      <alignment horizontal="center"/>
    </xf>
    <xf numFmtId="0" fontId="21" fillId="0" borderId="30" xfId="1" applyFont="1" applyBorder="1" applyAlignment="1">
      <alignment horizontal="center"/>
    </xf>
    <xf numFmtId="0" fontId="21" fillId="0" borderId="11" xfId="1" applyFont="1" applyBorder="1" applyAlignment="1">
      <alignment horizontal="left" vertical="center" wrapText="1"/>
    </xf>
    <xf numFmtId="0" fontId="21" fillId="0" borderId="35" xfId="1" applyFont="1" applyBorder="1" applyAlignment="1">
      <alignment horizontal="left" vertical="center" wrapText="1"/>
    </xf>
    <xf numFmtId="0" fontId="21" fillId="0" borderId="40" xfId="1" applyFont="1" applyBorder="1" applyAlignment="1">
      <alignment horizontal="left" vertical="center" wrapText="1"/>
    </xf>
    <xf numFmtId="0" fontId="21" fillId="0" borderId="20" xfId="1" applyFont="1" applyBorder="1" applyAlignment="1">
      <alignment horizontal="left" vertical="center" wrapText="1"/>
    </xf>
    <xf numFmtId="0" fontId="21" fillId="0" borderId="4" xfId="1" applyFont="1" applyBorder="1" applyAlignment="1">
      <alignment horizontal="left" vertical="center" wrapText="1"/>
    </xf>
    <xf numFmtId="0" fontId="21" fillId="0" borderId="53" xfId="1" applyFont="1" applyBorder="1" applyAlignment="1">
      <alignment horizontal="left" vertical="center" wrapText="1"/>
    </xf>
    <xf numFmtId="0" fontId="12" fillId="0" borderId="1" xfId="1" applyFont="1" applyBorder="1" applyAlignment="1">
      <alignment horizontal="center"/>
    </xf>
    <xf numFmtId="1" fontId="12" fillId="0" borderId="0" xfId="1" applyNumberFormat="1" applyFont="1" applyAlignment="1">
      <alignment horizontal="left"/>
    </xf>
    <xf numFmtId="0" fontId="12" fillId="0" borderId="0" xfId="1" applyFont="1" applyAlignment="1">
      <alignment horizontal="left"/>
    </xf>
    <xf numFmtId="3" fontId="4" fillId="0" borderId="3" xfId="1" applyNumberFormat="1" applyFont="1" applyBorder="1" applyAlignment="1">
      <alignment horizontal="center" wrapText="1"/>
    </xf>
    <xf numFmtId="0" fontId="5" fillId="0" borderId="3" xfId="1" applyFont="1" applyBorder="1" applyAlignment="1">
      <alignment horizontal="left" shrinkToFit="1"/>
    </xf>
    <xf numFmtId="49" fontId="9" fillId="2" borderId="0" xfId="1" applyNumberFormat="1" applyFont="1" applyFill="1" applyAlignment="1">
      <alignment horizontal="center" vertical="top"/>
    </xf>
    <xf numFmtId="0" fontId="9" fillId="2" borderId="0" xfId="1" applyFont="1" applyFill="1" applyAlignment="1">
      <alignment horizontal="center" vertical="top"/>
    </xf>
    <xf numFmtId="164" fontId="8" fillId="0" borderId="0" xfId="1" applyNumberFormat="1" applyFont="1" applyAlignment="1">
      <alignment horizontal="center"/>
    </xf>
    <xf numFmtId="0" fontId="8" fillId="0" borderId="0" xfId="1" applyFont="1" applyAlignment="1">
      <alignment horizontal="center"/>
    </xf>
    <xf numFmtId="0" fontId="34" fillId="0" borderId="0" xfId="1" applyFont="1" applyAlignment="1">
      <alignment horizontal="right" wrapText="1"/>
    </xf>
    <xf numFmtId="0" fontId="1" fillId="0" borderId="0" xfId="1"/>
    <xf numFmtId="0" fontId="5" fillId="0" borderId="4" xfId="1" applyFont="1" applyBorder="1" applyAlignment="1">
      <alignment horizontal="center"/>
    </xf>
    <xf numFmtId="0" fontId="16" fillId="0" borderId="5" xfId="1" applyFont="1" applyBorder="1" applyAlignment="1">
      <alignment horizontal="center" vertical="center"/>
    </xf>
    <xf numFmtId="0" fontId="16" fillId="0" borderId="13" xfId="1" applyFont="1" applyBorder="1" applyAlignment="1">
      <alignment horizontal="center" vertical="center"/>
    </xf>
    <xf numFmtId="0" fontId="16" fillId="0" borderId="19" xfId="1" applyFont="1" applyBorder="1" applyAlignment="1">
      <alignment horizontal="center" vertical="center"/>
    </xf>
    <xf numFmtId="0" fontId="16" fillId="0" borderId="56" xfId="1" applyFont="1" applyBorder="1" applyAlignment="1">
      <alignment horizontal="center" vertical="center"/>
    </xf>
    <xf numFmtId="0" fontId="16" fillId="0" borderId="9" xfId="1" applyFont="1" applyBorder="1" applyAlignment="1">
      <alignment horizontal="center" vertical="center"/>
    </xf>
    <xf numFmtId="0" fontId="16" fillId="0" borderId="57" xfId="1" applyFont="1" applyBorder="1" applyAlignment="1">
      <alignment horizontal="center" vertical="center" wrapText="1"/>
    </xf>
    <xf numFmtId="0" fontId="2" fillId="0" borderId="36" xfId="1" applyFont="1" applyBorder="1" applyAlignment="1">
      <alignment horizontal="center" vertical="center" wrapText="1"/>
    </xf>
    <xf numFmtId="0" fontId="11" fillId="0" borderId="57" xfId="1" applyFont="1" applyBorder="1" applyAlignment="1">
      <alignment horizontal="center" vertical="center" wrapText="1"/>
    </xf>
    <xf numFmtId="0" fontId="11" fillId="0" borderId="36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/>
    </xf>
    <xf numFmtId="0" fontId="12" fillId="0" borderId="0" xfId="1" applyFont="1" applyAlignment="1">
      <alignment horizontal="center"/>
    </xf>
    <xf numFmtId="49" fontId="43" fillId="2" borderId="0" xfId="1" applyNumberFormat="1" applyFont="1" applyFill="1" applyAlignment="1">
      <alignment horizontal="center" vertical="center"/>
    </xf>
    <xf numFmtId="0" fontId="43" fillId="2" borderId="0" xfId="1" applyFont="1" applyFill="1" applyAlignment="1">
      <alignment horizontal="center" vertical="center"/>
    </xf>
    <xf numFmtId="0" fontId="11" fillId="0" borderId="8" xfId="1" applyFont="1" applyBorder="1" applyAlignment="1">
      <alignment horizontal="center" vertical="center"/>
    </xf>
    <xf numFmtId="0" fontId="11" fillId="0" borderId="10" xfId="1" applyFont="1" applyBorder="1" applyAlignment="1">
      <alignment horizontal="center" vertical="center"/>
    </xf>
    <xf numFmtId="0" fontId="11" fillId="0" borderId="9" xfId="1" applyFont="1" applyBorder="1" applyAlignment="1">
      <alignment horizontal="center" vertical="center"/>
    </xf>
    <xf numFmtId="0" fontId="16" fillId="0" borderId="8" xfId="1" applyFont="1" applyBorder="1" applyAlignment="1">
      <alignment horizontal="center" vertical="center"/>
    </xf>
    <xf numFmtId="0" fontId="10" fillId="0" borderId="11" xfId="1" applyFont="1" applyBorder="1" applyAlignment="1">
      <alignment horizontal="center" vertical="center" wrapText="1"/>
    </xf>
    <xf numFmtId="0" fontId="10" fillId="0" borderId="35" xfId="1" applyFont="1" applyBorder="1" applyAlignment="1">
      <alignment horizontal="center" vertical="center" wrapText="1"/>
    </xf>
    <xf numFmtId="0" fontId="10" fillId="0" borderId="12" xfId="1" applyFont="1" applyBorder="1" applyAlignment="1">
      <alignment horizontal="center" vertical="center" wrapText="1"/>
    </xf>
    <xf numFmtId="0" fontId="10" fillId="0" borderId="33" xfId="1" applyFont="1" applyBorder="1" applyAlignment="1">
      <alignment horizontal="center" vertical="center" wrapText="1"/>
    </xf>
    <xf numFmtId="0" fontId="10" fillId="0" borderId="0" xfId="1" applyFont="1" applyAlignment="1">
      <alignment horizontal="center" vertical="center" wrapText="1"/>
    </xf>
    <xf numFmtId="0" fontId="10" fillId="0" borderId="34" xfId="1" applyFont="1" applyBorder="1" applyAlignment="1">
      <alignment horizontal="center" vertical="center" wrapText="1"/>
    </xf>
    <xf numFmtId="0" fontId="10" fillId="0" borderId="20" xfId="1" applyFont="1" applyBorder="1" applyAlignment="1">
      <alignment horizontal="center" vertical="center" wrapText="1"/>
    </xf>
    <xf numFmtId="0" fontId="10" fillId="0" borderId="4" xfId="1" applyFont="1" applyBorder="1" applyAlignment="1">
      <alignment horizontal="center" vertical="center" wrapText="1"/>
    </xf>
    <xf numFmtId="0" fontId="10" fillId="0" borderId="21" xfId="1" applyFont="1" applyBorder="1" applyAlignment="1">
      <alignment horizontal="center" vertical="center" wrapText="1"/>
    </xf>
    <xf numFmtId="49" fontId="4" fillId="0" borderId="54" xfId="1" applyNumberFormat="1" applyFont="1" applyBorder="1" applyAlignment="1">
      <alignment horizontal="center" shrinkToFit="1"/>
    </xf>
    <xf numFmtId="0" fontId="4" fillId="0" borderId="58" xfId="1" applyFont="1" applyBorder="1" applyAlignment="1">
      <alignment horizontal="center" shrinkToFit="1"/>
    </xf>
    <xf numFmtId="0" fontId="14" fillId="0" borderId="51" xfId="1" applyFont="1" applyBorder="1" applyAlignment="1">
      <alignment horizontal="center"/>
    </xf>
    <xf numFmtId="0" fontId="14" fillId="0" borderId="32" xfId="1" applyFont="1" applyBorder="1" applyAlignment="1">
      <alignment horizontal="center"/>
    </xf>
    <xf numFmtId="0" fontId="10" fillId="0" borderId="0" xfId="1" applyFont="1" applyAlignment="1">
      <alignment horizontal="left"/>
    </xf>
    <xf numFmtId="0" fontId="36" fillId="0" borderId="1" xfId="1" applyFont="1" applyBorder="1" applyAlignment="1">
      <alignment horizontal="center"/>
    </xf>
    <xf numFmtId="0" fontId="10" fillId="0" borderId="0" xfId="1" applyFont="1" applyAlignment="1">
      <alignment horizontal="right"/>
    </xf>
    <xf numFmtId="0" fontId="36" fillId="0" borderId="0" xfId="1" applyFont="1" applyAlignment="1">
      <alignment horizontal="left" shrinkToFit="1"/>
    </xf>
    <xf numFmtId="0" fontId="10" fillId="0" borderId="0" xfId="1" applyFont="1" applyAlignment="1">
      <alignment horizontal="center" shrinkToFit="1"/>
    </xf>
    <xf numFmtId="0" fontId="10" fillId="0" borderId="34" xfId="1" applyFont="1" applyBorder="1" applyAlignment="1">
      <alignment horizontal="center" shrinkToFit="1"/>
    </xf>
    <xf numFmtId="0" fontId="10" fillId="0" borderId="33" xfId="1" applyFont="1" applyBorder="1" applyAlignment="1">
      <alignment horizontal="center"/>
    </xf>
    <xf numFmtId="0" fontId="37" fillId="0" borderId="0" xfId="1" applyFont="1" applyAlignment="1">
      <alignment horizontal="center"/>
    </xf>
    <xf numFmtId="0" fontId="38" fillId="0" borderId="33" xfId="1" applyFont="1" applyBorder="1" applyAlignment="1">
      <alignment horizontal="center" shrinkToFit="1"/>
    </xf>
    <xf numFmtId="0" fontId="38" fillId="0" borderId="0" xfId="1" applyFont="1" applyAlignment="1">
      <alignment horizontal="center" shrinkToFit="1"/>
    </xf>
    <xf numFmtId="0" fontId="39" fillId="0" borderId="0" xfId="1" applyFont="1" applyAlignment="1">
      <alignment horizontal="center"/>
    </xf>
    <xf numFmtId="0" fontId="7" fillId="0" borderId="0" xfId="1" applyFont="1" applyAlignment="1">
      <alignment horizontal="center" shrinkToFit="1"/>
    </xf>
    <xf numFmtId="1" fontId="7" fillId="0" borderId="0" xfId="1" applyNumberFormat="1" applyFont="1" applyAlignment="1">
      <alignment horizontal="center" shrinkToFit="1"/>
    </xf>
    <xf numFmtId="0" fontId="7" fillId="0" borderId="0" xfId="1" applyFont="1" applyAlignment="1">
      <alignment horizontal="center" wrapText="1"/>
    </xf>
    <xf numFmtId="0" fontId="7" fillId="0" borderId="0" xfId="1" applyFont="1" applyAlignment="1">
      <alignment horizontal="right"/>
    </xf>
    <xf numFmtId="0" fontId="45" fillId="0" borderId="0" xfId="0" applyFont="1"/>
  </cellXfs>
  <cellStyles count="6">
    <cellStyle name="Millares 14" xfId="3" xr:uid="{FF4AF82A-FE93-4F17-B802-426D6F9A766B}"/>
    <cellStyle name="Millares 3 2 10" xfId="5" xr:uid="{7AC25EB1-AA4E-4EEF-96E1-301E3FA84E3B}"/>
    <cellStyle name="Normal" xfId="0" builtinId="0"/>
    <cellStyle name="Normal 10 2" xfId="1" xr:uid="{C498879F-B98B-49A1-808E-26F71FA01C85}"/>
    <cellStyle name="Normal 9" xfId="2" xr:uid="{6ED7BE61-29E1-489B-A08E-0849D4B47EF0}"/>
    <cellStyle name="Porcentual 5 3" xfId="4" xr:uid="{2154FB21-1A9D-414E-BD35-9B81ECE564EC}"/>
  </cellStyles>
  <dxfs count="3"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condense val="0"/>
        <extend val="0"/>
        <color indexed="9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60325</xdr:rowOff>
    </xdr:from>
    <xdr:to>
      <xdr:col>2</xdr:col>
      <xdr:colOff>0</xdr:colOff>
      <xdr:row>3</xdr:row>
      <xdr:rowOff>88900</xdr:rowOff>
    </xdr:to>
    <xdr:pic>
      <xdr:nvPicPr>
        <xdr:cNvPr id="2" name="Imagen 1" descr="Logo final bicolor">
          <a:extLst>
            <a:ext uri="{FF2B5EF4-FFF2-40B4-BE49-F238E27FC236}">
              <a16:creationId xmlns:a16="http://schemas.microsoft.com/office/drawing/2014/main" id="{C7A79101-BB57-4E7A-9A8B-B6BCA14CF3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60325"/>
          <a:ext cx="1272540" cy="5086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47625</xdr:colOff>
      <xdr:row>61</xdr:row>
      <xdr:rowOff>85725</xdr:rowOff>
    </xdr:from>
    <xdr:to>
      <xdr:col>2</xdr:col>
      <xdr:colOff>47625</xdr:colOff>
      <xdr:row>64</xdr:row>
      <xdr:rowOff>114300</xdr:rowOff>
    </xdr:to>
    <xdr:pic>
      <xdr:nvPicPr>
        <xdr:cNvPr id="3" name="Imagen 1" descr="Logo final bicolor">
          <a:extLst>
            <a:ext uri="{FF2B5EF4-FFF2-40B4-BE49-F238E27FC236}">
              <a16:creationId xmlns:a16="http://schemas.microsoft.com/office/drawing/2014/main" id="{F48E7C01-9069-4C78-8947-791546634E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7625" y="10525125"/>
          <a:ext cx="1272540" cy="5086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47625</xdr:colOff>
      <xdr:row>81</xdr:row>
      <xdr:rowOff>66675</xdr:rowOff>
    </xdr:from>
    <xdr:to>
      <xdr:col>2</xdr:col>
      <xdr:colOff>47625</xdr:colOff>
      <xdr:row>84</xdr:row>
      <xdr:rowOff>85725</xdr:rowOff>
    </xdr:to>
    <xdr:pic>
      <xdr:nvPicPr>
        <xdr:cNvPr id="4" name="Imagen 1" descr="Logo final bicolor">
          <a:extLst>
            <a:ext uri="{FF2B5EF4-FFF2-40B4-BE49-F238E27FC236}">
              <a16:creationId xmlns:a16="http://schemas.microsoft.com/office/drawing/2014/main" id="{FEC24268-076B-44EC-9951-885820A668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7625" y="14346555"/>
          <a:ext cx="1272540" cy="49911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53975</xdr:colOff>
      <xdr:row>35</xdr:row>
      <xdr:rowOff>155575</xdr:rowOff>
    </xdr:from>
    <xdr:to>
      <xdr:col>2</xdr:col>
      <xdr:colOff>460375</xdr:colOff>
      <xdr:row>39</xdr:row>
      <xdr:rowOff>3566</xdr:rowOff>
    </xdr:to>
    <xdr:pic>
      <xdr:nvPicPr>
        <xdr:cNvPr id="5" name="Imagen 1" descr="Logo final bicolor">
          <a:extLst>
            <a:ext uri="{FF2B5EF4-FFF2-40B4-BE49-F238E27FC236}">
              <a16:creationId xmlns:a16="http://schemas.microsoft.com/office/drawing/2014/main" id="{2E25510C-01CE-4DCA-940F-E766101E54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00735" y="6365875"/>
          <a:ext cx="932180" cy="4880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520698</xdr:colOff>
      <xdr:row>35</xdr:row>
      <xdr:rowOff>76199</xdr:rowOff>
    </xdr:from>
    <xdr:to>
      <xdr:col>15</xdr:col>
      <xdr:colOff>190499</xdr:colOff>
      <xdr:row>58</xdr:row>
      <xdr:rowOff>114300</xdr:rowOff>
    </xdr:to>
    <xdr:sp macro="" textlink="">
      <xdr:nvSpPr>
        <xdr:cNvPr id="6" name="AutoShape 2">
          <a:extLst>
            <a:ext uri="{FF2B5EF4-FFF2-40B4-BE49-F238E27FC236}">
              <a16:creationId xmlns:a16="http://schemas.microsoft.com/office/drawing/2014/main" id="{4B6C3A0C-0DC5-4417-8A18-B8AB73FDD428}"/>
            </a:ext>
          </a:extLst>
        </xdr:cNvPr>
        <xdr:cNvSpPr>
          <a:spLocks noChangeArrowheads="1"/>
        </xdr:cNvSpPr>
      </xdr:nvSpPr>
      <xdr:spPr bwMode="auto">
        <a:xfrm>
          <a:off x="520698" y="6286499"/>
          <a:ext cx="9583421" cy="3787141"/>
        </a:xfrm>
        <a:prstGeom prst="roundRect">
          <a:avLst>
            <a:gd name="adj" fmla="val 1852"/>
          </a:avLst>
        </a:prstGeom>
        <a:noFill/>
        <a:ln w="254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120015</xdr:colOff>
      <xdr:row>48</xdr:row>
      <xdr:rowOff>76200</xdr:rowOff>
    </xdr:from>
    <xdr:to>
      <xdr:col>2</xdr:col>
      <xdr:colOff>177165</xdr:colOff>
      <xdr:row>49</xdr:row>
      <xdr:rowOff>38100</xdr:rowOff>
    </xdr:to>
    <xdr:sp macro="" textlink="">
      <xdr:nvSpPr>
        <xdr:cNvPr id="10" name="WordArt 29">
          <a:extLst>
            <a:ext uri="{FF2B5EF4-FFF2-40B4-BE49-F238E27FC236}">
              <a16:creationId xmlns:a16="http://schemas.microsoft.com/office/drawing/2014/main" id="{F5FA04D2-2FEC-4004-9CFF-65C12021EC85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1392555" y="8366760"/>
          <a:ext cx="57150" cy="12192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endParaRPr lang="es-MX" sz="3600" kern="10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00"/>
            </a:solidFill>
            <a:effectLst/>
            <a:latin typeface="Arial Black"/>
          </a:endParaRPr>
        </a:p>
      </xdr:txBody>
    </xdr:sp>
    <xdr:clientData/>
  </xdr:twoCellAnchor>
  <xdr:twoCellAnchor>
    <xdr:from>
      <xdr:col>3</xdr:col>
      <xdr:colOff>7620</xdr:colOff>
      <xdr:row>48</xdr:row>
      <xdr:rowOff>76200</xdr:rowOff>
    </xdr:from>
    <xdr:to>
      <xdr:col>3</xdr:col>
      <xdr:colOff>60960</xdr:colOff>
      <xdr:row>49</xdr:row>
      <xdr:rowOff>38100</xdr:rowOff>
    </xdr:to>
    <xdr:sp macro="" textlink="">
      <xdr:nvSpPr>
        <xdr:cNvPr id="12" name="WordArt 50">
          <a:extLst>
            <a:ext uri="{FF2B5EF4-FFF2-40B4-BE49-F238E27FC236}">
              <a16:creationId xmlns:a16="http://schemas.microsoft.com/office/drawing/2014/main" id="{91FFEA33-BFE5-4F01-8208-46945D0E88E8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1805940" y="8366760"/>
          <a:ext cx="53340" cy="12192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endParaRPr lang="es-MX" sz="3600" kern="10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00"/>
            </a:solidFill>
            <a:effectLst/>
            <a:latin typeface="Arial Black"/>
          </a:endParaRPr>
        </a:p>
      </xdr:txBody>
    </xdr:sp>
    <xdr:clientData/>
  </xdr:twoCellAnchor>
  <xdr:twoCellAnchor>
    <xdr:from>
      <xdr:col>11</xdr:col>
      <xdr:colOff>30788</xdr:colOff>
      <xdr:row>41</xdr:row>
      <xdr:rowOff>24294</xdr:rowOff>
    </xdr:from>
    <xdr:to>
      <xdr:col>11</xdr:col>
      <xdr:colOff>377151</xdr:colOff>
      <xdr:row>41</xdr:row>
      <xdr:rowOff>24294</xdr:rowOff>
    </xdr:to>
    <xdr:cxnSp macro="">
      <xdr:nvCxnSpPr>
        <xdr:cNvPr id="13" name="12 Conector recto de flecha">
          <a:extLst>
            <a:ext uri="{FF2B5EF4-FFF2-40B4-BE49-F238E27FC236}">
              <a16:creationId xmlns:a16="http://schemas.microsoft.com/office/drawing/2014/main" id="{9AE7EC30-7A55-447A-B1BC-26BFC7B8387D}"/>
            </a:ext>
          </a:extLst>
        </xdr:cNvPr>
        <xdr:cNvCxnSpPr/>
      </xdr:nvCxnSpPr>
      <xdr:spPr>
        <a:xfrm>
          <a:off x="7269788" y="7194714"/>
          <a:ext cx="346363" cy="0"/>
        </a:xfrm>
        <a:prstGeom prst="straightConnector1">
          <a:avLst/>
        </a:prstGeom>
        <a:ln>
          <a:tailEnd type="stealth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322790</xdr:colOff>
      <xdr:row>41</xdr:row>
      <xdr:rowOff>61454</xdr:rowOff>
    </xdr:from>
    <xdr:to>
      <xdr:col>13</xdr:col>
      <xdr:colOff>88994</xdr:colOff>
      <xdr:row>41</xdr:row>
      <xdr:rowOff>61454</xdr:rowOff>
    </xdr:to>
    <xdr:cxnSp macro="">
      <xdr:nvCxnSpPr>
        <xdr:cNvPr id="14" name="13 Conector recto de flecha">
          <a:extLst>
            <a:ext uri="{FF2B5EF4-FFF2-40B4-BE49-F238E27FC236}">
              <a16:creationId xmlns:a16="http://schemas.microsoft.com/office/drawing/2014/main" id="{F07C194E-5B2F-49BC-AE60-E787F4BE2FBE}"/>
            </a:ext>
          </a:extLst>
        </xdr:cNvPr>
        <xdr:cNvCxnSpPr/>
      </xdr:nvCxnSpPr>
      <xdr:spPr>
        <a:xfrm>
          <a:off x="8156150" y="7231874"/>
          <a:ext cx="360564" cy="0"/>
        </a:xfrm>
        <a:prstGeom prst="straightConnector1">
          <a:avLst/>
        </a:prstGeom>
        <a:ln>
          <a:tailEnd type="stealth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47773</xdr:colOff>
      <xdr:row>48</xdr:row>
      <xdr:rowOff>57741</xdr:rowOff>
    </xdr:from>
    <xdr:to>
      <xdr:col>11</xdr:col>
      <xdr:colOff>394136</xdr:colOff>
      <xdr:row>48</xdr:row>
      <xdr:rowOff>57741</xdr:rowOff>
    </xdr:to>
    <xdr:cxnSp macro="">
      <xdr:nvCxnSpPr>
        <xdr:cNvPr id="15" name="14 Conector recto de flecha">
          <a:extLst>
            <a:ext uri="{FF2B5EF4-FFF2-40B4-BE49-F238E27FC236}">
              <a16:creationId xmlns:a16="http://schemas.microsoft.com/office/drawing/2014/main" id="{173C63B0-F319-4CE9-BC0B-51B6B27C26AE}"/>
            </a:ext>
          </a:extLst>
        </xdr:cNvPr>
        <xdr:cNvCxnSpPr/>
      </xdr:nvCxnSpPr>
      <xdr:spPr>
        <a:xfrm>
          <a:off x="7286773" y="8348301"/>
          <a:ext cx="346363" cy="0"/>
        </a:xfrm>
        <a:prstGeom prst="straightConnector1">
          <a:avLst/>
        </a:prstGeom>
        <a:ln>
          <a:tailEnd type="stealth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236106</xdr:colOff>
      <xdr:row>48</xdr:row>
      <xdr:rowOff>55215</xdr:rowOff>
    </xdr:from>
    <xdr:to>
      <xdr:col>13</xdr:col>
      <xdr:colOff>2310</xdr:colOff>
      <xdr:row>48</xdr:row>
      <xdr:rowOff>55215</xdr:rowOff>
    </xdr:to>
    <xdr:cxnSp macro="">
      <xdr:nvCxnSpPr>
        <xdr:cNvPr id="16" name="15 Conector recto de flecha">
          <a:extLst>
            <a:ext uri="{FF2B5EF4-FFF2-40B4-BE49-F238E27FC236}">
              <a16:creationId xmlns:a16="http://schemas.microsoft.com/office/drawing/2014/main" id="{3019C3C2-A892-4B79-A444-4EBF25AE7CC4}"/>
            </a:ext>
          </a:extLst>
        </xdr:cNvPr>
        <xdr:cNvCxnSpPr/>
      </xdr:nvCxnSpPr>
      <xdr:spPr>
        <a:xfrm>
          <a:off x="8069466" y="8345775"/>
          <a:ext cx="360564" cy="0"/>
        </a:xfrm>
        <a:prstGeom prst="straightConnector1">
          <a:avLst/>
        </a:prstGeom>
        <a:ln>
          <a:tailEnd type="stealth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490903</xdr:colOff>
      <xdr:row>54</xdr:row>
      <xdr:rowOff>95198</xdr:rowOff>
    </xdr:from>
    <xdr:to>
      <xdr:col>3</xdr:col>
      <xdr:colOff>664143</xdr:colOff>
      <xdr:row>55</xdr:row>
      <xdr:rowOff>65942</xdr:rowOff>
    </xdr:to>
    <xdr:cxnSp macro="">
      <xdr:nvCxnSpPr>
        <xdr:cNvPr id="35" name="34 Forma">
          <a:extLst>
            <a:ext uri="{FF2B5EF4-FFF2-40B4-BE49-F238E27FC236}">
              <a16:creationId xmlns:a16="http://schemas.microsoft.com/office/drawing/2014/main" id="{94ABD756-2E7E-4DFB-B640-060CE36EE0A0}"/>
            </a:ext>
          </a:extLst>
        </xdr:cNvPr>
        <xdr:cNvCxnSpPr/>
      </xdr:nvCxnSpPr>
      <xdr:spPr>
        <a:xfrm flipV="1">
          <a:off x="2289223" y="9383978"/>
          <a:ext cx="173240" cy="138384"/>
        </a:xfrm>
        <a:prstGeom prst="bentConnector2">
          <a:avLst/>
        </a:prstGeom>
        <a:ln w="9525">
          <a:headEnd type="none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322385</xdr:colOff>
      <xdr:row>54</xdr:row>
      <xdr:rowOff>102525</xdr:rowOff>
    </xdr:from>
    <xdr:to>
      <xdr:col>8</xdr:col>
      <xdr:colOff>30528</xdr:colOff>
      <xdr:row>55</xdr:row>
      <xdr:rowOff>73269</xdr:rowOff>
    </xdr:to>
    <xdr:cxnSp macro="">
      <xdr:nvCxnSpPr>
        <xdr:cNvPr id="36" name="35 Forma">
          <a:extLst>
            <a:ext uri="{FF2B5EF4-FFF2-40B4-BE49-F238E27FC236}">
              <a16:creationId xmlns:a16="http://schemas.microsoft.com/office/drawing/2014/main" id="{270768CA-C7BC-435F-AE72-61468A1FC2F0}"/>
            </a:ext>
          </a:extLst>
        </xdr:cNvPr>
        <xdr:cNvCxnSpPr/>
      </xdr:nvCxnSpPr>
      <xdr:spPr>
        <a:xfrm flipV="1">
          <a:off x="4978205" y="9391305"/>
          <a:ext cx="371083" cy="138384"/>
        </a:xfrm>
        <a:prstGeom prst="bentConnector2">
          <a:avLst/>
        </a:prstGeom>
        <a:ln>
          <a:headEnd type="none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219808</xdr:colOff>
      <xdr:row>57</xdr:row>
      <xdr:rowOff>7326</xdr:rowOff>
    </xdr:from>
    <xdr:to>
      <xdr:col>9</xdr:col>
      <xdr:colOff>395654</xdr:colOff>
      <xdr:row>58</xdr:row>
      <xdr:rowOff>7327</xdr:rowOff>
    </xdr:to>
    <xdr:sp macro="" textlink="">
      <xdr:nvSpPr>
        <xdr:cNvPr id="37" name="36 Rectángulo">
          <a:extLst>
            <a:ext uri="{FF2B5EF4-FFF2-40B4-BE49-F238E27FC236}">
              <a16:creationId xmlns:a16="http://schemas.microsoft.com/office/drawing/2014/main" id="{EFC52532-6428-4435-A8E3-79AC418924F6}"/>
            </a:ext>
          </a:extLst>
        </xdr:cNvPr>
        <xdr:cNvSpPr/>
      </xdr:nvSpPr>
      <xdr:spPr>
        <a:xfrm>
          <a:off x="6201508" y="9799026"/>
          <a:ext cx="175846" cy="167641"/>
        </a:xfrm>
        <a:prstGeom prst="rect">
          <a:avLst/>
        </a:prstGeom>
        <a:ln w="952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es-MX" sz="1100"/>
        </a:p>
      </xdr:txBody>
    </xdr:sp>
    <xdr:clientData/>
  </xdr:twoCellAnchor>
  <xdr:twoCellAnchor>
    <xdr:from>
      <xdr:col>8</xdr:col>
      <xdr:colOff>240323</xdr:colOff>
      <xdr:row>57</xdr:row>
      <xdr:rowOff>5861</xdr:rowOff>
    </xdr:from>
    <xdr:to>
      <xdr:col>8</xdr:col>
      <xdr:colOff>423496</xdr:colOff>
      <xdr:row>57</xdr:row>
      <xdr:rowOff>159727</xdr:rowOff>
    </xdr:to>
    <xdr:sp macro="" textlink="">
      <xdr:nvSpPr>
        <xdr:cNvPr id="38" name="37 Rectángulo">
          <a:extLst>
            <a:ext uri="{FF2B5EF4-FFF2-40B4-BE49-F238E27FC236}">
              <a16:creationId xmlns:a16="http://schemas.microsoft.com/office/drawing/2014/main" id="{4531BEDB-D47D-4A0D-9FE1-5202D81CA947}"/>
            </a:ext>
          </a:extLst>
        </xdr:cNvPr>
        <xdr:cNvSpPr/>
      </xdr:nvSpPr>
      <xdr:spPr>
        <a:xfrm>
          <a:off x="5559083" y="9797561"/>
          <a:ext cx="183173" cy="153866"/>
        </a:xfrm>
        <a:prstGeom prst="rect">
          <a:avLst/>
        </a:prstGeom>
        <a:ln w="952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es-MX" sz="1100"/>
        </a:p>
      </xdr:txBody>
    </xdr:sp>
    <xdr:clientData/>
  </xdr:twoCellAnchor>
  <xdr:twoCellAnchor>
    <xdr:from>
      <xdr:col>10</xdr:col>
      <xdr:colOff>381000</xdr:colOff>
      <xdr:row>25</xdr:row>
      <xdr:rowOff>0</xdr:rowOff>
    </xdr:from>
    <xdr:to>
      <xdr:col>11</xdr:col>
      <xdr:colOff>511969</xdr:colOff>
      <xdr:row>25</xdr:row>
      <xdr:rowOff>0</xdr:rowOff>
    </xdr:to>
    <xdr:cxnSp macro="">
      <xdr:nvCxnSpPr>
        <xdr:cNvPr id="40" name="39 Conector recto">
          <a:extLst>
            <a:ext uri="{FF2B5EF4-FFF2-40B4-BE49-F238E27FC236}">
              <a16:creationId xmlns:a16="http://schemas.microsoft.com/office/drawing/2014/main" id="{DADFBF0A-BB52-4FB7-8F3F-522381CD5D2A}"/>
            </a:ext>
          </a:extLst>
        </xdr:cNvPr>
        <xdr:cNvCxnSpPr/>
      </xdr:nvCxnSpPr>
      <xdr:spPr>
        <a:xfrm>
          <a:off x="7025640" y="4610100"/>
          <a:ext cx="725329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392906</xdr:colOff>
      <xdr:row>26</xdr:row>
      <xdr:rowOff>0</xdr:rowOff>
    </xdr:from>
    <xdr:to>
      <xdr:col>11</xdr:col>
      <xdr:colOff>523875</xdr:colOff>
      <xdr:row>26</xdr:row>
      <xdr:rowOff>0</xdr:rowOff>
    </xdr:to>
    <xdr:cxnSp macro="">
      <xdr:nvCxnSpPr>
        <xdr:cNvPr id="41" name="40 Conector recto">
          <a:extLst>
            <a:ext uri="{FF2B5EF4-FFF2-40B4-BE49-F238E27FC236}">
              <a16:creationId xmlns:a16="http://schemas.microsoft.com/office/drawing/2014/main" id="{5D13F502-9BA2-470B-8C24-4FE864BE110D}"/>
            </a:ext>
          </a:extLst>
        </xdr:cNvPr>
        <xdr:cNvCxnSpPr/>
      </xdr:nvCxnSpPr>
      <xdr:spPr>
        <a:xfrm>
          <a:off x="7037546" y="4770120"/>
          <a:ext cx="725329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520698</xdr:colOff>
      <xdr:row>35</xdr:row>
      <xdr:rowOff>76199</xdr:rowOff>
    </xdr:from>
    <xdr:to>
      <xdr:col>15</xdr:col>
      <xdr:colOff>190499</xdr:colOff>
      <xdr:row>58</xdr:row>
      <xdr:rowOff>114300</xdr:rowOff>
    </xdr:to>
    <xdr:sp macro="" textlink="">
      <xdr:nvSpPr>
        <xdr:cNvPr id="46" name="AutoShape 2">
          <a:extLst>
            <a:ext uri="{FF2B5EF4-FFF2-40B4-BE49-F238E27FC236}">
              <a16:creationId xmlns:a16="http://schemas.microsoft.com/office/drawing/2014/main" id="{9E5BAAD7-97AC-47CF-BDE0-40267FA32E71}"/>
            </a:ext>
          </a:extLst>
        </xdr:cNvPr>
        <xdr:cNvSpPr>
          <a:spLocks noChangeArrowheads="1"/>
        </xdr:cNvSpPr>
      </xdr:nvSpPr>
      <xdr:spPr bwMode="auto">
        <a:xfrm>
          <a:off x="520698" y="6286499"/>
          <a:ext cx="9583421" cy="3787141"/>
        </a:xfrm>
        <a:prstGeom prst="roundRect">
          <a:avLst>
            <a:gd name="adj" fmla="val 1852"/>
          </a:avLst>
        </a:prstGeom>
        <a:noFill/>
        <a:ln w="254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120015</xdr:colOff>
      <xdr:row>48</xdr:row>
      <xdr:rowOff>76200</xdr:rowOff>
    </xdr:from>
    <xdr:to>
      <xdr:col>2</xdr:col>
      <xdr:colOff>177165</xdr:colOff>
      <xdr:row>49</xdr:row>
      <xdr:rowOff>38100</xdr:rowOff>
    </xdr:to>
    <xdr:sp macro="" textlink="">
      <xdr:nvSpPr>
        <xdr:cNvPr id="50" name="WordArt 29">
          <a:extLst>
            <a:ext uri="{FF2B5EF4-FFF2-40B4-BE49-F238E27FC236}">
              <a16:creationId xmlns:a16="http://schemas.microsoft.com/office/drawing/2014/main" id="{D105312A-1BEA-4A5C-B690-FE4DF45FA0C5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1392555" y="8366760"/>
          <a:ext cx="57150" cy="12192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endParaRPr lang="es-MX" sz="3600" kern="10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00"/>
            </a:solidFill>
            <a:effectLst/>
            <a:latin typeface="Arial Black"/>
          </a:endParaRPr>
        </a:p>
      </xdr:txBody>
    </xdr:sp>
    <xdr:clientData/>
  </xdr:twoCellAnchor>
  <xdr:twoCellAnchor>
    <xdr:from>
      <xdr:col>3</xdr:col>
      <xdr:colOff>7620</xdr:colOff>
      <xdr:row>48</xdr:row>
      <xdr:rowOff>76200</xdr:rowOff>
    </xdr:from>
    <xdr:to>
      <xdr:col>3</xdr:col>
      <xdr:colOff>60960</xdr:colOff>
      <xdr:row>49</xdr:row>
      <xdr:rowOff>38100</xdr:rowOff>
    </xdr:to>
    <xdr:sp macro="" textlink="">
      <xdr:nvSpPr>
        <xdr:cNvPr id="52" name="WordArt 50">
          <a:extLst>
            <a:ext uri="{FF2B5EF4-FFF2-40B4-BE49-F238E27FC236}">
              <a16:creationId xmlns:a16="http://schemas.microsoft.com/office/drawing/2014/main" id="{CD260984-BC4D-4BE3-9387-6582A0E63E3E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1805940" y="8366760"/>
          <a:ext cx="53340" cy="12192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endParaRPr lang="es-MX" sz="3600" kern="10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00"/>
            </a:solidFill>
            <a:effectLst/>
            <a:latin typeface="Arial Black"/>
          </a:endParaRPr>
        </a:p>
      </xdr:txBody>
    </xdr:sp>
    <xdr:clientData/>
  </xdr:twoCellAnchor>
  <xdr:twoCellAnchor>
    <xdr:from>
      <xdr:col>11</xdr:col>
      <xdr:colOff>30788</xdr:colOff>
      <xdr:row>41</xdr:row>
      <xdr:rowOff>24294</xdr:rowOff>
    </xdr:from>
    <xdr:to>
      <xdr:col>11</xdr:col>
      <xdr:colOff>377151</xdr:colOff>
      <xdr:row>41</xdr:row>
      <xdr:rowOff>24294</xdr:rowOff>
    </xdr:to>
    <xdr:cxnSp macro="">
      <xdr:nvCxnSpPr>
        <xdr:cNvPr id="53" name="12 Conector recto de flecha">
          <a:extLst>
            <a:ext uri="{FF2B5EF4-FFF2-40B4-BE49-F238E27FC236}">
              <a16:creationId xmlns:a16="http://schemas.microsoft.com/office/drawing/2014/main" id="{E84FD711-6661-467F-AC81-8EC888CE4E0E}"/>
            </a:ext>
          </a:extLst>
        </xdr:cNvPr>
        <xdr:cNvCxnSpPr/>
      </xdr:nvCxnSpPr>
      <xdr:spPr>
        <a:xfrm>
          <a:off x="7269788" y="7194714"/>
          <a:ext cx="346363" cy="0"/>
        </a:xfrm>
        <a:prstGeom prst="straightConnector1">
          <a:avLst/>
        </a:prstGeom>
        <a:ln>
          <a:tailEnd type="stealth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322790</xdr:colOff>
      <xdr:row>41</xdr:row>
      <xdr:rowOff>61454</xdr:rowOff>
    </xdr:from>
    <xdr:to>
      <xdr:col>13</xdr:col>
      <xdr:colOff>88994</xdr:colOff>
      <xdr:row>41</xdr:row>
      <xdr:rowOff>61454</xdr:rowOff>
    </xdr:to>
    <xdr:cxnSp macro="">
      <xdr:nvCxnSpPr>
        <xdr:cNvPr id="54" name="13 Conector recto de flecha">
          <a:extLst>
            <a:ext uri="{FF2B5EF4-FFF2-40B4-BE49-F238E27FC236}">
              <a16:creationId xmlns:a16="http://schemas.microsoft.com/office/drawing/2014/main" id="{17F21F92-235C-48F6-83AE-13817163CD34}"/>
            </a:ext>
          </a:extLst>
        </xdr:cNvPr>
        <xdr:cNvCxnSpPr/>
      </xdr:nvCxnSpPr>
      <xdr:spPr>
        <a:xfrm>
          <a:off x="8156150" y="7231874"/>
          <a:ext cx="360564" cy="0"/>
        </a:xfrm>
        <a:prstGeom prst="straightConnector1">
          <a:avLst/>
        </a:prstGeom>
        <a:ln>
          <a:tailEnd type="stealth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47773</xdr:colOff>
      <xdr:row>48</xdr:row>
      <xdr:rowOff>57741</xdr:rowOff>
    </xdr:from>
    <xdr:to>
      <xdr:col>11</xdr:col>
      <xdr:colOff>394136</xdr:colOff>
      <xdr:row>48</xdr:row>
      <xdr:rowOff>57741</xdr:rowOff>
    </xdr:to>
    <xdr:cxnSp macro="">
      <xdr:nvCxnSpPr>
        <xdr:cNvPr id="55" name="14 Conector recto de flecha">
          <a:extLst>
            <a:ext uri="{FF2B5EF4-FFF2-40B4-BE49-F238E27FC236}">
              <a16:creationId xmlns:a16="http://schemas.microsoft.com/office/drawing/2014/main" id="{CD02D3B3-21DE-4C71-86C5-BA331A037DFA}"/>
            </a:ext>
          </a:extLst>
        </xdr:cNvPr>
        <xdr:cNvCxnSpPr/>
      </xdr:nvCxnSpPr>
      <xdr:spPr>
        <a:xfrm>
          <a:off x="7286773" y="8348301"/>
          <a:ext cx="346363" cy="0"/>
        </a:xfrm>
        <a:prstGeom prst="straightConnector1">
          <a:avLst/>
        </a:prstGeom>
        <a:ln>
          <a:tailEnd type="stealth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236106</xdr:colOff>
      <xdr:row>48</xdr:row>
      <xdr:rowOff>55215</xdr:rowOff>
    </xdr:from>
    <xdr:to>
      <xdr:col>13</xdr:col>
      <xdr:colOff>2310</xdr:colOff>
      <xdr:row>48</xdr:row>
      <xdr:rowOff>55215</xdr:rowOff>
    </xdr:to>
    <xdr:cxnSp macro="">
      <xdr:nvCxnSpPr>
        <xdr:cNvPr id="56" name="15 Conector recto de flecha">
          <a:extLst>
            <a:ext uri="{FF2B5EF4-FFF2-40B4-BE49-F238E27FC236}">
              <a16:creationId xmlns:a16="http://schemas.microsoft.com/office/drawing/2014/main" id="{762EFE40-837E-4EA3-8119-52066FD975D9}"/>
            </a:ext>
          </a:extLst>
        </xdr:cNvPr>
        <xdr:cNvCxnSpPr/>
      </xdr:nvCxnSpPr>
      <xdr:spPr>
        <a:xfrm>
          <a:off x="8069466" y="8345775"/>
          <a:ext cx="360564" cy="0"/>
        </a:xfrm>
        <a:prstGeom prst="straightConnector1">
          <a:avLst/>
        </a:prstGeom>
        <a:ln>
          <a:tailEnd type="stealth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490903</xdr:colOff>
      <xdr:row>54</xdr:row>
      <xdr:rowOff>95198</xdr:rowOff>
    </xdr:from>
    <xdr:to>
      <xdr:col>3</xdr:col>
      <xdr:colOff>664143</xdr:colOff>
      <xdr:row>55</xdr:row>
      <xdr:rowOff>65942</xdr:rowOff>
    </xdr:to>
    <xdr:cxnSp macro="">
      <xdr:nvCxnSpPr>
        <xdr:cNvPr id="75" name="34 Forma">
          <a:extLst>
            <a:ext uri="{FF2B5EF4-FFF2-40B4-BE49-F238E27FC236}">
              <a16:creationId xmlns:a16="http://schemas.microsoft.com/office/drawing/2014/main" id="{1724667C-BBC5-45B8-AC72-0AA4794F32B2}"/>
            </a:ext>
          </a:extLst>
        </xdr:cNvPr>
        <xdr:cNvCxnSpPr/>
      </xdr:nvCxnSpPr>
      <xdr:spPr>
        <a:xfrm flipV="1">
          <a:off x="2289223" y="9383978"/>
          <a:ext cx="173240" cy="138384"/>
        </a:xfrm>
        <a:prstGeom prst="bentConnector2">
          <a:avLst/>
        </a:prstGeom>
        <a:ln w="9525">
          <a:headEnd type="none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322385</xdr:colOff>
      <xdr:row>54</xdr:row>
      <xdr:rowOff>102525</xdr:rowOff>
    </xdr:from>
    <xdr:to>
      <xdr:col>8</xdr:col>
      <xdr:colOff>30528</xdr:colOff>
      <xdr:row>55</xdr:row>
      <xdr:rowOff>73269</xdr:rowOff>
    </xdr:to>
    <xdr:cxnSp macro="">
      <xdr:nvCxnSpPr>
        <xdr:cNvPr id="76" name="35 Forma">
          <a:extLst>
            <a:ext uri="{FF2B5EF4-FFF2-40B4-BE49-F238E27FC236}">
              <a16:creationId xmlns:a16="http://schemas.microsoft.com/office/drawing/2014/main" id="{504AAB53-B6F8-46DC-98A2-802788B18890}"/>
            </a:ext>
          </a:extLst>
        </xdr:cNvPr>
        <xdr:cNvCxnSpPr/>
      </xdr:nvCxnSpPr>
      <xdr:spPr>
        <a:xfrm flipV="1">
          <a:off x="4978205" y="9391305"/>
          <a:ext cx="371083" cy="138384"/>
        </a:xfrm>
        <a:prstGeom prst="bentConnector2">
          <a:avLst/>
        </a:prstGeom>
        <a:ln>
          <a:headEnd type="none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219808</xdr:colOff>
      <xdr:row>57</xdr:row>
      <xdr:rowOff>7326</xdr:rowOff>
    </xdr:from>
    <xdr:to>
      <xdr:col>9</xdr:col>
      <xdr:colOff>395654</xdr:colOff>
      <xdr:row>58</xdr:row>
      <xdr:rowOff>7327</xdr:rowOff>
    </xdr:to>
    <xdr:sp macro="" textlink="">
      <xdr:nvSpPr>
        <xdr:cNvPr id="77" name="36 Rectángulo">
          <a:extLst>
            <a:ext uri="{FF2B5EF4-FFF2-40B4-BE49-F238E27FC236}">
              <a16:creationId xmlns:a16="http://schemas.microsoft.com/office/drawing/2014/main" id="{A926661C-8698-4D2D-9087-AF8FB13090F0}"/>
            </a:ext>
          </a:extLst>
        </xdr:cNvPr>
        <xdr:cNvSpPr/>
      </xdr:nvSpPr>
      <xdr:spPr>
        <a:xfrm>
          <a:off x="6201508" y="9799026"/>
          <a:ext cx="175846" cy="167641"/>
        </a:xfrm>
        <a:prstGeom prst="rect">
          <a:avLst/>
        </a:prstGeom>
        <a:ln w="952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es-MX" sz="1100"/>
        </a:p>
      </xdr:txBody>
    </xdr:sp>
    <xdr:clientData/>
  </xdr:twoCellAnchor>
  <xdr:twoCellAnchor>
    <xdr:from>
      <xdr:col>8</xdr:col>
      <xdr:colOff>240323</xdr:colOff>
      <xdr:row>57</xdr:row>
      <xdr:rowOff>5861</xdr:rowOff>
    </xdr:from>
    <xdr:to>
      <xdr:col>8</xdr:col>
      <xdr:colOff>423496</xdr:colOff>
      <xdr:row>57</xdr:row>
      <xdr:rowOff>159727</xdr:rowOff>
    </xdr:to>
    <xdr:sp macro="" textlink="">
      <xdr:nvSpPr>
        <xdr:cNvPr id="78" name="37 Rectángulo">
          <a:extLst>
            <a:ext uri="{FF2B5EF4-FFF2-40B4-BE49-F238E27FC236}">
              <a16:creationId xmlns:a16="http://schemas.microsoft.com/office/drawing/2014/main" id="{90E1934D-ABEF-4962-8F98-1850E4256611}"/>
            </a:ext>
          </a:extLst>
        </xdr:cNvPr>
        <xdr:cNvSpPr/>
      </xdr:nvSpPr>
      <xdr:spPr>
        <a:xfrm>
          <a:off x="5559083" y="9797561"/>
          <a:ext cx="183173" cy="153866"/>
        </a:xfrm>
        <a:prstGeom prst="rect">
          <a:avLst/>
        </a:prstGeom>
        <a:ln w="952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es-MX" sz="1100"/>
        </a:p>
      </xdr:txBody>
    </xdr:sp>
    <xdr:clientData/>
  </xdr:twoCellAnchor>
  <xdr:twoCellAnchor>
    <xdr:from>
      <xdr:col>10</xdr:col>
      <xdr:colOff>381000</xdr:colOff>
      <xdr:row>25</xdr:row>
      <xdr:rowOff>0</xdr:rowOff>
    </xdr:from>
    <xdr:to>
      <xdr:col>11</xdr:col>
      <xdr:colOff>511969</xdr:colOff>
      <xdr:row>25</xdr:row>
      <xdr:rowOff>0</xdr:rowOff>
    </xdr:to>
    <xdr:cxnSp macro="">
      <xdr:nvCxnSpPr>
        <xdr:cNvPr id="80" name="39 Conector recto">
          <a:extLst>
            <a:ext uri="{FF2B5EF4-FFF2-40B4-BE49-F238E27FC236}">
              <a16:creationId xmlns:a16="http://schemas.microsoft.com/office/drawing/2014/main" id="{00A43BC4-1822-4FD7-9F40-7F597E123228}"/>
            </a:ext>
          </a:extLst>
        </xdr:cNvPr>
        <xdr:cNvCxnSpPr/>
      </xdr:nvCxnSpPr>
      <xdr:spPr>
        <a:xfrm>
          <a:off x="7025640" y="4610100"/>
          <a:ext cx="725329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392906</xdr:colOff>
      <xdr:row>26</xdr:row>
      <xdr:rowOff>0</xdr:rowOff>
    </xdr:from>
    <xdr:to>
      <xdr:col>11</xdr:col>
      <xdr:colOff>523875</xdr:colOff>
      <xdr:row>26</xdr:row>
      <xdr:rowOff>0</xdr:rowOff>
    </xdr:to>
    <xdr:cxnSp macro="">
      <xdr:nvCxnSpPr>
        <xdr:cNvPr id="81" name="40 Conector recto">
          <a:extLst>
            <a:ext uri="{FF2B5EF4-FFF2-40B4-BE49-F238E27FC236}">
              <a16:creationId xmlns:a16="http://schemas.microsoft.com/office/drawing/2014/main" id="{93E43977-1FAD-4775-8BF0-197557D61A4D}"/>
            </a:ext>
          </a:extLst>
        </xdr:cNvPr>
        <xdr:cNvCxnSpPr/>
      </xdr:nvCxnSpPr>
      <xdr:spPr>
        <a:xfrm>
          <a:off x="7037546" y="4770120"/>
          <a:ext cx="725329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fsanchez\AppData\Local\Microsoft\Windows\INetCache\Content.Outlook\CD01VNVO\IMPRESI&#211;N%20ORDEN%20DE%20CAMBIO%20FELPA%20(B).xlsx" TargetMode="External"/><Relationship Id="rId1" Type="http://schemas.openxmlformats.org/officeDocument/2006/relationships/externalLinkPath" Target="/Users/fsanchez/AppData/Local/Microsoft/Windows/INetCache/Content.Outlook/CD01VNVO/IMPRESI&#211;N%20ORDEN%20DE%20CAMBIO%20FELPA%20(B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uestra"/>
      <sheetName val="300 (1)"/>
      <sheetName val="SULZER(1)"/>
      <sheetName val="JACQUARD (1)"/>
      <sheetName val="REGISTRO"/>
      <sheetName val="FEL"/>
      <sheetName val="FEL(2)"/>
      <sheetName val="FEL(3)"/>
      <sheetName val="FEL (4)"/>
      <sheetName val="FEL(5)"/>
      <sheetName val="FEL (6)"/>
      <sheetName val="FEL (7)"/>
      <sheetName val="FEL (8)"/>
      <sheetName val="FEL (9)"/>
      <sheetName val="FEL (10)"/>
      <sheetName val="FEL (11)"/>
      <sheetName val="FEL (12)"/>
      <sheetName val="FEL (13)"/>
    </sheetNames>
    <sheetDataSet>
      <sheetData sheetId="0"/>
      <sheetData sheetId="1"/>
      <sheetData sheetId="2"/>
      <sheetData sheetId="3"/>
      <sheetData sheetId="4">
        <row r="14">
          <cell r="A14"/>
          <cell r="B14"/>
          <cell r="E14"/>
          <cell r="F14"/>
          <cell r="G14"/>
          <cell r="H14"/>
          <cell r="I14"/>
          <cell r="J14"/>
          <cell r="K14"/>
          <cell r="L14"/>
          <cell r="M14"/>
          <cell r="N14"/>
          <cell r="O14"/>
          <cell r="Q14"/>
          <cell r="R14"/>
          <cell r="S14"/>
          <cell r="T14"/>
          <cell r="U14"/>
          <cell r="W14"/>
          <cell r="X14"/>
          <cell r="Y14"/>
          <cell r="Z14"/>
          <cell r="AA14"/>
          <cell r="AB14"/>
          <cell r="AC14"/>
          <cell r="AD14"/>
          <cell r="AF14"/>
          <cell r="AG14"/>
          <cell r="AH14"/>
          <cell r="AJ14"/>
          <cell r="AK14"/>
          <cell r="AL14"/>
          <cell r="AM14"/>
          <cell r="AN14"/>
          <cell r="AO14"/>
          <cell r="AP14"/>
          <cell r="AQ14"/>
          <cell r="AR14"/>
          <cell r="AS14"/>
          <cell r="AT14"/>
          <cell r="AU14"/>
          <cell r="AV14"/>
          <cell r="AW14"/>
          <cell r="AX14"/>
          <cell r="AZ14"/>
          <cell r="BB14"/>
          <cell r="BC14"/>
          <cell r="CJ14" t="e">
            <v>#DIV/0!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4078E-86F1-4EC4-8CB6-4E162C7CAFAB}">
  <dimension ref="M4"/>
  <sheetViews>
    <sheetView tabSelected="1" workbookViewId="0">
      <selection activeCell="M4" sqref="M4"/>
    </sheetView>
  </sheetViews>
  <sheetFormatPr baseColWidth="10" defaultRowHeight="14.4"/>
  <sheetData>
    <row r="4" spans="13:13">
      <c r="M4" s="31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A01A9-D004-43E2-A15D-563D681279D3}">
  <dimension ref="A1:P105"/>
  <sheetViews>
    <sheetView zoomScaleNormal="100" workbookViewId="0">
      <selection activeCell="D7" sqref="D7:E7"/>
    </sheetView>
  </sheetViews>
  <sheetFormatPr baseColWidth="10" defaultRowHeight="14.4"/>
  <cols>
    <col min="16" max="16" width="16.33203125" customWidth="1"/>
  </cols>
  <sheetData>
    <row r="1" spans="1:16" ht="20.399999999999999">
      <c r="A1" s="155">
        <f>[1]REGISTRO!B14</f>
        <v>0</v>
      </c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89"/>
      <c r="O2" s="189"/>
      <c r="P2" s="189"/>
    </row>
    <row r="3" spans="1:16" ht="14.4" customHeight="1">
      <c r="A3" s="1"/>
      <c r="B3" s="1"/>
      <c r="C3" s="1"/>
      <c r="D3" s="4"/>
      <c r="E3" s="1"/>
      <c r="F3" s="190" t="s">
        <v>0</v>
      </c>
      <c r="G3" s="190"/>
      <c r="H3" s="190"/>
      <c r="I3" s="190"/>
      <c r="J3" s="190"/>
      <c r="K3" s="1"/>
      <c r="L3" s="1"/>
      <c r="M3" s="1"/>
      <c r="N3" s="1"/>
      <c r="O3" s="1"/>
      <c r="P3" s="1"/>
    </row>
    <row r="4" spans="1:16" ht="14.4" customHeight="1">
      <c r="A4" s="5"/>
      <c r="B4" s="5"/>
      <c r="C4" s="5"/>
      <c r="D4" s="5"/>
      <c r="E4" s="5"/>
      <c r="F4" s="190"/>
      <c r="G4" s="190"/>
      <c r="H4" s="190"/>
      <c r="I4" s="190"/>
      <c r="J4" s="190"/>
      <c r="K4" s="5"/>
      <c r="L4" s="5"/>
      <c r="M4" s="5"/>
      <c r="N4" s="5"/>
      <c r="O4" s="6" t="s">
        <v>1</v>
      </c>
      <c r="P4" s="191">
        <f>[1]REGISTRO!A14</f>
        <v>0</v>
      </c>
    </row>
    <row r="5" spans="1:16" ht="15.6" customHeight="1">
      <c r="A5" s="192" t="s">
        <v>2</v>
      </c>
      <c r="B5" s="192"/>
      <c r="C5" s="192"/>
      <c r="D5" s="193">
        <f ca="1">NOW()</f>
        <v>45994.663394907409</v>
      </c>
      <c r="E5" s="193"/>
      <c r="F5" s="3"/>
      <c r="G5" s="3"/>
      <c r="H5" s="3"/>
      <c r="I5" s="3"/>
      <c r="J5" s="3"/>
      <c r="K5" s="3"/>
      <c r="L5" s="3"/>
      <c r="M5" s="3"/>
      <c r="N5" s="3"/>
      <c r="O5" s="6"/>
      <c r="P5" s="191"/>
    </row>
    <row r="6" spans="1:16" ht="15.6">
      <c r="A6" s="162" t="s">
        <v>3</v>
      </c>
      <c r="B6" s="162"/>
      <c r="C6" s="162"/>
      <c r="D6" s="167">
        <f>[1]REGISTRO!B14</f>
        <v>0</v>
      </c>
      <c r="E6" s="167"/>
      <c r="F6" s="164" t="s">
        <v>4</v>
      </c>
      <c r="G6" s="164"/>
      <c r="H6" s="164"/>
      <c r="I6" s="164"/>
      <c r="J6" s="194">
        <f>[1]REGISTRO!F14</f>
        <v>0</v>
      </c>
      <c r="K6" s="194"/>
      <c r="L6" s="194"/>
      <c r="M6" s="194"/>
      <c r="N6" s="194"/>
      <c r="O6" s="194"/>
      <c r="P6" s="194"/>
    </row>
    <row r="7" spans="1:16" ht="15.6">
      <c r="A7" s="162" t="s">
        <v>5</v>
      </c>
      <c r="B7" s="162"/>
      <c r="C7" s="162"/>
      <c r="D7" s="163" t="e">
        <f>REGISTRO!#REF!</f>
        <v>#REF!</v>
      </c>
      <c r="E7" s="163"/>
      <c r="F7" s="8"/>
      <c r="G7" s="8"/>
      <c r="H7" s="8" t="s">
        <v>6</v>
      </c>
      <c r="I7" s="9">
        <f>[1]REGISTRO!E14</f>
        <v>0</v>
      </c>
      <c r="J7" s="164" t="s">
        <v>7</v>
      </c>
      <c r="K7" s="164"/>
      <c r="L7" s="165">
        <f>[1]REGISTRO!G14</f>
        <v>0</v>
      </c>
      <c r="M7" s="165"/>
      <c r="N7" s="165"/>
      <c r="O7" s="165"/>
      <c r="P7" s="165"/>
    </row>
    <row r="8" spans="1:16" ht="18">
      <c r="A8" s="10" t="s">
        <v>8</v>
      </c>
      <c r="B8" s="10"/>
      <c r="C8" s="10"/>
      <c r="D8" s="166">
        <f>[1]REGISTRO!O14</f>
        <v>0</v>
      </c>
      <c r="E8" s="166"/>
      <c r="F8" s="166"/>
      <c r="G8" s="11"/>
      <c r="H8" s="8" t="s">
        <v>9</v>
      </c>
      <c r="I8" s="167">
        <f>[1]REGISTRO!L14</f>
        <v>0</v>
      </c>
      <c r="J8" s="167"/>
      <c r="K8" s="11"/>
      <c r="L8" s="168">
        <f>[1]REGISTRO!M14</f>
        <v>0</v>
      </c>
      <c r="M8" s="168"/>
      <c r="N8" s="168"/>
      <c r="O8" s="168"/>
      <c r="P8" s="168"/>
    </row>
    <row r="9" spans="1:16" ht="30">
      <c r="A9" s="10" t="s">
        <v>10</v>
      </c>
      <c r="B9" s="12">
        <f>[1]REGISTRO!N14</f>
        <v>0</v>
      </c>
      <c r="C9" s="10"/>
      <c r="D9" s="183" t="s">
        <v>11</v>
      </c>
      <c r="E9" s="183"/>
      <c r="F9" s="13">
        <f>[1]REGISTRO!J14</f>
        <v>0</v>
      </c>
      <c r="G9" s="184" t="s">
        <v>12</v>
      </c>
      <c r="H9" s="184"/>
      <c r="I9" s="14">
        <f>[1]REGISTRO!AV14</f>
        <v>0</v>
      </c>
      <c r="J9" s="185" t="s">
        <v>13</v>
      </c>
      <c r="K9" s="185"/>
      <c r="L9" s="185"/>
      <c r="M9" s="15">
        <f>[1]REGISTRO!AZ14</f>
        <v>0</v>
      </c>
      <c r="N9" s="16" t="s">
        <v>14</v>
      </c>
      <c r="O9" s="186">
        <f>[1]REGISTRO!AF14</f>
        <v>0</v>
      </c>
      <c r="P9" s="186"/>
    </row>
    <row r="10" spans="1:16" ht="20.399999999999999" customHeight="1">
      <c r="A10" s="187" t="s">
        <v>15</v>
      </c>
      <c r="B10" s="187"/>
      <c r="C10" s="187"/>
      <c r="D10" s="188">
        <f>[1]REGISTRO!H14</f>
        <v>0</v>
      </c>
      <c r="E10" s="188"/>
      <c r="F10" s="188"/>
      <c r="G10" s="188"/>
      <c r="H10" s="187" t="s">
        <v>16</v>
      </c>
      <c r="I10" s="187"/>
      <c r="J10" s="195">
        <f>[1]REGISTRO!I14</f>
        <v>0</v>
      </c>
      <c r="K10" s="195"/>
      <c r="L10" s="17" t="s">
        <v>17</v>
      </c>
      <c r="M10" s="18">
        <f>[1]REGISTRO!BB14</f>
        <v>0</v>
      </c>
      <c r="N10" s="16" t="s">
        <v>18</v>
      </c>
      <c r="O10" s="163">
        <f>[1]REGISTRO!AJ14</f>
        <v>0</v>
      </c>
      <c r="P10" s="163"/>
    </row>
    <row r="11" spans="1:16" ht="15" thickBot="1">
      <c r="A11" s="169" t="s">
        <v>19</v>
      </c>
      <c r="B11" s="169"/>
      <c r="C11" s="169"/>
      <c r="D11" s="169"/>
      <c r="E11" s="169"/>
      <c r="F11" s="169"/>
      <c r="G11" s="169"/>
      <c r="H11" s="169"/>
      <c r="I11" s="169"/>
      <c r="J11" s="169"/>
      <c r="K11" s="169"/>
      <c r="L11" s="169"/>
      <c r="M11" s="169"/>
      <c r="N11" s="169"/>
      <c r="O11" s="169"/>
      <c r="P11" s="169"/>
    </row>
    <row r="12" spans="1:16" ht="15" thickBot="1">
      <c r="A12" s="170" t="s">
        <v>20</v>
      </c>
      <c r="B12" s="172" t="s">
        <v>21</v>
      </c>
      <c r="C12" s="174" t="s">
        <v>22</v>
      </c>
      <c r="D12" s="176" t="s">
        <v>23</v>
      </c>
      <c r="E12" s="177"/>
      <c r="F12" s="176" t="s">
        <v>24</v>
      </c>
      <c r="G12" s="178"/>
      <c r="H12" s="178"/>
      <c r="I12" s="178"/>
      <c r="J12" s="177"/>
      <c r="K12" s="176" t="s">
        <v>25</v>
      </c>
      <c r="L12" s="178"/>
      <c r="M12" s="178"/>
      <c r="N12" s="177"/>
      <c r="O12" s="179" t="s">
        <v>26</v>
      </c>
      <c r="P12" s="180"/>
    </row>
    <row r="13" spans="1:16" ht="15" thickBot="1">
      <c r="A13" s="171"/>
      <c r="B13" s="173"/>
      <c r="C13" s="175"/>
      <c r="D13" s="19" t="s">
        <v>27</v>
      </c>
      <c r="E13" s="20" t="s">
        <v>20</v>
      </c>
      <c r="F13" s="19" t="s">
        <v>28</v>
      </c>
      <c r="G13" s="21" t="s">
        <v>29</v>
      </c>
      <c r="H13" s="21" t="s">
        <v>30</v>
      </c>
      <c r="I13" s="22" t="s">
        <v>31</v>
      </c>
      <c r="J13" s="20" t="s">
        <v>32</v>
      </c>
      <c r="K13" s="19" t="s">
        <v>33</v>
      </c>
      <c r="L13" s="22" t="s">
        <v>34</v>
      </c>
      <c r="M13" s="22" t="s">
        <v>35</v>
      </c>
      <c r="N13" s="20" t="s">
        <v>36</v>
      </c>
      <c r="O13" s="181"/>
      <c r="P13" s="182"/>
    </row>
    <row r="14" spans="1:16" ht="14.4" customHeight="1">
      <c r="A14" s="23">
        <f>[1]REGISTRO!R14</f>
        <v>0</v>
      </c>
      <c r="B14" s="23">
        <f>[1]REGISTRO!S14</f>
        <v>0</v>
      </c>
      <c r="C14" s="23">
        <f>[1]REGISTRO!T14</f>
        <v>0</v>
      </c>
      <c r="D14" s="24">
        <f>[1]REGISTRO!X14</f>
        <v>0</v>
      </c>
      <c r="E14" s="25">
        <f>[1]REGISTRO!Y14</f>
        <v>0</v>
      </c>
      <c r="F14" s="26">
        <f>[1]REGISTRO!AD14</f>
        <v>0</v>
      </c>
      <c r="G14" s="27">
        <f>[1]REGISTRO!AA14</f>
        <v>0</v>
      </c>
      <c r="H14" s="28">
        <f>[1]REGISTRO!Z14</f>
        <v>0</v>
      </c>
      <c r="I14" s="29">
        <f>[1]REGISTRO!AH14</f>
        <v>0</v>
      </c>
      <c r="J14" s="30">
        <f>[1]REGISTRO!U14</f>
        <v>0</v>
      </c>
      <c r="K14" s="31">
        <f>[1]REGISTRO!AL14</f>
        <v>0</v>
      </c>
      <c r="L14" s="32">
        <f>[1]REGISTRO!AN14</f>
        <v>0</v>
      </c>
      <c r="M14" s="32">
        <f>[1]REGISTRO!AP14</f>
        <v>0</v>
      </c>
      <c r="N14" s="33">
        <f>[1]REGISTRO!AR14</f>
        <v>0</v>
      </c>
      <c r="O14" s="203">
        <f>[1]REGISTRO!BC14</f>
        <v>0</v>
      </c>
      <c r="P14" s="204"/>
    </row>
    <row r="15" spans="1:16" ht="15" thickBot="1">
      <c r="A15" s="34"/>
      <c r="B15" s="35"/>
      <c r="C15" s="36"/>
      <c r="D15" s="37"/>
      <c r="E15" s="38"/>
      <c r="F15" s="39">
        <f>[1]REGISTRO!AG14</f>
        <v>0</v>
      </c>
      <c r="G15" s="40">
        <f>[1]REGISTRO!AB14</f>
        <v>0</v>
      </c>
      <c r="H15" s="41"/>
      <c r="I15" s="42">
        <f>[1]REGISTRO!AK14</f>
        <v>0</v>
      </c>
      <c r="J15" s="43">
        <f>[1]REGISTRO!W14</f>
        <v>0</v>
      </c>
      <c r="K15" s="44">
        <f>[1]REGISTRO!AM14</f>
        <v>0</v>
      </c>
      <c r="L15" s="45">
        <f>[1]REGISTRO!AO14</f>
        <v>0</v>
      </c>
      <c r="M15" s="46">
        <f>[1]REGISTRO!AQ14</f>
        <v>0</v>
      </c>
      <c r="N15" s="47">
        <f>[1]REGISTRO!AS14</f>
        <v>0</v>
      </c>
      <c r="O15" s="205"/>
      <c r="P15" s="206"/>
    </row>
    <row r="16" spans="1:16" ht="15" thickBot="1">
      <c r="A16" s="48" t="s">
        <v>37</v>
      </c>
      <c r="B16" s="49">
        <f>[1]REGISTRO!Q14</f>
        <v>0</v>
      </c>
      <c r="C16" s="48" t="s">
        <v>38</v>
      </c>
      <c r="D16" s="50"/>
      <c r="E16" s="51" t="s">
        <v>39</v>
      </c>
      <c r="F16" s="52">
        <f>[1]REGISTRO!AF14</f>
        <v>0</v>
      </c>
      <c r="G16" s="53"/>
      <c r="H16" s="54"/>
      <c r="I16" s="52">
        <f>[1]REGISTRO!AJ14</f>
        <v>0</v>
      </c>
      <c r="J16" s="10"/>
      <c r="K16" s="10"/>
      <c r="L16" s="1"/>
      <c r="M16" s="55" t="s">
        <v>40</v>
      </c>
      <c r="N16" s="56" t="e">
        <f>[1]REGISTRO!CJ14</f>
        <v>#DIV/0!</v>
      </c>
      <c r="O16" s="205"/>
      <c r="P16" s="206"/>
    </row>
    <row r="17" spans="1:16">
      <c r="A17" s="55" t="s">
        <v>41</v>
      </c>
      <c r="B17" s="10"/>
      <c r="C17" s="209">
        <f>[1]REGISTRO!AT14</f>
        <v>0</v>
      </c>
      <c r="D17" s="209"/>
      <c r="E17" s="5" t="s">
        <v>42</v>
      </c>
      <c r="F17" s="3"/>
      <c r="G17" s="58" t="s">
        <v>43</v>
      </c>
      <c r="H17" s="59">
        <f>(K17*[1]REGISTRO!R14)/140</f>
        <v>0</v>
      </c>
      <c r="I17" s="1"/>
      <c r="J17" s="58" t="s">
        <v>44</v>
      </c>
      <c r="K17" s="60">
        <f>[1]REGISTRO!AX14</f>
        <v>0</v>
      </c>
      <c r="L17" s="10" t="s">
        <v>45</v>
      </c>
      <c r="M17" s="1"/>
      <c r="N17" s="1"/>
      <c r="O17" s="205"/>
      <c r="P17" s="206"/>
    </row>
    <row r="18" spans="1:16">
      <c r="A18" s="1"/>
      <c r="B18" s="1"/>
      <c r="C18" s="10"/>
      <c r="D18" s="10"/>
      <c r="E18" s="1"/>
      <c r="F18" s="1"/>
      <c r="G18" s="1"/>
      <c r="H18" s="1"/>
      <c r="I18" s="1"/>
      <c r="J18" s="1"/>
      <c r="K18" s="1"/>
      <c r="L18" s="1"/>
      <c r="M18" s="1"/>
      <c r="N18" s="1"/>
      <c r="O18" s="205"/>
      <c r="P18" s="206"/>
    </row>
    <row r="19" spans="1:16" ht="15" thickBot="1">
      <c r="A19" s="61" t="s">
        <v>46</v>
      </c>
      <c r="B19" s="10"/>
      <c r="C19" s="209">
        <f>[1]REGISTRO!AU14</f>
        <v>0</v>
      </c>
      <c r="D19" s="209"/>
      <c r="E19" s="5" t="s">
        <v>42</v>
      </c>
      <c r="F19" s="55" t="s">
        <v>47</v>
      </c>
      <c r="G19" s="62"/>
      <c r="H19" s="63">
        <f>[1]REGISTRO!AC14</f>
        <v>0</v>
      </c>
      <c r="I19" s="1"/>
      <c r="J19" s="8" t="s">
        <v>48</v>
      </c>
      <c r="K19" s="64">
        <f>+K17*M19/2</f>
        <v>0</v>
      </c>
      <c r="L19" s="8" t="s">
        <v>49</v>
      </c>
      <c r="M19" s="63">
        <f>[1]REGISTRO!AW14</f>
        <v>0</v>
      </c>
      <c r="N19" s="1"/>
      <c r="O19" s="207"/>
      <c r="P19" s="208"/>
    </row>
    <row r="20" spans="1:16">
      <c r="A20" s="61"/>
      <c r="B20" s="10"/>
      <c r="C20" s="65"/>
      <c r="D20" s="65"/>
      <c r="E20" s="5"/>
      <c r="F20" s="55"/>
      <c r="G20" s="62"/>
      <c r="H20" s="66"/>
      <c r="I20" s="1"/>
      <c r="J20" s="8"/>
      <c r="K20" s="3"/>
      <c r="L20" s="8"/>
      <c r="M20" s="67"/>
      <c r="N20" s="1"/>
      <c r="O20" s="68"/>
      <c r="P20" s="68"/>
    </row>
    <row r="21" spans="1:16">
      <c r="A21" s="61" t="s">
        <v>50</v>
      </c>
      <c r="B21" s="10"/>
      <c r="C21" s="57"/>
      <c r="D21" s="210" t="s">
        <v>51</v>
      </c>
      <c r="E21" s="210"/>
      <c r="F21" s="210"/>
      <c r="G21" s="69"/>
      <c r="H21" s="210" t="s">
        <v>52</v>
      </c>
      <c r="I21" s="210"/>
      <c r="J21" s="210"/>
      <c r="K21" s="70"/>
      <c r="L21" s="210" t="s">
        <v>53</v>
      </c>
      <c r="M21" s="210"/>
      <c r="N21" s="210"/>
      <c r="O21" s="210"/>
      <c r="P21" s="71"/>
    </row>
    <row r="22" spans="1:16" ht="18">
      <c r="A22" s="72"/>
      <c r="B22" s="10"/>
      <c r="C22" s="10"/>
      <c r="D22" s="10"/>
      <c r="E22" s="73"/>
      <c r="F22" s="10"/>
      <c r="G22" s="10"/>
      <c r="H22" s="55"/>
      <c r="I22" s="10"/>
      <c r="J22" s="74"/>
      <c r="K22" s="10"/>
      <c r="L22" s="7"/>
      <c r="M22" s="1"/>
      <c r="N22" s="75"/>
      <c r="O22" s="75"/>
      <c r="P22" s="75"/>
    </row>
    <row r="23" spans="1:16">
      <c r="A23" s="61" t="s">
        <v>54</v>
      </c>
      <c r="B23" s="10"/>
      <c r="C23" s="65"/>
      <c r="D23" s="61"/>
      <c r="E23" s="76"/>
      <c r="F23" s="1"/>
      <c r="G23" s="61" t="s">
        <v>55</v>
      </c>
      <c r="H23" s="61"/>
      <c r="I23" s="61"/>
      <c r="J23" s="1"/>
      <c r="K23" s="70"/>
      <c r="L23" s="1"/>
      <c r="M23" s="61" t="s">
        <v>56</v>
      </c>
      <c r="N23" s="10"/>
      <c r="O23" s="10"/>
      <c r="P23" s="71"/>
    </row>
    <row r="24" spans="1:16" ht="18">
      <c r="A24" s="72"/>
      <c r="B24" s="10"/>
      <c r="C24" s="10"/>
      <c r="D24" s="10"/>
      <c r="E24" s="73"/>
      <c r="F24" s="10"/>
      <c r="G24" s="10"/>
      <c r="H24" s="55"/>
      <c r="I24" s="10"/>
      <c r="J24" s="74"/>
      <c r="K24" s="10"/>
      <c r="L24" s="7"/>
      <c r="M24" s="1"/>
      <c r="N24" s="75"/>
      <c r="O24" s="75"/>
      <c r="P24" s="75"/>
    </row>
    <row r="25" spans="1:16" ht="18">
      <c r="A25" s="77"/>
      <c r="B25" s="78"/>
      <c r="C25" s="10"/>
      <c r="D25" s="10"/>
      <c r="E25" s="73"/>
      <c r="F25" s="78"/>
      <c r="G25" s="78"/>
      <c r="H25" s="79"/>
      <c r="I25" s="10"/>
      <c r="J25" s="72" t="s">
        <v>57</v>
      </c>
      <c r="K25" s="10"/>
      <c r="L25" s="7"/>
      <c r="M25" s="75"/>
      <c r="N25" s="75"/>
      <c r="O25" s="75"/>
      <c r="P25" s="75"/>
    </row>
    <row r="26" spans="1:16" ht="14.4" customHeight="1">
      <c r="A26" s="80" t="s">
        <v>58</v>
      </c>
      <c r="B26" s="1"/>
      <c r="C26" s="80"/>
      <c r="D26" s="72"/>
      <c r="E26" s="73"/>
      <c r="F26" s="72" t="s">
        <v>59</v>
      </c>
      <c r="G26" s="1"/>
      <c r="H26" s="1"/>
      <c r="I26" s="72"/>
      <c r="J26" s="72" t="s">
        <v>60</v>
      </c>
      <c r="K26" s="10"/>
      <c r="L26" s="7"/>
      <c r="M26" s="196">
        <f>[1]REGISTRO!K14</f>
        <v>0</v>
      </c>
      <c r="N26" s="196"/>
      <c r="O26" s="196"/>
      <c r="P26" s="196"/>
    </row>
    <row r="27" spans="1:16" ht="14.4" customHeight="1">
      <c r="A27" s="1"/>
      <c r="B27" s="72"/>
      <c r="C27" s="72"/>
      <c r="D27" s="72"/>
      <c r="E27" s="73"/>
      <c r="F27" s="1"/>
      <c r="G27" s="1"/>
      <c r="H27" s="72"/>
      <c r="I27" s="72"/>
      <c r="J27" s="72"/>
      <c r="K27" s="10"/>
      <c r="L27" s="7"/>
      <c r="M27" s="196"/>
      <c r="N27" s="196"/>
      <c r="O27" s="196"/>
      <c r="P27" s="196"/>
    </row>
    <row r="28" spans="1:16" ht="14.4" customHeight="1">
      <c r="A28" s="72"/>
      <c r="B28" s="10"/>
      <c r="C28" s="10"/>
      <c r="D28" s="10"/>
      <c r="E28" s="81"/>
      <c r="F28" s="10"/>
      <c r="G28" s="10"/>
      <c r="H28" s="10"/>
      <c r="I28" s="1"/>
      <c r="J28" s="1"/>
      <c r="K28" s="1"/>
      <c r="L28" s="1"/>
      <c r="M28" s="197"/>
      <c r="N28" s="197"/>
      <c r="O28" s="197"/>
      <c r="P28" s="197"/>
    </row>
    <row r="29" spans="1:16">
      <c r="A29" s="70"/>
      <c r="B29" s="70"/>
      <c r="C29" s="70"/>
      <c r="D29" s="81"/>
      <c r="E29" s="70"/>
      <c r="F29" s="70"/>
      <c r="G29" s="70"/>
      <c r="H29" s="1"/>
      <c r="I29" s="78"/>
      <c r="J29" s="78"/>
      <c r="K29" s="70"/>
      <c r="L29" s="1"/>
      <c r="M29" s="198" t="s">
        <v>61</v>
      </c>
      <c r="N29" s="198"/>
      <c r="O29" s="198"/>
      <c r="P29" s="198"/>
    </row>
    <row r="30" spans="1:16">
      <c r="A30" s="72" t="s">
        <v>62</v>
      </c>
      <c r="B30" s="1"/>
      <c r="C30" s="81"/>
      <c r="D30" s="81"/>
      <c r="E30" s="72" t="s">
        <v>63</v>
      </c>
      <c r="F30" s="1"/>
      <c r="G30" s="82"/>
      <c r="H30" s="1"/>
      <c r="I30" s="72" t="s">
        <v>64</v>
      </c>
      <c r="J30" s="1"/>
      <c r="K30" s="82"/>
      <c r="L30" s="1"/>
      <c r="M30" s="83"/>
      <c r="N30" s="83"/>
      <c r="O30" s="83"/>
      <c r="P30" s="83"/>
    </row>
    <row r="31" spans="1:16">
      <c r="A31" s="81"/>
      <c r="B31" s="72"/>
      <c r="C31" s="81"/>
      <c r="D31" s="81"/>
      <c r="E31" s="81"/>
      <c r="F31" s="81"/>
      <c r="G31" s="82"/>
      <c r="H31" s="72"/>
      <c r="I31" s="72"/>
      <c r="J31" s="72"/>
      <c r="K31" s="82"/>
      <c r="L31" s="1"/>
      <c r="M31" s="83"/>
      <c r="N31" s="83"/>
      <c r="O31" s="83"/>
      <c r="P31" s="83"/>
    </row>
    <row r="32" spans="1:16">
      <c r="A32" s="84" t="s">
        <v>65</v>
      </c>
      <c r="B32" s="10"/>
      <c r="C32" s="10"/>
      <c r="D32" s="10"/>
      <c r="E32" s="81"/>
      <c r="F32" s="10"/>
      <c r="G32" s="10"/>
      <c r="H32" s="10"/>
      <c r="I32" s="1"/>
      <c r="J32" s="10"/>
      <c r="K32" s="10"/>
      <c r="L32" s="1"/>
      <c r="M32" s="1"/>
      <c r="N32" s="1"/>
      <c r="O32" s="83"/>
      <c r="P32" s="85" t="s">
        <v>66</v>
      </c>
    </row>
    <row r="33" spans="1:16">
      <c r="A33" s="86" t="s">
        <v>67</v>
      </c>
      <c r="B33" s="86"/>
      <c r="C33" s="86"/>
      <c r="D33" s="86"/>
      <c r="E33" s="86"/>
      <c r="F33" s="86"/>
      <c r="G33" s="86"/>
      <c r="H33" s="86"/>
      <c r="I33" s="86" t="s">
        <v>107</v>
      </c>
      <c r="J33" s="86"/>
      <c r="K33" s="87"/>
      <c r="L33" s="87"/>
      <c r="M33" s="87"/>
      <c r="N33" s="87"/>
      <c r="O33" s="87"/>
      <c r="P33" s="88" t="s">
        <v>68</v>
      </c>
    </row>
    <row r="34" spans="1:16">
      <c r="A34" s="89"/>
      <c r="B34" s="89"/>
      <c r="C34" s="89"/>
      <c r="D34" s="89"/>
      <c r="E34" s="89"/>
      <c r="F34" s="89"/>
      <c r="G34" s="89"/>
      <c r="H34" s="89"/>
      <c r="I34" s="89"/>
      <c r="J34" s="89"/>
      <c r="K34" s="89"/>
      <c r="L34" s="89"/>
      <c r="M34" s="89"/>
      <c r="N34" s="89"/>
      <c r="O34" s="89"/>
      <c r="P34" s="90"/>
    </row>
    <row r="35" spans="1:16">
      <c r="A35" s="89"/>
      <c r="B35" s="89"/>
      <c r="C35" s="89"/>
      <c r="D35" s="89"/>
      <c r="E35" s="89"/>
      <c r="F35" s="89"/>
      <c r="G35" s="89"/>
      <c r="H35" s="89"/>
      <c r="I35" s="89"/>
      <c r="J35" s="89"/>
      <c r="K35" s="89"/>
      <c r="L35" s="89"/>
      <c r="M35" s="89"/>
      <c r="N35" s="89"/>
      <c r="O35" s="89"/>
      <c r="P35" s="90"/>
    </row>
    <row r="36" spans="1:16" ht="24.6">
      <c r="A36" s="89"/>
      <c r="B36" s="91"/>
      <c r="C36" s="92"/>
      <c r="D36" s="92"/>
      <c r="E36" s="92"/>
      <c r="F36" s="92"/>
      <c r="G36" s="92"/>
      <c r="H36" s="93"/>
      <c r="I36" s="89"/>
      <c r="J36" s="89"/>
      <c r="K36" s="89"/>
      <c r="L36" s="89"/>
      <c r="M36" s="89"/>
      <c r="N36" s="89"/>
      <c r="O36" s="89"/>
      <c r="P36" s="90"/>
    </row>
    <row r="37" spans="1:16" ht="14.4" customHeight="1">
      <c r="A37" s="89"/>
      <c r="B37" s="199"/>
      <c r="C37" s="199"/>
      <c r="D37" s="200" t="s">
        <v>69</v>
      </c>
      <c r="E37" s="200"/>
      <c r="F37" s="200"/>
      <c r="G37" s="200"/>
      <c r="H37" s="200"/>
      <c r="I37" s="200"/>
      <c r="J37" s="200"/>
      <c r="K37" s="201" t="s">
        <v>1</v>
      </c>
      <c r="L37" s="201"/>
      <c r="M37" s="201"/>
      <c r="N37" s="202">
        <f>+P4</f>
        <v>0</v>
      </c>
      <c r="O37" s="202"/>
      <c r="P37" s="90"/>
    </row>
    <row r="38" spans="1:16" ht="14.4" customHeight="1">
      <c r="A38" s="89"/>
      <c r="B38" s="199"/>
      <c r="C38" s="199"/>
      <c r="D38" s="200"/>
      <c r="E38" s="200"/>
      <c r="F38" s="200"/>
      <c r="G38" s="200"/>
      <c r="H38" s="200"/>
      <c r="I38" s="200"/>
      <c r="J38" s="200"/>
      <c r="K38" s="201"/>
      <c r="L38" s="201"/>
      <c r="M38" s="201"/>
      <c r="N38" s="202"/>
      <c r="O38" s="202"/>
      <c r="P38" s="90"/>
    </row>
    <row r="39" spans="1:16" ht="15" customHeight="1" thickBot="1">
      <c r="A39" s="89"/>
      <c r="B39" s="199"/>
      <c r="C39" s="199"/>
      <c r="D39" s="200"/>
      <c r="E39" s="200"/>
      <c r="F39" s="200"/>
      <c r="G39" s="200"/>
      <c r="H39" s="200"/>
      <c r="I39" s="200"/>
      <c r="J39" s="200"/>
      <c r="K39" s="201"/>
      <c r="L39" s="201"/>
      <c r="M39" s="201"/>
      <c r="N39" s="202"/>
      <c r="O39" s="202"/>
      <c r="P39" s="90"/>
    </row>
    <row r="40" spans="1:16" ht="14.4" customHeight="1">
      <c r="A40" s="89"/>
      <c r="B40" s="223" t="s">
        <v>70</v>
      </c>
      <c r="C40" s="224"/>
      <c r="D40" s="224" t="s">
        <v>71</v>
      </c>
      <c r="E40" s="227" t="s">
        <v>72</v>
      </c>
      <c r="F40" s="227"/>
      <c r="G40" s="229" t="s">
        <v>73</v>
      </c>
      <c r="H40" s="229"/>
      <c r="I40" s="229" t="s">
        <v>74</v>
      </c>
      <c r="J40" s="231"/>
      <c r="K40" s="233" t="s">
        <v>75</v>
      </c>
      <c r="L40" s="234"/>
      <c r="M40" s="234"/>
      <c r="N40" s="235"/>
      <c r="O40" s="211" t="s">
        <v>76</v>
      </c>
      <c r="P40" s="90"/>
    </row>
    <row r="41" spans="1:16" ht="14.4" customHeight="1">
      <c r="A41" s="89"/>
      <c r="B41" s="225"/>
      <c r="C41" s="226"/>
      <c r="D41" s="226"/>
      <c r="E41" s="228"/>
      <c r="F41" s="228"/>
      <c r="G41" s="230"/>
      <c r="H41" s="230"/>
      <c r="I41" s="230"/>
      <c r="J41" s="232"/>
      <c r="K41" s="236"/>
      <c r="L41" s="237"/>
      <c r="M41" s="237"/>
      <c r="N41" s="238"/>
      <c r="O41" s="212"/>
      <c r="P41" s="90"/>
    </row>
    <row r="42" spans="1:16" ht="14.4" customHeight="1">
      <c r="A42" s="89"/>
      <c r="B42" s="225"/>
      <c r="C42" s="226"/>
      <c r="D42" s="226"/>
      <c r="E42" s="228"/>
      <c r="F42" s="228"/>
      <c r="G42" s="230"/>
      <c r="H42" s="230"/>
      <c r="I42" s="230"/>
      <c r="J42" s="232"/>
      <c r="K42" s="239"/>
      <c r="L42" s="240"/>
      <c r="M42" s="240"/>
      <c r="N42" s="241"/>
      <c r="O42" s="213"/>
      <c r="P42" s="90"/>
    </row>
    <row r="43" spans="1:16">
      <c r="A43" s="89"/>
      <c r="B43" s="214"/>
      <c r="C43" s="215"/>
      <c r="D43" s="216"/>
      <c r="E43" s="216"/>
      <c r="F43" s="216"/>
      <c r="G43" s="217"/>
      <c r="H43" s="217"/>
      <c r="I43" s="218"/>
      <c r="J43" s="219"/>
      <c r="K43" s="220"/>
      <c r="L43" s="221"/>
      <c r="M43" s="221"/>
      <c r="N43" s="222"/>
      <c r="O43" s="94"/>
      <c r="P43" s="90"/>
    </row>
    <row r="44" spans="1:16">
      <c r="A44" s="89"/>
      <c r="B44" s="214"/>
      <c r="C44" s="215"/>
      <c r="D44" s="216"/>
      <c r="E44" s="216"/>
      <c r="F44" s="216"/>
      <c r="G44" s="217"/>
      <c r="H44" s="217"/>
      <c r="I44" s="218"/>
      <c r="J44" s="219"/>
      <c r="K44" s="220"/>
      <c r="L44" s="221"/>
      <c r="M44" s="221"/>
      <c r="N44" s="222"/>
      <c r="O44" s="94"/>
      <c r="P44" s="90"/>
    </row>
    <row r="45" spans="1:16">
      <c r="A45" s="89"/>
      <c r="B45" s="214"/>
      <c r="C45" s="215"/>
      <c r="D45" s="216"/>
      <c r="E45" s="216"/>
      <c r="F45" s="216"/>
      <c r="G45" s="217"/>
      <c r="H45" s="217"/>
      <c r="I45" s="218"/>
      <c r="J45" s="219"/>
      <c r="K45" s="220"/>
      <c r="L45" s="221"/>
      <c r="M45" s="221"/>
      <c r="N45" s="222"/>
      <c r="O45" s="94"/>
      <c r="P45" s="90"/>
    </row>
    <row r="46" spans="1:16">
      <c r="A46" s="89"/>
      <c r="B46" s="95"/>
      <c r="C46" s="91"/>
      <c r="D46" s="91"/>
      <c r="E46" s="199" t="s">
        <v>77</v>
      </c>
      <c r="F46" s="199"/>
      <c r="G46" s="199" t="s">
        <v>77</v>
      </c>
      <c r="H46" s="199"/>
      <c r="I46" s="199" t="s">
        <v>77</v>
      </c>
      <c r="J46" s="247"/>
      <c r="K46" s="220"/>
      <c r="L46" s="221"/>
      <c r="M46" s="221"/>
      <c r="N46" s="222"/>
      <c r="O46" s="94"/>
      <c r="P46" s="90"/>
    </row>
    <row r="47" spans="1:16" ht="15" customHeight="1" thickBot="1">
      <c r="A47" s="89"/>
      <c r="B47" s="248" t="s">
        <v>78</v>
      </c>
      <c r="C47" s="249"/>
      <c r="D47" s="249"/>
      <c r="E47" s="249"/>
      <c r="F47" s="249"/>
      <c r="G47" s="249"/>
      <c r="H47" s="249"/>
      <c r="I47" s="249"/>
      <c r="J47" s="250"/>
      <c r="K47" s="253"/>
      <c r="L47" s="254"/>
      <c r="M47" s="254"/>
      <c r="N47" s="255"/>
      <c r="O47" s="96"/>
      <c r="P47" s="90"/>
    </row>
    <row r="48" spans="1:16" ht="15" customHeight="1" thickBot="1">
      <c r="A48" s="89"/>
      <c r="B48" s="251"/>
      <c r="C48" s="252"/>
      <c r="D48" s="252"/>
      <c r="E48" s="252"/>
      <c r="F48" s="252"/>
      <c r="G48" s="252"/>
      <c r="H48" s="252"/>
      <c r="I48" s="252"/>
      <c r="J48" s="252"/>
      <c r="K48" s="256" t="s">
        <v>79</v>
      </c>
      <c r="L48" s="257"/>
      <c r="M48" s="257"/>
      <c r="N48" s="258"/>
      <c r="O48" s="242" t="s">
        <v>80</v>
      </c>
      <c r="P48" s="90"/>
    </row>
    <row r="49" spans="1:16" ht="15" thickBot="1">
      <c r="A49" s="89"/>
      <c r="B49" s="91"/>
      <c r="C49" s="91"/>
      <c r="D49" s="91"/>
      <c r="E49" s="91"/>
      <c r="F49" s="91"/>
      <c r="G49" s="91"/>
      <c r="H49" s="91"/>
      <c r="I49" s="89"/>
      <c r="J49" s="89"/>
      <c r="K49" s="259"/>
      <c r="L49" s="260"/>
      <c r="M49" s="260"/>
      <c r="N49" s="261"/>
      <c r="O49" s="243"/>
      <c r="P49" s="90"/>
    </row>
    <row r="50" spans="1:16">
      <c r="A50" s="89"/>
      <c r="B50" s="91"/>
      <c r="C50" s="91"/>
      <c r="D50" s="91"/>
      <c r="E50" s="91"/>
      <c r="F50" s="91"/>
      <c r="G50" s="91"/>
      <c r="H50" s="91"/>
      <c r="I50" s="89"/>
      <c r="J50" s="89"/>
      <c r="K50" s="244"/>
      <c r="L50" s="245"/>
      <c r="M50" s="245"/>
      <c r="N50" s="246"/>
      <c r="O50" s="97"/>
      <c r="P50" s="90"/>
    </row>
    <row r="51" spans="1:16">
      <c r="A51" s="89"/>
      <c r="B51" s="91"/>
      <c r="C51" s="91"/>
      <c r="D51" s="91"/>
      <c r="E51" s="91"/>
      <c r="F51" s="91"/>
      <c r="G51" s="91"/>
      <c r="H51" s="91"/>
      <c r="I51" s="89"/>
      <c r="J51" s="89"/>
      <c r="K51" s="220"/>
      <c r="L51" s="221"/>
      <c r="M51" s="221"/>
      <c r="N51" s="222"/>
      <c r="O51" s="94"/>
      <c r="P51" s="90"/>
    </row>
    <row r="52" spans="1:16" ht="15.6">
      <c r="A52" s="89"/>
      <c r="B52" s="91"/>
      <c r="C52" s="91"/>
      <c r="D52" s="91"/>
      <c r="E52" s="98"/>
      <c r="F52" s="91"/>
      <c r="G52" s="98"/>
      <c r="H52" s="91"/>
      <c r="I52" s="89"/>
      <c r="J52" s="158" t="s">
        <v>106</v>
      </c>
      <c r="K52" s="220"/>
      <c r="L52" s="221"/>
      <c r="M52" s="221"/>
      <c r="N52" s="222"/>
      <c r="O52" s="94"/>
      <c r="P52" s="90"/>
    </row>
    <row r="53" spans="1:16">
      <c r="A53" s="89"/>
      <c r="B53" s="156"/>
      <c r="C53" s="156"/>
      <c r="D53" s="156"/>
      <c r="E53" s="156"/>
      <c r="F53" s="156"/>
      <c r="G53" s="156"/>
      <c r="H53" s="156"/>
      <c r="I53" s="157"/>
      <c r="K53" s="220"/>
      <c r="L53" s="221"/>
      <c r="M53" s="221"/>
      <c r="N53" s="222"/>
      <c r="O53" s="94"/>
      <c r="P53" s="90"/>
    </row>
    <row r="54" spans="1:16">
      <c r="A54" s="89"/>
      <c r="B54" s="91"/>
      <c r="C54" s="91"/>
      <c r="D54" s="91"/>
      <c r="E54" s="91"/>
      <c r="F54" s="91"/>
      <c r="G54" s="91"/>
      <c r="H54" s="91"/>
      <c r="I54" s="89"/>
      <c r="J54" s="89"/>
      <c r="K54" s="220"/>
      <c r="L54" s="221"/>
      <c r="M54" s="221"/>
      <c r="N54" s="222"/>
      <c r="O54" s="94"/>
      <c r="P54" s="90"/>
    </row>
    <row r="55" spans="1:16">
      <c r="A55" s="89"/>
      <c r="B55" s="91"/>
      <c r="C55" s="91"/>
      <c r="D55" s="91"/>
      <c r="E55" s="91"/>
      <c r="F55" s="91"/>
      <c r="G55" s="91"/>
      <c r="H55" s="91"/>
      <c r="I55" s="89"/>
      <c r="J55" s="89"/>
      <c r="K55" s="220"/>
      <c r="L55" s="221"/>
      <c r="M55" s="221"/>
      <c r="N55" s="222"/>
      <c r="O55" s="94"/>
      <c r="P55" s="90"/>
    </row>
    <row r="56" spans="1:16" ht="16.2">
      <c r="A56" s="89"/>
      <c r="B56" s="1"/>
      <c r="C56" s="99" t="s">
        <v>81</v>
      </c>
      <c r="D56" s="1"/>
      <c r="E56" s="1"/>
      <c r="F56" s="1"/>
      <c r="G56" s="100" t="s">
        <v>82</v>
      </c>
      <c r="H56" s="1"/>
      <c r="I56" s="1"/>
      <c r="J56" s="1"/>
      <c r="K56" s="220"/>
      <c r="L56" s="221"/>
      <c r="M56" s="221"/>
      <c r="N56" s="222"/>
      <c r="O56" s="94"/>
      <c r="P56" s="90"/>
    </row>
    <row r="57" spans="1:16" ht="15" thickBot="1">
      <c r="A57" s="89"/>
      <c r="B57" s="89"/>
      <c r="C57" s="1"/>
      <c r="D57" s="89"/>
      <c r="E57" s="89"/>
      <c r="F57" s="89"/>
      <c r="G57" s="89"/>
      <c r="H57" s="89"/>
      <c r="I57" s="101" t="s">
        <v>83</v>
      </c>
      <c r="J57" s="101" t="s">
        <v>84</v>
      </c>
      <c r="K57" s="253"/>
      <c r="L57" s="254"/>
      <c r="M57" s="254"/>
      <c r="N57" s="255"/>
      <c r="O57" s="102"/>
      <c r="P57" s="90"/>
    </row>
    <row r="58" spans="1:16" ht="15" thickBot="1">
      <c r="A58" s="89"/>
      <c r="B58" s="89" t="s">
        <v>85</v>
      </c>
      <c r="C58" s="103"/>
      <c r="D58" s="103"/>
      <c r="E58" s="89"/>
      <c r="F58" s="89"/>
      <c r="G58" s="89"/>
      <c r="H58" s="89" t="s">
        <v>86</v>
      </c>
      <c r="I58" s="89"/>
      <c r="J58" s="89"/>
      <c r="K58" s="89"/>
      <c r="L58" s="89"/>
      <c r="M58" s="89"/>
      <c r="N58" s="89"/>
      <c r="O58" s="104"/>
      <c r="P58" s="90"/>
    </row>
    <row r="59" spans="1:16">
      <c r="A59" s="89"/>
      <c r="B59" s="89"/>
      <c r="C59" s="89"/>
      <c r="D59" s="89"/>
      <c r="E59" s="89"/>
      <c r="F59" s="89"/>
      <c r="G59" s="89"/>
      <c r="H59" s="89"/>
      <c r="I59" s="89"/>
      <c r="J59" s="89"/>
      <c r="K59" s="89"/>
      <c r="L59" s="89"/>
      <c r="M59" s="89"/>
      <c r="N59" s="89"/>
      <c r="O59" s="89"/>
      <c r="P59" s="90"/>
    </row>
    <row r="60" spans="1:16">
      <c r="A60" s="89"/>
      <c r="B60" s="91"/>
      <c r="C60" s="91"/>
      <c r="D60" s="91"/>
      <c r="E60" s="199"/>
      <c r="F60" s="199"/>
      <c r="G60" s="91"/>
      <c r="H60" s="91"/>
      <c r="I60" s="89"/>
      <c r="J60" s="89"/>
      <c r="K60" s="89"/>
      <c r="L60" s="89"/>
      <c r="M60" s="89"/>
      <c r="N60" s="89"/>
      <c r="O60" s="89"/>
      <c r="P60" s="85" t="s">
        <v>87</v>
      </c>
    </row>
    <row r="61" spans="1:16">
      <c r="A61" s="86" t="s">
        <v>67</v>
      </c>
      <c r="B61" s="86"/>
      <c r="C61" s="86"/>
      <c r="D61" s="86"/>
      <c r="E61" s="86"/>
      <c r="F61" s="86"/>
      <c r="G61" s="86"/>
      <c r="H61" s="86"/>
      <c r="I61" s="86" t="s">
        <v>107</v>
      </c>
      <c r="J61" s="86"/>
      <c r="K61" s="87"/>
      <c r="L61" s="87"/>
      <c r="M61" s="87"/>
      <c r="N61" s="87"/>
      <c r="O61" s="87"/>
      <c r="P61" s="88" t="s">
        <v>68</v>
      </c>
    </row>
    <row r="62" spans="1:16">
      <c r="A62" s="72"/>
      <c r="B62" s="55"/>
      <c r="C62" s="55"/>
      <c r="D62" s="55"/>
      <c r="E62" s="55"/>
      <c r="F62" s="55"/>
      <c r="G62" s="55"/>
      <c r="H62" s="55"/>
      <c r="I62" s="55"/>
      <c r="J62" s="55"/>
      <c r="K62" s="55"/>
      <c r="L62" s="55"/>
      <c r="M62" s="55"/>
      <c r="N62" s="55"/>
      <c r="O62" s="55"/>
      <c r="P62" s="1"/>
    </row>
    <row r="63" spans="1:16">
      <c r="A63" s="72"/>
      <c r="B63" s="55"/>
      <c r="C63" s="55"/>
      <c r="D63" s="55"/>
      <c r="E63" s="55"/>
      <c r="F63" s="55"/>
      <c r="G63" s="55"/>
      <c r="H63" s="55"/>
      <c r="I63" s="55"/>
      <c r="J63" s="55"/>
      <c r="K63" s="55"/>
      <c r="L63" s="55"/>
      <c r="M63" s="55"/>
      <c r="N63" s="55"/>
      <c r="O63" s="55"/>
      <c r="P63" s="1"/>
    </row>
    <row r="64" spans="1:16" ht="14.4" customHeight="1">
      <c r="A64" s="189" t="s">
        <v>0</v>
      </c>
      <c r="B64" s="189"/>
      <c r="C64" s="189"/>
      <c r="D64" s="189"/>
      <c r="E64" s="189"/>
      <c r="F64" s="189"/>
      <c r="G64" s="189"/>
      <c r="H64" s="189"/>
      <c r="I64" s="189"/>
      <c r="J64" s="189"/>
      <c r="K64" s="189"/>
      <c r="L64" s="189"/>
      <c r="M64" s="189"/>
      <c r="N64" s="189"/>
      <c r="O64" s="6" t="s">
        <v>1</v>
      </c>
      <c r="P64" s="267">
        <f>P4</f>
        <v>0</v>
      </c>
    </row>
    <row r="65" spans="1:16" ht="14.4" customHeight="1">
      <c r="A65" s="162"/>
      <c r="B65" s="162"/>
      <c r="C65" s="162"/>
      <c r="D65" s="269"/>
      <c r="E65" s="269"/>
      <c r="F65" s="164"/>
      <c r="G65" s="164"/>
      <c r="H65" s="164"/>
      <c r="I65" s="164"/>
      <c r="J65" s="270"/>
      <c r="K65" s="270"/>
      <c r="L65" s="270"/>
      <c r="M65" s="270"/>
      <c r="N65" s="270"/>
      <c r="O65" s="6"/>
      <c r="P65" s="268"/>
    </row>
    <row r="66" spans="1:16" ht="25.2">
      <c r="A66" s="162" t="s">
        <v>5</v>
      </c>
      <c r="B66" s="162"/>
      <c r="C66" s="162"/>
      <c r="D66" s="262" t="e">
        <f>D7</f>
        <v>#REF!</v>
      </c>
      <c r="E66" s="262"/>
      <c r="F66" s="8"/>
      <c r="G66" s="8"/>
      <c r="H66" s="8" t="s">
        <v>6</v>
      </c>
      <c r="I66" s="106">
        <f>I7</f>
        <v>0</v>
      </c>
      <c r="J66" s="164" t="s">
        <v>7</v>
      </c>
      <c r="K66" s="164"/>
      <c r="L66" s="263">
        <f>L7</f>
        <v>0</v>
      </c>
      <c r="M66" s="264"/>
      <c r="N66" s="264"/>
      <c r="O66" s="264"/>
      <c r="P66" s="264"/>
    </row>
    <row r="67" spans="1:16" ht="20.399999999999999" customHeight="1">
      <c r="A67" s="10" t="s">
        <v>8</v>
      </c>
      <c r="B67" s="10"/>
      <c r="C67" s="10"/>
      <c r="D67" s="265">
        <f>D8</f>
        <v>0</v>
      </c>
      <c r="E67" s="265"/>
      <c r="F67" s="108"/>
      <c r="G67" s="108"/>
      <c r="H67" s="8" t="s">
        <v>9</v>
      </c>
      <c r="I67" s="167">
        <f>I8</f>
        <v>0</v>
      </c>
      <c r="J67" s="167"/>
      <c r="K67" s="108"/>
      <c r="L67" s="168">
        <f>L8</f>
        <v>0</v>
      </c>
      <c r="M67" s="266"/>
      <c r="N67" s="266"/>
      <c r="O67" s="266"/>
      <c r="P67" s="266"/>
    </row>
    <row r="68" spans="1:16" ht="30" customHeight="1">
      <c r="A68" s="10" t="s">
        <v>88</v>
      </c>
      <c r="B68" s="109">
        <f>B9</f>
        <v>0</v>
      </c>
      <c r="C68" s="10"/>
      <c r="D68" s="271" t="s">
        <v>89</v>
      </c>
      <c r="E68" s="271"/>
      <c r="F68" s="110">
        <f>I9</f>
        <v>0</v>
      </c>
      <c r="G68" s="185" t="s">
        <v>15</v>
      </c>
      <c r="H68" s="272"/>
      <c r="I68" s="272"/>
      <c r="J68" s="188">
        <f>D10</f>
        <v>0</v>
      </c>
      <c r="K68" s="188"/>
      <c r="L68" s="188"/>
      <c r="M68" s="188"/>
      <c r="N68" s="107"/>
      <c r="O68" s="105" t="s">
        <v>16</v>
      </c>
      <c r="P68" s="107">
        <f>J10</f>
        <v>0</v>
      </c>
    </row>
    <row r="69" spans="1:16" ht="15" thickBot="1">
      <c r="A69" s="273" t="s">
        <v>19</v>
      </c>
      <c r="B69" s="273"/>
      <c r="C69" s="273"/>
      <c r="D69" s="273"/>
      <c r="E69" s="273"/>
      <c r="F69" s="273"/>
      <c r="G69" s="273"/>
      <c r="H69" s="273"/>
      <c r="I69" s="273"/>
      <c r="J69" s="273"/>
      <c r="K69" s="273"/>
      <c r="L69" s="273"/>
      <c r="M69" s="273"/>
      <c r="N69" s="273"/>
      <c r="O69" s="273"/>
      <c r="P69" s="273"/>
    </row>
    <row r="70" spans="1:16" ht="15" thickBot="1">
      <c r="A70" s="274" t="s">
        <v>20</v>
      </c>
      <c r="B70" s="276" t="s">
        <v>21</v>
      </c>
      <c r="C70" s="277" t="s">
        <v>23</v>
      </c>
      <c r="D70" s="278"/>
      <c r="E70" s="279" t="s">
        <v>20</v>
      </c>
      <c r="F70" s="281" t="s">
        <v>90</v>
      </c>
      <c r="G70" s="281" t="s">
        <v>91</v>
      </c>
      <c r="H70" s="287" t="s">
        <v>26</v>
      </c>
      <c r="I70" s="288"/>
      <c r="J70" s="288"/>
      <c r="K70" s="288"/>
      <c r="L70" s="288"/>
      <c r="M70" s="288"/>
      <c r="N70" s="288"/>
      <c r="O70" s="288"/>
      <c r="P70" s="289"/>
    </row>
    <row r="71" spans="1:16" ht="15" customHeight="1" thickBot="1">
      <c r="A71" s="275"/>
      <c r="B71" s="276"/>
      <c r="C71" s="290" t="s">
        <v>27</v>
      </c>
      <c r="D71" s="278"/>
      <c r="E71" s="280"/>
      <c r="F71" s="282"/>
      <c r="G71" s="280"/>
      <c r="H71" s="291">
        <f>O14</f>
        <v>0</v>
      </c>
      <c r="I71" s="292"/>
      <c r="J71" s="292"/>
      <c r="K71" s="292"/>
      <c r="L71" s="292"/>
      <c r="M71" s="292"/>
      <c r="N71" s="292"/>
      <c r="O71" s="292"/>
      <c r="P71" s="293"/>
    </row>
    <row r="72" spans="1:16" ht="20.399999999999999">
      <c r="A72" s="111">
        <f>A14</f>
        <v>0</v>
      </c>
      <c r="B72" s="112">
        <f>B14</f>
        <v>0</v>
      </c>
      <c r="C72" s="300">
        <f>D14</f>
        <v>0</v>
      </c>
      <c r="D72" s="301"/>
      <c r="E72" s="113">
        <f>E14</f>
        <v>0</v>
      </c>
      <c r="F72" s="114">
        <f>G14</f>
        <v>0</v>
      </c>
      <c r="G72" s="115">
        <f>+H14</f>
        <v>0</v>
      </c>
      <c r="H72" s="294"/>
      <c r="I72" s="295"/>
      <c r="J72" s="295"/>
      <c r="K72" s="295"/>
      <c r="L72" s="295"/>
      <c r="M72" s="295"/>
      <c r="N72" s="295"/>
      <c r="O72" s="295"/>
      <c r="P72" s="296"/>
    </row>
    <row r="73" spans="1:16" ht="15" customHeight="1" thickBot="1">
      <c r="A73" s="116">
        <f>A15</f>
        <v>0</v>
      </c>
      <c r="B73" s="117">
        <f>B15</f>
        <v>0</v>
      </c>
      <c r="C73" s="302">
        <f>D15</f>
        <v>0</v>
      </c>
      <c r="D73" s="303"/>
      <c r="E73" s="118">
        <f>E15</f>
        <v>0</v>
      </c>
      <c r="F73" s="119">
        <f>G15</f>
        <v>0</v>
      </c>
      <c r="G73" s="119">
        <f>H15</f>
        <v>0</v>
      </c>
      <c r="H73" s="297"/>
      <c r="I73" s="298"/>
      <c r="J73" s="298"/>
      <c r="K73" s="298"/>
      <c r="L73" s="298"/>
      <c r="M73" s="298"/>
      <c r="N73" s="298"/>
      <c r="O73" s="298"/>
      <c r="P73" s="299"/>
    </row>
    <row r="74" spans="1:16" ht="25.2">
      <c r="A74" s="10" t="s">
        <v>92</v>
      </c>
      <c r="B74" s="10"/>
      <c r="C74" s="10"/>
      <c r="D74" s="78"/>
      <c r="E74" s="78"/>
      <c r="F74" s="10" t="s">
        <v>93</v>
      </c>
      <c r="G74" s="10"/>
      <c r="H74" s="10"/>
      <c r="I74" s="10"/>
      <c r="J74" s="10"/>
      <c r="K74" s="10"/>
      <c r="L74" s="1"/>
      <c r="M74" s="1"/>
      <c r="N74" s="1"/>
      <c r="O74" s="120"/>
      <c r="P74" s="5"/>
    </row>
    <row r="75" spans="1:16" ht="25.2">
      <c r="A75" s="10"/>
      <c r="B75" s="10"/>
      <c r="C75" s="284">
        <f>F14</f>
        <v>0</v>
      </c>
      <c r="D75" s="284"/>
      <c r="E75" s="121"/>
      <c r="F75" s="10"/>
      <c r="G75" s="10"/>
      <c r="H75" s="10"/>
      <c r="I75" s="10"/>
      <c r="J75" s="10"/>
      <c r="K75" s="10"/>
      <c r="L75" s="1"/>
      <c r="M75" s="5"/>
      <c r="N75" s="1"/>
      <c r="O75" s="122"/>
      <c r="P75" s="123"/>
    </row>
    <row r="76" spans="1:16" ht="15" customHeight="1" thickBot="1">
      <c r="A76" s="5" t="s">
        <v>94</v>
      </c>
      <c r="B76" s="10"/>
      <c r="C76" s="284"/>
      <c r="D76" s="284"/>
      <c r="E76" s="73"/>
      <c r="F76" s="10"/>
      <c r="G76" s="124"/>
      <c r="H76" s="124"/>
      <c r="I76" s="1"/>
      <c r="J76" s="72" t="s">
        <v>41</v>
      </c>
      <c r="K76" s="5"/>
      <c r="L76" s="125">
        <f>C17</f>
        <v>0</v>
      </c>
      <c r="M76" s="5" t="s">
        <v>42</v>
      </c>
      <c r="N76" s="72" t="s">
        <v>47</v>
      </c>
      <c r="O76" s="72"/>
      <c r="P76" s="126">
        <f>+H19</f>
        <v>0</v>
      </c>
    </row>
    <row r="77" spans="1:16">
      <c r="A77" s="1"/>
      <c r="B77" s="10"/>
      <c r="C77" s="10"/>
      <c r="D77" s="10"/>
      <c r="E77" s="127" t="s">
        <v>95</v>
      </c>
      <c r="F77" s="48"/>
      <c r="G77" s="48"/>
      <c r="H77" s="48"/>
      <c r="I77" s="81"/>
      <c r="J77" s="1"/>
      <c r="K77" s="1"/>
      <c r="L77" s="1"/>
      <c r="M77" s="1"/>
      <c r="N77" s="1"/>
      <c r="O77" s="1"/>
      <c r="P77" s="1"/>
    </row>
    <row r="78" spans="1:16">
      <c r="A78" s="72"/>
      <c r="B78" s="10"/>
      <c r="C78" s="10"/>
      <c r="D78" s="10"/>
      <c r="E78" s="10"/>
      <c r="F78" s="10"/>
      <c r="G78" s="10"/>
      <c r="H78" s="10"/>
      <c r="I78" s="10"/>
      <c r="J78" s="10"/>
      <c r="K78" s="72" t="s">
        <v>46</v>
      </c>
      <c r="L78" s="1"/>
      <c r="M78" s="1"/>
      <c r="N78" s="1"/>
      <c r="O78" s="283">
        <f>C19</f>
        <v>0</v>
      </c>
      <c r="P78" s="283"/>
    </row>
    <row r="79" spans="1:16">
      <c r="A79" s="72" t="s">
        <v>96</v>
      </c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"/>
      <c r="M79" s="1"/>
      <c r="N79" s="1"/>
      <c r="O79" s="1"/>
      <c r="P79" s="1"/>
    </row>
    <row r="80" spans="1:16">
      <c r="A80" s="72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"/>
      <c r="M80" s="1"/>
      <c r="N80" s="1"/>
      <c r="O80" s="1"/>
      <c r="P80" s="85" t="s">
        <v>97</v>
      </c>
    </row>
    <row r="81" spans="1:16">
      <c r="A81" s="86" t="s">
        <v>67</v>
      </c>
      <c r="B81" s="86"/>
      <c r="C81" s="86"/>
      <c r="D81" s="86"/>
      <c r="E81" s="86"/>
      <c r="F81" s="86"/>
      <c r="G81" s="86"/>
      <c r="H81" s="86"/>
      <c r="I81" s="86" t="s">
        <v>107</v>
      </c>
      <c r="J81" s="86"/>
      <c r="K81" s="87"/>
      <c r="L81" s="87"/>
      <c r="M81" s="87"/>
      <c r="N81" s="87"/>
      <c r="O81" s="87"/>
      <c r="P81" s="88" t="s">
        <v>68</v>
      </c>
    </row>
    <row r="82" spans="1:16">
      <c r="A82" s="72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"/>
      <c r="M82" s="1"/>
      <c r="N82" s="1"/>
      <c r="O82" s="1"/>
      <c r="P82" s="1"/>
    </row>
    <row r="83" spans="1:16">
      <c r="A83" s="72"/>
      <c r="B83" s="55"/>
      <c r="C83" s="55"/>
      <c r="D83" s="55"/>
      <c r="E83" s="55"/>
      <c r="F83" s="55"/>
      <c r="G83" s="55"/>
      <c r="H83" s="55"/>
      <c r="I83" s="55"/>
      <c r="J83" s="55"/>
      <c r="K83" s="55"/>
      <c r="L83" s="55"/>
      <c r="M83" s="55"/>
      <c r="N83" s="55"/>
      <c r="O83" s="55"/>
      <c r="P83" s="1"/>
    </row>
    <row r="84" spans="1:16">
      <c r="A84" s="189" t="s">
        <v>98</v>
      </c>
      <c r="B84" s="189"/>
      <c r="C84" s="189"/>
      <c r="D84" s="189"/>
      <c r="E84" s="189"/>
      <c r="F84" s="189"/>
      <c r="G84" s="189"/>
      <c r="H84" s="189"/>
      <c r="I84" s="189"/>
      <c r="J84" s="189"/>
      <c r="K84" s="189"/>
      <c r="L84" s="189"/>
      <c r="M84" s="189"/>
      <c r="N84" s="189"/>
      <c r="O84" s="189"/>
      <c r="P84" s="189"/>
    </row>
    <row r="85" spans="1:16" ht="14.4" customHeight="1">
      <c r="A85" s="5"/>
      <c r="B85" s="284">
        <f>B9</f>
        <v>0</v>
      </c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6" t="s">
        <v>1</v>
      </c>
      <c r="P85" s="285">
        <f>P4</f>
        <v>0</v>
      </c>
    </row>
    <row r="86" spans="1:16" ht="14.4" customHeight="1">
      <c r="A86" s="10" t="s">
        <v>88</v>
      </c>
      <c r="B86" s="284"/>
      <c r="C86" s="10"/>
      <c r="D86" s="269"/>
      <c r="E86" s="269"/>
      <c r="F86" s="164"/>
      <c r="G86" s="164"/>
      <c r="H86" s="164"/>
      <c r="I86" s="164"/>
      <c r="J86" s="270"/>
      <c r="K86" s="270"/>
      <c r="L86" s="270"/>
      <c r="M86" s="270"/>
      <c r="N86" s="270"/>
      <c r="O86" s="6"/>
      <c r="P86" s="286"/>
    </row>
    <row r="87" spans="1:16" ht="32.4">
      <c r="A87" s="304" t="s">
        <v>5</v>
      </c>
      <c r="B87" s="304"/>
      <c r="C87" s="304"/>
      <c r="D87" s="305" t="e">
        <f>D7</f>
        <v>#REF!</v>
      </c>
      <c r="E87" s="305"/>
      <c r="F87" s="130"/>
      <c r="G87" s="130"/>
      <c r="H87" s="130" t="s">
        <v>6</v>
      </c>
      <c r="I87" s="129">
        <f>I7</f>
        <v>0</v>
      </c>
      <c r="J87" s="306" t="s">
        <v>7</v>
      </c>
      <c r="K87" s="306"/>
      <c r="L87" s="307">
        <f>L7</f>
        <v>0</v>
      </c>
      <c r="M87" s="307"/>
      <c r="N87" s="307"/>
      <c r="O87" s="307"/>
      <c r="P87" s="307"/>
    </row>
    <row r="88" spans="1:16" ht="30.6" thickBot="1">
      <c r="A88" s="131"/>
      <c r="B88" s="15"/>
      <c r="C88" s="15"/>
      <c r="D88" s="15"/>
      <c r="E88" s="15"/>
      <c r="F88" s="5"/>
      <c r="G88" s="5"/>
      <c r="H88" s="5"/>
      <c r="I88" s="131"/>
      <c r="J88" s="15"/>
      <c r="K88" s="132"/>
      <c r="L88" s="266">
        <f>+L67</f>
        <v>0</v>
      </c>
      <c r="M88" s="266"/>
      <c r="N88" s="266"/>
      <c r="O88" s="266"/>
      <c r="P88" s="266"/>
    </row>
    <row r="89" spans="1:16" ht="16.2" thickBot="1">
      <c r="A89" s="133" t="s">
        <v>20</v>
      </c>
      <c r="B89" s="161" t="s">
        <v>21</v>
      </c>
      <c r="C89" s="161"/>
      <c r="D89" s="134" t="s">
        <v>22</v>
      </c>
      <c r="E89" s="161" t="s">
        <v>99</v>
      </c>
      <c r="F89" s="161"/>
      <c r="G89" s="135" t="s">
        <v>29</v>
      </c>
      <c r="H89" s="135" t="s">
        <v>30</v>
      </c>
      <c r="I89" s="161" t="s">
        <v>100</v>
      </c>
      <c r="J89" s="161"/>
      <c r="K89" s="161" t="s">
        <v>101</v>
      </c>
      <c r="L89" s="161"/>
      <c r="M89" s="161" t="s">
        <v>28</v>
      </c>
      <c r="N89" s="161"/>
      <c r="O89" s="161" t="s">
        <v>31</v>
      </c>
      <c r="P89" s="161"/>
    </row>
    <row r="90" spans="1:16" ht="35.4" thickBot="1">
      <c r="A90" s="136">
        <f>A14</f>
        <v>0</v>
      </c>
      <c r="B90" s="311">
        <f>B14</f>
        <v>0</v>
      </c>
      <c r="C90" s="311"/>
      <c r="D90" s="136">
        <f>C14</f>
        <v>0</v>
      </c>
      <c r="E90" s="311">
        <f>J14</f>
        <v>0</v>
      </c>
      <c r="F90" s="311"/>
      <c r="G90" s="137">
        <f>G14</f>
        <v>0</v>
      </c>
      <c r="H90" s="138">
        <f>H14</f>
        <v>0</v>
      </c>
      <c r="I90" s="312">
        <f>D14</f>
        <v>0</v>
      </c>
      <c r="J90" s="313"/>
      <c r="K90" s="311">
        <f>E14</f>
        <v>0</v>
      </c>
      <c r="L90" s="311"/>
      <c r="M90" s="311">
        <f>F14</f>
        <v>0</v>
      </c>
      <c r="N90" s="311"/>
      <c r="O90" s="311">
        <f>I14</f>
        <v>0</v>
      </c>
      <c r="P90" s="311"/>
    </row>
    <row r="91" spans="1:16" ht="16.2" thickBot="1">
      <c r="A91" s="134">
        <f>A15</f>
        <v>0</v>
      </c>
      <c r="B91" s="161">
        <f>B15</f>
        <v>0</v>
      </c>
      <c r="C91" s="161"/>
      <c r="D91" s="134">
        <f>C15</f>
        <v>0</v>
      </c>
      <c r="E91" s="308">
        <f>J15</f>
        <v>0</v>
      </c>
      <c r="F91" s="309"/>
      <c r="G91" s="139">
        <f>G15</f>
        <v>0</v>
      </c>
      <c r="H91" s="140">
        <f>H15</f>
        <v>0</v>
      </c>
      <c r="I91" s="310">
        <f>D15</f>
        <v>0</v>
      </c>
      <c r="J91" s="161"/>
      <c r="K91" s="161">
        <f>E15</f>
        <v>0</v>
      </c>
      <c r="L91" s="161"/>
      <c r="M91" s="308">
        <f>F15</f>
        <v>0</v>
      </c>
      <c r="N91" s="308"/>
      <c r="O91" s="161">
        <f>I15</f>
        <v>0</v>
      </c>
      <c r="P91" s="161"/>
    </row>
    <row r="92" spans="1:16" ht="15.6">
      <c r="A92" s="134"/>
      <c r="B92" s="134"/>
      <c r="C92" s="134"/>
      <c r="D92" s="134"/>
      <c r="E92" s="134"/>
      <c r="F92" s="134"/>
      <c r="G92" s="134"/>
      <c r="H92" s="134"/>
      <c r="I92" s="134"/>
      <c r="J92" s="134"/>
      <c r="K92" s="133"/>
      <c r="L92" s="133"/>
      <c r="M92" s="134"/>
      <c r="N92" s="134"/>
      <c r="O92" s="134"/>
      <c r="P92" s="134"/>
    </row>
    <row r="93" spans="1:16" ht="18" customHeight="1">
      <c r="A93" s="161" t="s">
        <v>33</v>
      </c>
      <c r="B93" s="161"/>
      <c r="C93" s="161" t="s">
        <v>34</v>
      </c>
      <c r="D93" s="161"/>
      <c r="E93" s="161" t="s">
        <v>35</v>
      </c>
      <c r="F93" s="161"/>
      <c r="G93" s="161" t="s">
        <v>36</v>
      </c>
      <c r="H93" s="161"/>
      <c r="I93" s="133"/>
      <c r="J93" s="133"/>
      <c r="K93" s="318"/>
      <c r="L93" s="318"/>
      <c r="M93" s="311">
        <f>F16</f>
        <v>0</v>
      </c>
      <c r="N93" s="311"/>
      <c r="O93" s="311">
        <f>I16</f>
        <v>0</v>
      </c>
      <c r="P93" s="311"/>
    </row>
    <row r="94" spans="1:16" ht="32.4" customHeight="1">
      <c r="A94" s="160">
        <f>K14</f>
        <v>0</v>
      </c>
      <c r="B94" s="160"/>
      <c r="C94" s="160">
        <f>L14</f>
        <v>0</v>
      </c>
      <c r="D94" s="160"/>
      <c r="E94" s="160">
        <f>M14</f>
        <v>0</v>
      </c>
      <c r="F94" s="160"/>
      <c r="G94" s="160">
        <f>N14</f>
        <v>0</v>
      </c>
      <c r="H94" s="160"/>
      <c r="I94" s="141"/>
      <c r="J94" s="141"/>
      <c r="K94" s="318" t="s">
        <v>102</v>
      </c>
      <c r="L94" s="318"/>
      <c r="M94" s="311"/>
      <c r="N94" s="311"/>
      <c r="O94" s="311"/>
      <c r="P94" s="311"/>
    </row>
    <row r="95" spans="1:16" ht="34.799999999999997">
      <c r="A95" s="160"/>
      <c r="B95" s="160"/>
      <c r="C95" s="160"/>
      <c r="D95" s="160"/>
      <c r="E95" s="160"/>
      <c r="F95" s="160"/>
      <c r="G95" s="160"/>
      <c r="H95" s="160"/>
      <c r="I95" s="141"/>
      <c r="J95" s="141"/>
      <c r="K95" s="133"/>
      <c r="L95" s="133"/>
      <c r="M95" s="136"/>
      <c r="N95" s="136"/>
      <c r="O95" s="136"/>
      <c r="P95" s="136"/>
    </row>
    <row r="96" spans="1:16" ht="34.799999999999997">
      <c r="A96" s="315">
        <f>K15</f>
        <v>0</v>
      </c>
      <c r="B96" s="315"/>
      <c r="C96" s="315">
        <f>L15</f>
        <v>0</v>
      </c>
      <c r="D96" s="315"/>
      <c r="E96" s="315">
        <f>M15</f>
        <v>0</v>
      </c>
      <c r="F96" s="315"/>
      <c r="G96" s="316">
        <f>N15</f>
        <v>0</v>
      </c>
      <c r="H96" s="315"/>
      <c r="I96" s="141"/>
      <c r="J96" s="141"/>
      <c r="K96" s="133"/>
      <c r="L96" s="133"/>
      <c r="M96" s="136"/>
      <c r="N96" s="136"/>
      <c r="O96" s="136"/>
      <c r="P96" s="136"/>
    </row>
    <row r="97" spans="1:16" ht="28.2" customHeight="1">
      <c r="A97" s="317" t="s">
        <v>61</v>
      </c>
      <c r="B97" s="317"/>
      <c r="C97" s="317"/>
      <c r="D97" s="316">
        <f>M26</f>
        <v>0</v>
      </c>
      <c r="E97" s="316"/>
      <c r="F97" s="316"/>
      <c r="G97" s="75"/>
      <c r="H97" s="142" t="s">
        <v>41</v>
      </c>
      <c r="I97" s="143"/>
      <c r="J97" s="143"/>
      <c r="K97" s="143">
        <f>C17</f>
        <v>0</v>
      </c>
      <c r="L97" s="143" t="s">
        <v>42</v>
      </c>
      <c r="M97" s="143"/>
      <c r="N97" s="142" t="s">
        <v>47</v>
      </c>
      <c r="O97" s="144"/>
      <c r="P97" s="145">
        <f>+H19</f>
        <v>0</v>
      </c>
    </row>
    <row r="98" spans="1:16" ht="20.399999999999999">
      <c r="A98" s="5" t="s">
        <v>103</v>
      </c>
      <c r="B98" s="1"/>
      <c r="C98" s="1"/>
      <c r="D98" s="1"/>
      <c r="E98" s="1"/>
      <c r="F98" s="1"/>
      <c r="G98" s="5"/>
      <c r="H98" s="306" t="s">
        <v>46</v>
      </c>
      <c r="I98" s="306"/>
      <c r="J98" s="306"/>
      <c r="K98" s="306"/>
      <c r="L98" s="306"/>
      <c r="M98" s="306"/>
      <c r="N98" s="314">
        <f>C19</f>
        <v>0</v>
      </c>
      <c r="O98" s="314"/>
      <c r="P98" s="314"/>
    </row>
    <row r="99" spans="1:16" ht="14.4" customHeight="1">
      <c r="A99" s="159">
        <f>O14</f>
        <v>0</v>
      </c>
      <c r="B99" s="159"/>
      <c r="C99" s="159"/>
      <c r="D99" s="159"/>
      <c r="E99" s="159"/>
      <c r="F99" s="159"/>
      <c r="G99" s="159"/>
      <c r="H99" s="159"/>
      <c r="I99" s="159"/>
      <c r="J99" s="159"/>
      <c r="K99" s="159"/>
      <c r="L99" s="159"/>
      <c r="M99" s="159"/>
      <c r="N99" s="159"/>
      <c r="O99" s="159"/>
      <c r="P99" s="159"/>
    </row>
    <row r="100" spans="1:16" ht="14.4" customHeight="1">
      <c r="A100" s="159"/>
      <c r="B100" s="159"/>
      <c r="C100" s="159"/>
      <c r="D100" s="159"/>
      <c r="E100" s="159"/>
      <c r="F100" s="159"/>
      <c r="G100" s="159"/>
      <c r="H100" s="159"/>
      <c r="I100" s="159"/>
      <c r="J100" s="159"/>
      <c r="K100" s="159"/>
      <c r="L100" s="159"/>
      <c r="M100" s="159"/>
      <c r="N100" s="159"/>
      <c r="O100" s="159"/>
      <c r="P100" s="159"/>
    </row>
    <row r="101" spans="1:16" ht="20.399999999999999">
      <c r="A101" s="146"/>
      <c r="B101" s="146"/>
      <c r="C101" s="146"/>
      <c r="D101" s="146"/>
      <c r="E101" s="146"/>
      <c r="F101" s="146"/>
      <c r="G101" s="146"/>
      <c r="H101" s="146"/>
      <c r="I101" s="146"/>
      <c r="J101" s="146"/>
      <c r="K101" s="146"/>
      <c r="L101" s="146"/>
      <c r="M101" s="146"/>
      <c r="N101" s="146"/>
      <c r="O101" s="146"/>
      <c r="P101" s="146"/>
    </row>
    <row r="102" spans="1:16" ht="15.6">
      <c r="A102" s="128" t="s">
        <v>43</v>
      </c>
      <c r="B102" s="147"/>
      <c r="C102" s="148">
        <f>+H17</f>
        <v>0</v>
      </c>
      <c r="D102" s="149"/>
      <c r="E102" s="128" t="s">
        <v>44</v>
      </c>
      <c r="F102" s="150"/>
      <c r="G102" s="151"/>
      <c r="H102" s="148">
        <f>+K17</f>
        <v>0</v>
      </c>
      <c r="I102" s="133" t="s">
        <v>104</v>
      </c>
      <c r="J102" s="151"/>
      <c r="K102" s="147"/>
      <c r="L102" s="128" t="s">
        <v>48</v>
      </c>
      <c r="M102" s="128"/>
      <c r="N102" s="152">
        <f>+K19</f>
        <v>0</v>
      </c>
      <c r="O102" s="147"/>
      <c r="P102" s="147"/>
    </row>
    <row r="103" spans="1:16" ht="20.399999999999999">
      <c r="A103" s="146"/>
      <c r="B103" s="146"/>
      <c r="C103" s="146"/>
      <c r="D103" s="146"/>
      <c r="E103" s="146"/>
      <c r="F103" s="146"/>
      <c r="G103" s="146"/>
      <c r="H103" s="146"/>
      <c r="I103" s="146"/>
      <c r="J103" s="146"/>
      <c r="K103" s="146"/>
      <c r="L103" s="146"/>
      <c r="M103" s="146"/>
      <c r="N103" s="146"/>
      <c r="O103" s="146"/>
      <c r="P103" s="146"/>
    </row>
    <row r="104" spans="1:16">
      <c r="A104" s="153"/>
      <c r="B104" s="154"/>
      <c r="C104" s="154"/>
      <c r="D104" s="154"/>
      <c r="E104" s="154"/>
      <c r="F104" s="154"/>
      <c r="G104" s="154"/>
      <c r="H104" s="154"/>
      <c r="I104" s="153"/>
      <c r="J104" s="81"/>
      <c r="K104" s="81"/>
      <c r="L104" s="81"/>
      <c r="M104" s="5"/>
      <c r="N104" s="5"/>
      <c r="O104" s="5"/>
      <c r="P104" s="85" t="s">
        <v>105</v>
      </c>
    </row>
    <row r="105" spans="1:16">
      <c r="A105" s="86" t="s">
        <v>67</v>
      </c>
      <c r="B105" s="86"/>
      <c r="C105" s="86"/>
      <c r="D105" s="86"/>
      <c r="E105" s="86"/>
      <c r="F105" s="86"/>
      <c r="G105" s="86"/>
      <c r="H105" s="86"/>
      <c r="I105" s="86" t="s">
        <v>107</v>
      </c>
      <c r="J105" s="86"/>
      <c r="K105" s="87"/>
      <c r="L105" s="87"/>
      <c r="M105" s="87"/>
      <c r="N105" s="87"/>
      <c r="O105" s="87"/>
      <c r="P105" s="88" t="s">
        <v>68</v>
      </c>
    </row>
  </sheetData>
  <mergeCells count="157">
    <mergeCell ref="H98:M98"/>
    <mergeCell ref="N98:P98"/>
    <mergeCell ref="A96:B96"/>
    <mergeCell ref="C96:D96"/>
    <mergeCell ref="E96:F96"/>
    <mergeCell ref="G96:H96"/>
    <mergeCell ref="A97:C97"/>
    <mergeCell ref="D97:F97"/>
    <mergeCell ref="O93:P94"/>
    <mergeCell ref="C94:D95"/>
    <mergeCell ref="E94:F95"/>
    <mergeCell ref="G94:H95"/>
    <mergeCell ref="K94:L94"/>
    <mergeCell ref="C93:D93"/>
    <mergeCell ref="E93:F93"/>
    <mergeCell ref="G93:H93"/>
    <mergeCell ref="K93:L93"/>
    <mergeCell ref="M93:N94"/>
    <mergeCell ref="B91:C91"/>
    <mergeCell ref="E91:F91"/>
    <mergeCell ref="I91:J91"/>
    <mergeCell ref="K91:L91"/>
    <mergeCell ref="M91:N91"/>
    <mergeCell ref="O91:P91"/>
    <mergeCell ref="O89:P89"/>
    <mergeCell ref="B90:C90"/>
    <mergeCell ref="E90:F90"/>
    <mergeCell ref="I90:J90"/>
    <mergeCell ref="K90:L90"/>
    <mergeCell ref="M90:N90"/>
    <mergeCell ref="O90:P90"/>
    <mergeCell ref="A87:C87"/>
    <mergeCell ref="D87:E87"/>
    <mergeCell ref="J87:K87"/>
    <mergeCell ref="L87:P87"/>
    <mergeCell ref="L88:P88"/>
    <mergeCell ref="B89:C89"/>
    <mergeCell ref="E89:F89"/>
    <mergeCell ref="I89:J89"/>
    <mergeCell ref="K89:L89"/>
    <mergeCell ref="M89:N89"/>
    <mergeCell ref="O78:P78"/>
    <mergeCell ref="A84:P84"/>
    <mergeCell ref="B85:B86"/>
    <mergeCell ref="P85:P86"/>
    <mergeCell ref="D86:E86"/>
    <mergeCell ref="F86:I86"/>
    <mergeCell ref="J86:N86"/>
    <mergeCell ref="H70:P70"/>
    <mergeCell ref="C71:D71"/>
    <mergeCell ref="H71:P73"/>
    <mergeCell ref="C72:D72"/>
    <mergeCell ref="C73:D73"/>
    <mergeCell ref="C75:D76"/>
    <mergeCell ref="D68:E68"/>
    <mergeCell ref="G68:I68"/>
    <mergeCell ref="J68:M68"/>
    <mergeCell ref="A69:P69"/>
    <mergeCell ref="A70:A71"/>
    <mergeCell ref="B70:B71"/>
    <mergeCell ref="C70:D70"/>
    <mergeCell ref="E70:E71"/>
    <mergeCell ref="F70:F71"/>
    <mergeCell ref="G70:G71"/>
    <mergeCell ref="A66:C66"/>
    <mergeCell ref="D66:E66"/>
    <mergeCell ref="J66:K66"/>
    <mergeCell ref="L66:P66"/>
    <mergeCell ref="D67:E67"/>
    <mergeCell ref="I67:J67"/>
    <mergeCell ref="L67:P67"/>
    <mergeCell ref="K55:N55"/>
    <mergeCell ref="K56:N56"/>
    <mergeCell ref="K57:N57"/>
    <mergeCell ref="E60:F60"/>
    <mergeCell ref="A64:N64"/>
    <mergeCell ref="P64:P65"/>
    <mergeCell ref="A65:C65"/>
    <mergeCell ref="D65:E65"/>
    <mergeCell ref="F65:I65"/>
    <mergeCell ref="J65:N65"/>
    <mergeCell ref="O48:O49"/>
    <mergeCell ref="K50:N50"/>
    <mergeCell ref="K51:N51"/>
    <mergeCell ref="K52:N52"/>
    <mergeCell ref="K53:N53"/>
    <mergeCell ref="K54:N54"/>
    <mergeCell ref="E46:F46"/>
    <mergeCell ref="G46:H46"/>
    <mergeCell ref="I46:J46"/>
    <mergeCell ref="K46:N46"/>
    <mergeCell ref="B47:J48"/>
    <mergeCell ref="K47:N47"/>
    <mergeCell ref="K48:N49"/>
    <mergeCell ref="O40:O42"/>
    <mergeCell ref="B43:C45"/>
    <mergeCell ref="D43:D45"/>
    <mergeCell ref="E43:F45"/>
    <mergeCell ref="G43:H45"/>
    <mergeCell ref="I43:J45"/>
    <mergeCell ref="K43:N43"/>
    <mergeCell ref="K44:N44"/>
    <mergeCell ref="K45:N45"/>
    <mergeCell ref="B40:C42"/>
    <mergeCell ref="D40:D42"/>
    <mergeCell ref="E40:F42"/>
    <mergeCell ref="G40:H42"/>
    <mergeCell ref="I40:J42"/>
    <mergeCell ref="K40:N42"/>
    <mergeCell ref="H10:I10"/>
    <mergeCell ref="J10:K10"/>
    <mergeCell ref="O10:P10"/>
    <mergeCell ref="M26:P28"/>
    <mergeCell ref="M29:P29"/>
    <mergeCell ref="B37:C39"/>
    <mergeCell ref="D37:J39"/>
    <mergeCell ref="K37:M39"/>
    <mergeCell ref="N37:O39"/>
    <mergeCell ref="O14:P19"/>
    <mergeCell ref="C17:D17"/>
    <mergeCell ref="C19:D19"/>
    <mergeCell ref="D21:F21"/>
    <mergeCell ref="H21:J21"/>
    <mergeCell ref="L21:O21"/>
    <mergeCell ref="N2:P2"/>
    <mergeCell ref="F3:J4"/>
    <mergeCell ref="P4:P5"/>
    <mergeCell ref="A5:C5"/>
    <mergeCell ref="D5:E5"/>
    <mergeCell ref="A6:C6"/>
    <mergeCell ref="D6:E6"/>
    <mergeCell ref="F6:I6"/>
    <mergeCell ref="J6:P6"/>
    <mergeCell ref="A99:P100"/>
    <mergeCell ref="A94:B95"/>
    <mergeCell ref="A93:B93"/>
    <mergeCell ref="A7:C7"/>
    <mergeCell ref="D7:E7"/>
    <mergeCell ref="J7:K7"/>
    <mergeCell ref="L7:P7"/>
    <mergeCell ref="D8:F8"/>
    <mergeCell ref="I8:J8"/>
    <mergeCell ref="L8:P8"/>
    <mergeCell ref="A11:P11"/>
    <mergeCell ref="A12:A13"/>
    <mergeCell ref="B12:B13"/>
    <mergeCell ref="C12:C13"/>
    <mergeCell ref="D12:E12"/>
    <mergeCell ref="F12:J12"/>
    <mergeCell ref="K12:N12"/>
    <mergeCell ref="O12:P13"/>
    <mergeCell ref="D9:E9"/>
    <mergeCell ref="G9:H9"/>
    <mergeCell ref="J9:L9"/>
    <mergeCell ref="O9:P9"/>
    <mergeCell ref="A10:C10"/>
    <mergeCell ref="D10:G10"/>
  </mergeCells>
  <conditionalFormatting sqref="B9 B68 B85:B86">
    <cfRule type="cellIs" dxfId="2" priority="2" stopIfTrue="1" operator="equal">
      <formula>"B"</formula>
    </cfRule>
  </conditionalFormatting>
  <conditionalFormatting sqref="D3 D10 G14 K14:O14 A15:N15 C17 F17 K17 H19:H20 C19:C21 G19:G21 C23 M25:M26 J68 H71:P73 A73:G73 L76 P76 O78:P78 K88 J88:J89 L90 A91:D91 I91:L91 O91:P91 E91:H92 M91:N96 J92:L93 O92:O97 H93 A94:L96 A97 D97:G97 P97 N98:P98 A99:P103">
    <cfRule type="cellIs" dxfId="1" priority="3" stopIfTrue="1" operator="equal">
      <formula>0</formula>
    </cfRule>
  </conditionalFormatting>
  <conditionalFormatting sqref="F9 I9 M9 F68">
    <cfRule type="cellIs" dxfId="0" priority="1" stopIfTrue="1" operator="equal">
      <formula>"SI"</formula>
    </cfRule>
  </conditionalFormatting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REGISTRO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Franco Sanchez</dc:creator>
  <cp:lastModifiedBy>Franco Sanchez</cp:lastModifiedBy>
  <dcterms:created xsi:type="dcterms:W3CDTF">2025-12-03T15:28:50Z</dcterms:created>
  <dcterms:modified xsi:type="dcterms:W3CDTF">2025-12-03T21:55:20Z</dcterms:modified>
</cp:coreProperties>
</file>