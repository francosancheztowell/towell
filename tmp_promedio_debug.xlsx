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MANA" sheetId="1" r:id="rId4"/>
    <sheet name="JACQ" sheetId="2" r:id="rId5"/>
    <sheet name="JACQ-SULZ" sheetId="3" r:id="rId6"/>
    <sheet name="SMIT" sheetId="4" r:id="rId7"/>
    <sheet name="ITEMA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<sst xmlns="http://schemas.openxmlformats.org/spreadsheetml/2006/main" uniqueCount="64">
  <si>
    <t>Fecha</t>
  </si>
  <si>
    <t>A evaluar.</t>
  </si>
  <si>
    <t xml:space="preserve">% Eficiencia </t>
  </si>
  <si>
    <t>Paros de trama</t>
  </si>
  <si>
    <t>M. P.T</t>
  </si>
  <si>
    <t xml:space="preserve">Paros de urdimbre </t>
  </si>
  <si>
    <t>M.P.U</t>
  </si>
  <si>
    <t xml:space="preserve">Paros de Rizo </t>
  </si>
  <si>
    <t>M.P.U.T.</t>
  </si>
  <si>
    <t>MA 1T</t>
  </si>
  <si>
    <t>M.P.R.</t>
  </si>
  <si>
    <t xml:space="preserve">Paros Otros </t>
  </si>
  <si>
    <t>M.P.O</t>
  </si>
  <si>
    <t>Marcas</t>
  </si>
  <si>
    <t>RPM</t>
  </si>
  <si>
    <t>MA 2T</t>
  </si>
  <si>
    <t>L</t>
  </si>
  <si>
    <t>MA 3T</t>
  </si>
  <si>
    <t xml:space="preserve">                       </t>
  </si>
  <si>
    <t>Etiquetas de columna</t>
  </si>
  <si>
    <t>Valores</t>
  </si>
  <si>
    <t>Total general</t>
  </si>
  <si>
    <t>Promedio de 201</t>
  </si>
  <si>
    <t>Promedio de 202</t>
  </si>
  <si>
    <t>Promedio de 203</t>
  </si>
  <si>
    <t>Promedio de 204</t>
  </si>
  <si>
    <t>Promedio de 205</t>
  </si>
  <si>
    <t>Promedio de 206</t>
  </si>
  <si>
    <t>Promedio de 213</t>
  </si>
  <si>
    <t>Promedio de 214</t>
  </si>
  <si>
    <t>Promedio de 215</t>
  </si>
  <si>
    <t>Promedio general</t>
  </si>
  <si>
    <t>SUMA TOTAL</t>
  </si>
  <si>
    <t>Promedio de 207</t>
  </si>
  <si>
    <t>Promedio de 208</t>
  </si>
  <si>
    <t>Promedio de 209</t>
  </si>
  <si>
    <t>Promedio de 210</t>
  </si>
  <si>
    <t>Promedio de 211</t>
  </si>
  <si>
    <t>Promedio de 212</t>
  </si>
  <si>
    <t xml:space="preserve">TOTAL </t>
  </si>
  <si>
    <t>Promedio de 305</t>
  </si>
  <si>
    <t>Promedio de 306</t>
  </si>
  <si>
    <t>Promedio de 307</t>
  </si>
  <si>
    <t>Promedio de 308</t>
  </si>
  <si>
    <t>Promedio de 309</t>
  </si>
  <si>
    <t>Promedio de 310</t>
  </si>
  <si>
    <t>Promedio de 311</t>
  </si>
  <si>
    <t>Promedio de 312</t>
  </si>
  <si>
    <t>Promedio de 313</t>
  </si>
  <si>
    <t>Promedio de 314</t>
  </si>
  <si>
    <t>Promedio de 315</t>
  </si>
  <si>
    <t>Promedio de 316</t>
  </si>
  <si>
    <t xml:space="preserve">Promedio general </t>
  </si>
  <si>
    <t>TOTAL</t>
  </si>
  <si>
    <t>Promedio de 299</t>
  </si>
  <si>
    <t>Promedio de 300</t>
  </si>
  <si>
    <t>Promedio de 301</t>
  </si>
  <si>
    <t>Promedio de 302</t>
  </si>
  <si>
    <t>Promedio de 303</t>
  </si>
  <si>
    <t>Promedio de 304</t>
  </si>
  <si>
    <t>Promedio de 317</t>
  </si>
  <si>
    <t>Promedio de 318</t>
  </si>
  <si>
    <t>Promedio de 319</t>
  </si>
  <si>
    <t>Promedio de 320</t>
  </si>
</sst>
</file>

<file path=xl/styles.xml><?xml version="1.0" encoding="utf-8"?>
<styleSheet xmlns="http://schemas.openxmlformats.org/spreadsheetml/2006/main" xml:space="preserve">
  <numFmts count="1">
    <numFmt numFmtId="164" formatCode="00000"/>
  </numFmts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ptos Narrow"/>
      <scheme val="minor"/>
    </font>
    <font>
      <b val="1"/>
      <i val="0"/>
      <strike val="0"/>
      <u val="none"/>
      <sz val="14"/>
      <color rgb="FF000000"/>
      <name val="Aptos Narrow"/>
      <scheme val="minor"/>
    </font>
    <font>
      <b val="0"/>
      <i val="0"/>
      <strike val="0"/>
      <u val="none"/>
      <sz val="9"/>
      <color rgb="FF000000"/>
      <name val="Aptos Narrow"/>
      <scheme val="minor"/>
    </font>
    <font>
      <b val="1"/>
      <i val="0"/>
      <strike val="0"/>
      <u val="none"/>
      <sz val="16"/>
      <color rgb="FF000000"/>
      <name val="Aptos Narrow"/>
      <scheme val="minor"/>
    </font>
    <font>
      <b val="1"/>
      <i val="0"/>
      <strike val="0"/>
      <u val="none"/>
      <sz val="12"/>
      <color rgb="FF000000"/>
      <name val="Aptos Narrow"/>
      <scheme val="minor"/>
    </font>
    <font>
      <b val="0"/>
      <i val="0"/>
      <strike val="0"/>
      <u val="none"/>
      <sz val="10"/>
      <color rgb="FF00000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FFFFFF"/>
      </patternFill>
    </fill>
    <fill>
      <patternFill patternType="solid">
        <fgColor rgb="FFF6C6AD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4E5A2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C9EEFB"/>
        <bgColor rgb="FFFFFFFF"/>
      </patternFill>
    </fill>
  </fills>
  <borders count="22">
    <border>
      <left/>
      <right/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8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164" fillId="2" borderId="0" applyFont="1" applyNumberFormat="1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1" fillId="0" borderId="1" applyFont="1" applyNumberFormat="1" applyFill="0" applyBorder="1" applyAlignment="0"/>
    <xf xfId="0" fontId="1" numFmtId="0" fillId="0" borderId="2" applyFont="1" applyNumberFormat="0" applyFill="0" applyBorder="1" applyAlignment="0"/>
    <xf xfId="0" fontId="1" numFmtId="1" fillId="0" borderId="0" applyFont="1" applyNumberFormat="1" applyFill="0" applyBorder="0" applyAlignment="0"/>
    <xf xfId="0" fontId="2" numFmtId="14" fillId="3" borderId="0" applyFont="1" applyNumberFormat="1" applyFill="1" applyBorder="0" applyAlignment="1">
      <alignment horizontal="center" vertical="bottom" textRotation="45" wrapText="false" shrinkToFit="false"/>
    </xf>
    <xf xfId="0" fontId="1" numFmtId="0" fillId="0" borderId="3" applyFont="1" applyNumberFormat="0" applyFill="0" applyBorder="1" applyAlignment="0"/>
    <xf xfId="0" fontId="1" numFmtId="0" fillId="4" borderId="3" applyFont="1" applyNumberFormat="0" applyFill="1" applyBorder="1" applyAlignment="0"/>
    <xf xfId="0" fontId="1" numFmtId="0" fillId="0" borderId="3" applyFont="1" applyNumberFormat="0" applyFill="0" applyBorder="1" applyAlignment="1">
      <alignment vertical="center" textRotation="255" wrapText="true" shrinkToFit="false"/>
    </xf>
    <xf xfId="0" fontId="1" numFmtId="1" fillId="0" borderId="3" applyFont="1" applyNumberFormat="1" applyFill="0" applyBorder="1" applyAlignment="0"/>
    <xf xfId="0" fontId="1" numFmtId="0" fillId="0" borderId="4" applyFont="1" applyNumberFormat="0" applyFill="0" applyBorder="1" applyAlignment="0"/>
    <xf xfId="0" fontId="1" numFmtId="1" fillId="0" borderId="3" applyFont="1" applyNumberFormat="1" applyFill="0" applyBorder="1" applyAlignment="1">
      <alignment vertical="center" textRotation="255" wrapText="false" shrinkToFit="false"/>
    </xf>
    <xf xfId="0" fontId="3" numFmtId="1" fillId="0" borderId="3" applyFont="1" applyNumberFormat="1" applyFill="0" applyBorder="1" applyAlignment="1">
      <alignment vertical="center" textRotation="255" wrapText="false" shrinkToFit="false"/>
    </xf>
    <xf xfId="0" fontId="1" numFmtId="1" fillId="0" borderId="3" applyFont="1" applyNumberFormat="1" applyFill="0" applyBorder="1" applyAlignment="1">
      <alignment vertical="center" textRotation="255" wrapText="true" shrinkToFit="false"/>
    </xf>
    <xf xfId="0" fontId="1" numFmtId="1" fillId="4" borderId="3" applyFont="1" applyNumberFormat="1" applyFill="1" applyBorder="1" applyAlignment="0"/>
    <xf xfId="0" fontId="1" numFmtId="0" fillId="0" borderId="3" applyFont="1" applyNumberFormat="0" applyFill="0" applyBorder="1" applyAlignment="1">
      <alignment vertical="center" textRotation="255" wrapText="false" shrinkToFit="false"/>
    </xf>
    <xf xfId="0" fontId="2" numFmtId="14" fillId="5" borderId="5" applyFont="1" applyNumberFormat="1" applyFill="1" applyBorder="1" applyAlignment="1">
      <alignment horizontal="center" vertical="bottom" textRotation="45" wrapText="false" shrinkToFit="false"/>
    </xf>
    <xf xfId="0" fontId="2" numFmtId="14" fillId="5" borderId="0" applyFont="1" applyNumberFormat="1" applyFill="1" applyBorder="0" applyAlignment="1">
      <alignment horizontal="center" vertical="bottom" textRotation="45" wrapText="false" shrinkToFit="false"/>
    </xf>
    <xf xfId="0" fontId="4" numFmtId="14" fillId="5" borderId="5" applyFont="1" applyNumberFormat="1" applyFill="1" applyBorder="1" applyAlignment="1">
      <alignment horizontal="center" vertical="bottom" textRotation="45" wrapText="false" shrinkToFit="false"/>
    </xf>
    <xf xfId="0" fontId="4" numFmtId="14" fillId="5" borderId="6" applyFont="1" applyNumberFormat="1" applyFill="1" applyBorder="1" applyAlignment="1">
      <alignment horizontal="center" vertical="bottom" textRotation="45" wrapText="false" shrinkToFit="false"/>
    </xf>
    <xf xfId="0" fontId="4" numFmtId="14" fillId="5" borderId="0" applyFont="1" applyNumberFormat="1" applyFill="1" applyBorder="0" applyAlignment="1">
      <alignment horizontal="center" vertical="bottom" textRotation="45" wrapText="false" shrinkToFit="false"/>
    </xf>
    <xf xfId="0" fontId="4" numFmtId="14" fillId="5" borderId="4" applyFont="1" applyNumberFormat="1" applyFill="1" applyBorder="1" applyAlignment="1">
      <alignment horizontal="center" vertical="bottom" textRotation="45" wrapText="false" shrinkToFit="false"/>
    </xf>
    <xf xfId="0" fontId="2" numFmtId="14" fillId="5" borderId="7" applyFont="1" applyNumberFormat="1" applyFill="1" applyBorder="1" applyAlignment="1">
      <alignment horizontal="center" vertical="bottom" textRotation="45" wrapText="false" shrinkToFit="false"/>
    </xf>
    <xf xfId="0" fontId="4" numFmtId="14" fillId="3" borderId="0" applyFont="1" applyNumberFormat="1" applyFill="1" applyBorder="0" applyAlignment="1">
      <alignment horizontal="center" vertical="bottom" textRotation="45" wrapText="false" shrinkToFit="false"/>
    </xf>
    <xf xfId="0" fontId="2" numFmtId="14" fillId="3" borderId="5" applyFont="1" applyNumberFormat="1" applyFill="1" applyBorder="1" applyAlignment="1">
      <alignment horizontal="center" vertical="bottom" textRotation="45" wrapText="false" shrinkToFit="false"/>
    </xf>
    <xf xfId="0" fontId="2" numFmtId="14" fillId="3" borderId="0" applyFont="1" applyNumberFormat="1" applyFill="1" applyBorder="0" applyAlignment="1">
      <alignment horizontal="center" vertical="bottom" textRotation="45" wrapText="false" shrinkToFit="false"/>
    </xf>
    <xf xfId="0" fontId="4" numFmtId="14" fillId="3" borderId="5" applyFont="1" applyNumberFormat="1" applyFill="1" applyBorder="1" applyAlignment="1">
      <alignment horizontal="center" vertical="bottom" textRotation="45" wrapText="false" shrinkToFit="false"/>
    </xf>
    <xf xfId="0" fontId="4" numFmtId="14" fillId="3" borderId="6" applyFont="1" applyNumberFormat="1" applyFill="1" applyBorder="1" applyAlignment="1">
      <alignment horizontal="center" vertical="bottom" textRotation="45" wrapText="false" shrinkToFit="false"/>
    </xf>
    <xf xfId="0" fontId="4" numFmtId="14" fillId="3" borderId="4" applyFont="1" applyNumberFormat="1" applyFill="1" applyBorder="1" applyAlignment="1">
      <alignment horizontal="center" vertical="bottom" textRotation="45" wrapText="false" shrinkToFit="false"/>
    </xf>
    <xf xfId="0" fontId="4" numFmtId="14" fillId="3" borderId="8" applyFont="1" applyNumberFormat="1" applyFill="1" applyBorder="1" applyAlignment="1">
      <alignment horizontal="center" vertical="bottom" textRotation="45" wrapText="false" shrinkToFit="false"/>
    </xf>
    <xf xfId="0" fontId="2" numFmtId="14" fillId="3" borderId="9" applyFont="1" applyNumberFormat="1" applyFill="1" applyBorder="1" applyAlignment="1">
      <alignment horizontal="center" vertical="bottom" textRotation="45" wrapText="false" shrinkToFit="false"/>
    </xf>
    <xf xfId="0" fontId="2" numFmtId="14" fillId="6" borderId="10" applyFont="1" applyNumberFormat="1" applyFill="1" applyBorder="1" applyAlignment="1">
      <alignment horizontal="center" vertical="bottom" textRotation="45" wrapText="false" shrinkToFit="false"/>
    </xf>
    <xf xfId="0" fontId="2" numFmtId="14" fillId="6" borderId="5" applyFont="1" applyNumberFormat="1" applyFill="1" applyBorder="1" applyAlignment="1">
      <alignment horizontal="center" vertical="bottom" textRotation="45" wrapText="false" shrinkToFit="false"/>
    </xf>
    <xf xfId="0" fontId="2" numFmtId="14" fillId="6" borderId="11" applyFont="1" applyNumberFormat="1" applyFill="1" applyBorder="1" applyAlignment="1">
      <alignment horizontal="center" vertical="bottom" textRotation="45" wrapText="false" shrinkToFit="false"/>
    </xf>
    <xf xfId="0" fontId="2" numFmtId="14" fillId="6" borderId="0" applyFont="1" applyNumberFormat="1" applyFill="1" applyBorder="0" applyAlignment="1">
      <alignment horizontal="center" vertical="bottom" textRotation="45" wrapText="false" shrinkToFit="false"/>
    </xf>
    <xf xfId="0" fontId="4" numFmtId="14" fillId="6" borderId="5" applyFont="1" applyNumberFormat="1" applyFill="1" applyBorder="1" applyAlignment="1">
      <alignment horizontal="center" vertical="bottom" textRotation="45" wrapText="false" shrinkToFit="false"/>
    </xf>
    <xf xfId="0" fontId="4" numFmtId="14" fillId="6" borderId="6" applyFont="1" applyNumberFormat="1" applyFill="1" applyBorder="1" applyAlignment="1">
      <alignment horizontal="center" vertical="bottom" textRotation="45" wrapText="false" shrinkToFit="false"/>
    </xf>
    <xf xfId="0" fontId="4" numFmtId="14" fillId="6" borderId="0" applyFont="1" applyNumberFormat="1" applyFill="1" applyBorder="0" applyAlignment="1">
      <alignment horizontal="center" vertical="bottom" textRotation="45" wrapText="false" shrinkToFit="false"/>
    </xf>
    <xf xfId="0" fontId="4" numFmtId="14" fillId="6" borderId="12" applyFont="1" applyNumberFormat="1" applyFill="1" applyBorder="1" applyAlignment="1">
      <alignment horizontal="center" vertical="bottom" textRotation="45" wrapText="false" shrinkToFit="false"/>
    </xf>
    <xf xfId="0" fontId="4" numFmtId="14" fillId="6" borderId="13" applyFont="1" applyNumberFormat="1" applyFill="1" applyBorder="1" applyAlignment="1">
      <alignment horizontal="center" vertical="bottom" textRotation="45" wrapText="false" shrinkToFit="false"/>
    </xf>
    <xf xfId="0" fontId="2" numFmtId="14" fillId="6" borderId="7" applyFont="1" applyNumberFormat="1" applyFill="1" applyBorder="1" applyAlignment="1">
      <alignment horizontal="center" vertical="bottom" textRotation="45" wrapText="false" shrinkToFit="false"/>
    </xf>
    <xf xfId="0" fontId="2" numFmtId="14" fillId="6" borderId="9" applyFont="1" applyNumberFormat="1" applyFill="1" applyBorder="1" applyAlignment="1">
      <alignment horizontal="center" vertical="bottom" textRotation="45" wrapText="false" shrinkToFit="false"/>
    </xf>
    <xf xfId="0" fontId="2" numFmtId="14" fillId="5" borderId="9" applyFont="1" applyNumberFormat="1" applyFill="1" applyBorder="1" applyAlignment="1">
      <alignment horizontal="center" vertical="bottom" textRotation="45" wrapText="false" shrinkToFit="false"/>
    </xf>
    <xf xfId="0" fontId="2" numFmtId="14" fillId="3" borderId="7" applyFont="1" applyNumberFormat="1" applyFill="1" applyBorder="1" applyAlignment="1">
      <alignment horizontal="center" vertical="bottom" textRotation="45" wrapText="false" shrinkToFit="false"/>
    </xf>
    <xf xfId="0" fontId="5" numFmtId="14" fillId="3" borderId="0" applyFont="1" applyNumberFormat="1" applyFill="1" applyBorder="0" applyAlignment="1">
      <alignment horizontal="center" vertical="bottom" textRotation="45" wrapText="false" shrinkToFit="false"/>
    </xf>
    <xf xfId="0" fontId="1" numFmtId="164" fillId="7" borderId="14" applyFont="1" applyNumberFormat="1" applyFill="1" applyBorder="1" applyAlignment="1">
      <alignment vertical="center" textRotation="0" wrapText="false" shrinkToFit="false"/>
    </xf>
    <xf xfId="0" fontId="1" numFmtId="0" fillId="7" borderId="15" applyFont="1" applyNumberFormat="0" applyFill="1" applyBorder="1" applyAlignment="0"/>
    <xf xfId="0" fontId="1" numFmtId="0" fillId="7" borderId="14" applyFont="1" applyNumberFormat="0" applyFill="1" applyBorder="1" applyAlignment="0"/>
    <xf xfId="0" fontId="6" numFmtId="0" fillId="7" borderId="14" applyFont="1" applyNumberFormat="0" applyFill="1" applyBorder="1" applyAlignment="0"/>
    <xf xfId="0" fontId="1" numFmtId="0" fillId="7" borderId="16" applyFont="1" applyNumberFormat="0" applyFill="1" applyBorder="1" applyAlignment="0"/>
    <xf xfId="0" fontId="1" numFmtId="0" fillId="7" borderId="17" applyFont="1" applyNumberFormat="0" applyFill="1" applyBorder="1" applyAlignment="0"/>
    <xf xfId="0" fontId="1" numFmtId="0" fillId="7" borderId="18" applyFont="1" applyNumberFormat="0" applyFill="1" applyBorder="1" applyAlignment="0"/>
    <xf xfId="0" fontId="1" numFmtId="0" fillId="7" borderId="19" applyFont="1" applyNumberFormat="0" applyFill="1" applyBorder="1" applyAlignment="0"/>
    <xf xfId="0" fontId="1" numFmtId="0" fillId="7" borderId="0" applyFont="1" applyNumberFormat="0" applyFill="1" applyBorder="0" applyAlignment="1">
      <alignment vertical="center" textRotation="0" wrapText="false" shrinkToFit="false"/>
    </xf>
    <xf xfId="0" fontId="1" numFmtId="0" fillId="7" borderId="14" applyFont="1" applyNumberFormat="0" applyFill="1" applyBorder="1" applyAlignment="1">
      <alignment vertical="center" textRotation="0" wrapText="false" shrinkToFit="false"/>
    </xf>
    <xf xfId="0" fontId="6" numFmtId="0" fillId="7" borderId="15" applyFont="1" applyNumberFormat="0" applyFill="1" applyBorder="1" applyAlignment="0"/>
    <xf xfId="0" fontId="6" numFmtId="0" fillId="7" borderId="17" applyFont="1" applyNumberFormat="0" applyFill="1" applyBorder="1" applyAlignment="0"/>
    <xf xfId="0" fontId="6" numFmtId="0" fillId="7" borderId="18" applyFont="1" applyNumberFormat="0" applyFill="1" applyBorder="1" applyAlignment="0"/>
    <xf xfId="0" fontId="6" numFmtId="0" fillId="7" borderId="19" applyFont="1" applyNumberFormat="0" applyFill="1" applyBorder="1" applyAlignment="0"/>
    <xf xfId="0" fontId="1" numFmtId="0" fillId="7" borderId="0" applyFont="1" applyNumberFormat="0" applyFill="1" applyBorder="0" applyAlignment="0"/>
    <xf xfId="0" fontId="1" numFmtId="0" fillId="7" borderId="20" applyFont="1" applyNumberFormat="0" applyFill="1" applyBorder="1" applyAlignment="0"/>
    <xf xfId="0" fontId="1" numFmtId="0" fillId="7" borderId="21" applyFont="1" applyNumberFormat="0" applyFill="1" applyBorder="1" applyAlignment="0"/>
    <xf xfId="0" fontId="1" numFmtId="0" fillId="7" borderId="2" applyFont="1" applyNumberFormat="0" applyFill="1" applyBorder="1" applyAlignment="0"/>
    <xf xfId="0" fontId="1" numFmtId="0" fillId="7" borderId="3" applyFont="1" applyNumberFormat="0" applyFill="1" applyBorder="1" applyAlignment="0"/>
    <xf xfId="0" fontId="1" numFmtId="0" fillId="0" borderId="0" applyFont="1" applyNumberFormat="0" applyFill="0" applyBorder="0" applyAlignment="0"/>
    <xf xfId="0" fontId="1" numFmtId="1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1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1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1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1" numFmtId="1" fillId="0" borderId="19" applyFont="1" applyNumberFormat="1" applyFill="0" applyBorder="1" applyAlignment="0"/>
    <xf xfId="0" fontId="1" numFmtId="1" fillId="0" borderId="11" applyFont="1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272"/>
  <sheetViews>
    <sheetView tabSelected="1" workbookViewId="0" zoomScale="105" showGridLines="true" showRowColHeaders="1">
      <selection activeCell="A1" sqref="A1"/>
    </sheetView>
  </sheetViews>
  <sheetFormatPr defaultRowHeight="14.4" outlineLevelRow="0" outlineLevelCol="0"/>
  <cols>
    <col min="3" max="3" width="10.5" customWidth="true" style="0"/>
    <col min="4" max="4" width="10.5" customWidth="true" style="0"/>
    <col min="5" max="5" width="10.5" customWidth="true" style="0"/>
    <col min="6" max="6" width="10.5" customWidth="true" style="0"/>
    <col min="7" max="7" width="10.5" customWidth="true" style="0"/>
    <col min="8" max="8" width="10.5" customWidth="true" style="0"/>
    <col min="9" max="9" width="10.5" customWidth="true" style="0"/>
    <col min="10" max="10" width="10.5" customWidth="true" style="0"/>
    <col min="11" max="11" width="10.5" customWidth="true" style="0"/>
    <col min="14" max="14" width="10.5" customWidth="true" style="0"/>
    <col min="15" max="15" width="10.5" customWidth="true" style="0"/>
    <col min="16" max="16" width="10.5" customWidth="true" style="0"/>
    <col min="17" max="17" width="10.5" customWidth="true" style="0"/>
    <col min="18" max="18" width="10.5" customWidth="true" style="0"/>
    <col min="19" max="19" width="10.5" customWidth="true" style="0"/>
    <col min="20" max="20" width="10.5" customWidth="true" style="0"/>
    <col min="21" max="21" width="10.5" customWidth="true" style="0"/>
    <col min="22" max="22" width="10.5" customWidth="true" style="0"/>
    <col min="23" max="23" width="10.5" customWidth="true" style="0"/>
    <col min="24" max="24" width="10.5" customWidth="true" style="0"/>
    <col min="25" max="25" width="10.5" customWidth="true" style="0"/>
    <col min="26" max="26" width="10.5" customWidth="true" style="0"/>
    <col min="27" max="27" width="10.5" customWidth="true" style="0"/>
    <col min="28" max="28" width="10.5" customWidth="true" style="0"/>
    <col min="29" max="29" width="10.5" customWidth="true" style="0"/>
    <col min="30" max="30" width="10.5" customWidth="true" style="0"/>
    <col min="31" max="31" width="10.5" customWidth="true" style="0"/>
    <col min="32" max="32" width="10.5" customWidth="true" style="0"/>
    <col min="33" max="33" width="10.5" customWidth="true" style="0"/>
    <col min="34" max="34" width="10.5" customWidth="true" style="0"/>
    <col min="35" max="35" width="10.5" customWidth="true" style="0"/>
    <col min="38" max="38" width="10.5" customWidth="true" style="0"/>
    <col min="39" max="39" width="10.5" customWidth="true" style="0"/>
    <col min="40" max="40" width="10.5" customWidth="true" style="0"/>
    <col min="41" max="41" width="10.5" customWidth="true" style="0"/>
    <col min="42" max="42" width="10.5" customWidth="true" style="0"/>
    <col min="43" max="43" width="10.5" customWidth="true" style="0"/>
  </cols>
  <sheetData>
    <row r="1" spans="1:45" customHeight="1" ht="15.75">
      <c r="A1" s="2" t="s">
        <v>0</v>
      </c>
      <c r="B1" s="47" t="s">
        <v>1</v>
      </c>
      <c r="C1" s="55">
        <v>201</v>
      </c>
      <c r="D1" s="55" t="str">
        <f>+C1+1</f>
        <v>0</v>
      </c>
      <c r="E1" s="55" t="str">
        <f>+D1+1</f>
        <v>0</v>
      </c>
      <c r="F1" s="55" t="str">
        <f>+E1+1</f>
        <v>0</v>
      </c>
      <c r="G1" s="55" t="str">
        <f>+F1+1</f>
        <v>0</v>
      </c>
      <c r="H1" s="55" t="str">
        <f>+G1+1</f>
        <v>0</v>
      </c>
      <c r="I1" s="55" t="str">
        <f>+AQ1+1</f>
        <v>0</v>
      </c>
      <c r="J1" s="55" t="str">
        <f>+I1+1</f>
        <v>0</v>
      </c>
      <c r="K1" s="55" t="str">
        <f>+J1+1</f>
        <v>0</v>
      </c>
      <c r="L1" s="55" t="s">
        <v>0</v>
      </c>
      <c r="M1" s="56" t="s">
        <v>1</v>
      </c>
      <c r="N1" s="55">
        <v>299</v>
      </c>
      <c r="O1" s="55" t="str">
        <f>+N1+1</f>
        <v>0</v>
      </c>
      <c r="P1" s="55" t="str">
        <f>+O1+1</f>
        <v>0</v>
      </c>
      <c r="Q1" s="55" t="str">
        <f>+P1+1</f>
        <v>0</v>
      </c>
      <c r="R1" s="55" t="str">
        <f>+Q1+1</f>
        <v>0</v>
      </c>
      <c r="S1" s="55" t="str">
        <f>+R1+1</f>
        <v>0</v>
      </c>
      <c r="T1" s="55" t="str">
        <f>+S1+1</f>
        <v>0</v>
      </c>
      <c r="U1" s="55" t="str">
        <f>+T1+1</f>
        <v>0</v>
      </c>
      <c r="V1" s="55" t="str">
        <f>C12323+U1+1</f>
        <v>0</v>
      </c>
      <c r="W1" s="55" t="str">
        <f>+V1+1</f>
        <v>0</v>
      </c>
      <c r="X1" s="55" t="str">
        <f>+W1+1</f>
        <v>0</v>
      </c>
      <c r="Y1" s="55" t="str">
        <f>+X1+1</f>
        <v>0</v>
      </c>
      <c r="Z1" s="55" t="str">
        <f>+Y1+1</f>
        <v>0</v>
      </c>
      <c r="AA1" s="55" t="str">
        <f>+Z1+1</f>
        <v>0</v>
      </c>
      <c r="AB1" s="55" t="str">
        <f>+AA1+1</f>
        <v>0</v>
      </c>
      <c r="AC1" s="55" t="str">
        <f>+AB1+1</f>
        <v>0</v>
      </c>
      <c r="AD1" s="55" t="str">
        <f>+AC1+1</f>
        <v>0</v>
      </c>
      <c r="AE1" s="55" t="str">
        <f>+AD1+1</f>
        <v>0</v>
      </c>
      <c r="AF1" s="55" t="str">
        <f>+AE1+1</f>
        <v>0</v>
      </c>
      <c r="AG1" s="55" t="str">
        <f>+AF1+1</f>
        <v>0</v>
      </c>
      <c r="AH1" s="55" t="str">
        <f>+AG1+1</f>
        <v>0</v>
      </c>
      <c r="AI1" s="55" t="str">
        <f>+AH1+1</f>
        <v>0</v>
      </c>
      <c r="AJ1" s="55" t="s">
        <v>0</v>
      </c>
      <c r="AK1" s="56" t="s">
        <v>1</v>
      </c>
      <c r="AL1" s="55" t="str">
        <f>+H1+1</f>
        <v>0</v>
      </c>
      <c r="AM1" s="55" t="str">
        <f>+AL1+1</f>
        <v>0</v>
      </c>
      <c r="AN1" s="55" t="str">
        <f>+AM1+1</f>
        <v>0</v>
      </c>
      <c r="AO1" s="55" t="str">
        <f>+AN1+1</f>
        <v>0</v>
      </c>
      <c r="AP1" s="55" t="str">
        <f>+AO1+1</f>
        <v>0</v>
      </c>
      <c r="AQ1" s="55" t="str">
        <f>+AP1+1</f>
        <v>0</v>
      </c>
      <c r="AR1" s="3"/>
      <c r="AS1" s="3"/>
    </row>
    <row r="2" spans="1:45">
      <c r="A2" s="45">
        <v>46084.0</v>
      </c>
      <c r="B2" s="48" t="s">
        <v>2</v>
      </c>
      <c r="C2" s="82" t="str">
        <f>IF(OR(C11="",C12="",C12=0),"",IFERROR(ROUND((C11*100000)/(C12*60*8),0),""))</f>
        <v>0</v>
      </c>
      <c r="D2" s="83" t="str">
        <f>IF(OR(D11="",D12="",D12=0),"",IFERROR(ROUND((D11*100000)/(D12*60*8),0),""))</f>
        <v>0</v>
      </c>
      <c r="E2" s="83" t="str">
        <f>IF(OR(E11="",E12="",E12=0),"",IFERROR(ROUND((E11*100000)/(E12*60*8),0),""))</f>
        <v>0</v>
      </c>
      <c r="F2" s="83" t="str">
        <f>IF(OR(F11="",F12="",F12=0),"",IFERROR(ROUND((F11*100000)/(F12*60*8),0),""))</f>
        <v>0</v>
      </c>
      <c r="G2" s="83" t="str">
        <f>IF(OR(G11="",G12="",G12=0),"",IFERROR(ROUND((G11*100000)/(G12*60*8),0),""))</f>
        <v>0</v>
      </c>
      <c r="H2" s="83" t="str">
        <f>IF(OR(H11="",H12="",H12=0),"",IFERROR(ROUND((H11*100000)/(H12*60*8),0),""))</f>
        <v>0</v>
      </c>
      <c r="I2" s="83" t="str">
        <f>IF(OR(I11="",I12="",I12=0),"",IFERROR(ROUND((I11*100000)/(I12*60*8),0),""))</f>
        <v>0</v>
      </c>
      <c r="J2" s="83" t="str">
        <f>IF(OR(J11="",J12="",J12=0),"",IFERROR(ROUND((J11*100000)/(J12*60*8),0),""))</f>
        <v>0</v>
      </c>
      <c r="K2" s="4" t="str">
        <f>IF(OR(K11="",K12="",K12=0),"",IFERROR(ROUND((K11*100000)/(K12*60*8),0),""))</f>
        <v>0</v>
      </c>
      <c r="L2" s="45">
        <v>46084.0</v>
      </c>
      <c r="M2" s="57" t="s">
        <v>2</v>
      </c>
      <c r="N2" s="11" t="str">
        <f>IF(OR(N11="",N12="",N12=0),"",IFERROR(ROUND((N11*100000)/(N12*60*8),0),""))</f>
        <v>0</v>
      </c>
      <c r="O2" s="11" t="str">
        <f>IF(OR(O11="",O12="",O12=0),"",IFERROR(ROUND((O11*100000)/(O12*60*8),0),""))</f>
        <v>0</v>
      </c>
      <c r="P2" s="11" t="str">
        <f>IF(OR(P11="",P12="",P12=0),"",IFERROR(ROUND((P11*100000)/(P12*60*8),0),""))</f>
        <v>0</v>
      </c>
      <c r="Q2" s="11" t="str">
        <f>IF(OR(Q11="",Q12="",Q12=0),"",IFERROR(ROUND((Q11*100000)/(Q12*60*8),0),""))</f>
        <v>0</v>
      </c>
      <c r="R2" s="11" t="str">
        <f>IF(OR(R11="",R12="",R12=0),"",IFERROR(ROUND((R11*100000)/(R12*60*8),0),""))</f>
        <v>0</v>
      </c>
      <c r="S2" s="11" t="str">
        <f>IF(OR(S11="",S12="",S12=0),"",IFERROR(ROUND((S11*100000)/(S12*60*8),0),""))</f>
        <v>0</v>
      </c>
      <c r="T2" s="11" t="str">
        <f>IF(OR(T11="",T12="",T12=0),"",IFERROR(ROUND((T11*100000)/(T12*60*8),0),""))</f>
        <v>0</v>
      </c>
      <c r="U2" s="11" t="str">
        <f>IF(OR(U11="",U12="",U12=0),"",IFERROR(ROUND((U11*100000)/(U12*60*8),0),""))</f>
        <v>0</v>
      </c>
      <c r="V2" s="11" t="str">
        <f>IF(OR(V11="",V12="",V12=0),"",IFERROR(ROUND((V11*100000)/(V12*60*8),0),""))</f>
        <v>0</v>
      </c>
      <c r="W2" s="11" t="str">
        <f>IF(OR(W11="",W12="",W12=0),"",IFERROR(ROUND((W11*100000)/(W12*60*8),0),""))</f>
        <v>0</v>
      </c>
      <c r="X2" s="11" t="str">
        <f>IF(OR(X11="",X12="",X12=0),"",IFERROR(ROUND((X11*100000)/(X12*60*8),0),""))</f>
        <v>0</v>
      </c>
      <c r="Y2" s="11" t="str">
        <f>IF(OR(Y11="",Y12="",Y12=0),"",IFERROR(ROUND((Y11*100000)/(Y12*60*8),0),""))</f>
        <v>0</v>
      </c>
      <c r="Z2" s="11" t="str">
        <f>IF(OR(Z11="",Z12="",Z12=0),"",IFERROR(ROUND((Z11*100000)/(Z12*60*8),0),""))</f>
        <v>0</v>
      </c>
      <c r="AA2" s="11" t="str">
        <f>IF(OR(AA11="",AA12="",AA12=0),"",IFERROR(ROUND((AA11*100000)/(AA12*60*8),0),""))</f>
        <v>0</v>
      </c>
      <c r="AB2" s="11" t="str">
        <f>IF(OR(AB11="",AB12="",AB12=0),"",IFERROR(ROUND((AB11*100000)/(AB12*60*8),0),""))</f>
        <v>0</v>
      </c>
      <c r="AC2" s="11" t="str">
        <f>IF(OR(AC11="",AC12="",AC12=0),"",IFERROR(ROUND((AC11*100000)/(AC12*60*8),0),""))</f>
        <v>0</v>
      </c>
      <c r="AD2" s="11" t="str">
        <f>IF(OR(AD11="",AD12="",AD12=0),"",IFERROR(ROUND((AD11*100000)/(AD12*60*8),0),""))</f>
        <v>0</v>
      </c>
      <c r="AE2" s="11" t="str">
        <f>IF(OR(AE11="",AE12="",AE12=0),"",IFERROR(ROUND((AE11*100000)/(AE12*60*8),0),""))</f>
        <v>0</v>
      </c>
      <c r="AF2" s="11" t="str">
        <f>IF(OR(AF11="",AF12="",AF12=0),"",IFERROR(ROUND((AF11*100000)/(AF12*60*8),0),""))</f>
        <v>0</v>
      </c>
      <c r="AG2" s="11" t="str">
        <f>IF(OR(AG11="",AG12="",AG12=0),"",IFERROR(ROUND((AG11*100000)/(AG12*60*8),0),""))</f>
        <v>0</v>
      </c>
      <c r="AH2" s="11" t="str">
        <f>IF(OR(AH11="",AH12="",AH12=0),"",IFERROR(ROUND((AH11*100000)/(AH12*60*8),0),""))</f>
        <v>0</v>
      </c>
      <c r="AI2" s="11" t="str">
        <f>IF(OR(AI11="",AI12="",AI12=0),"",IFERROR(ROUND((AI11*100000)/(AI12*60*8),0),""))</f>
        <v>0</v>
      </c>
      <c r="AJ2" s="32">
        <v>46084.0</v>
      </c>
      <c r="AK2" s="57" t="s">
        <v>2</v>
      </c>
      <c r="AL2" s="11" t="str">
        <f>IF(OR(AL10="",AL11="",AL11=0),"",IFERROR(ROUND((AL10*100000)/(AL11*60*8),0),""))</f>
        <v>0</v>
      </c>
      <c r="AM2" s="11" t="str">
        <f>IF(OR(AM10="",AM11="",AM11=0),"",IFERROR(ROUND((AM10*100000)/(AM11*60*8),0),""))</f>
        <v>0</v>
      </c>
      <c r="AN2" s="11" t="str">
        <f>IF(OR(AN10="",AN11="",AN11=0),"",IFERROR(ROUND((AN10*100000)/(AN11*60*8),0),""))</f>
        <v>0</v>
      </c>
      <c r="AO2" s="11" t="str">
        <f>IF(OR(AO10="",AO11="",AO11=0),"",IFERROR(ROUND((AO10*100000)/(AO11*60*8),0),""))</f>
        <v>0</v>
      </c>
      <c r="AP2" s="11" t="str">
        <f>IF(OR(AP10="",AP11="",AP11=0),"",IFERROR(ROUND((AP10*100000)/(AP11*60*8),0),""))</f>
        <v>0</v>
      </c>
      <c r="AQ2" s="11" t="str">
        <f>IF(OR(AQ10="",AQ11="",AQ11=0),"",IFERROR(ROUND((AQ10*100000)/(AQ11*60*8),0),""))</f>
        <v>0</v>
      </c>
    </row>
    <row r="3" spans="1:45">
      <c r="A3" s="26"/>
      <c r="B3" s="49" t="s">
        <v>3</v>
      </c>
      <c r="C3" s="8"/>
      <c r="D3" s="9"/>
      <c r="E3" s="9"/>
      <c r="F3" s="9"/>
      <c r="G3" s="9"/>
      <c r="H3" s="9"/>
      <c r="I3" s="9"/>
      <c r="J3" s="9"/>
      <c r="K3" s="9"/>
      <c r="L3" s="27"/>
      <c r="M3" s="50" t="s">
        <v>3</v>
      </c>
      <c r="N3" s="8"/>
      <c r="O3" s="8"/>
      <c r="P3" s="8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27"/>
      <c r="AK3" s="50" t="s">
        <v>3</v>
      </c>
      <c r="AL3" s="9"/>
      <c r="AM3" s="8"/>
      <c r="AN3" s="8"/>
      <c r="AO3" s="8"/>
      <c r="AP3" s="8"/>
      <c r="AQ3" s="8"/>
      <c r="AS3" s="1" t="str">
        <f>SUM(O3:AI3)</f>
        <v>0</v>
      </c>
    </row>
    <row r="4" spans="1:45">
      <c r="A4" s="26"/>
      <c r="B4" s="50" t="s">
        <v>4</v>
      </c>
      <c r="C4" s="8"/>
      <c r="D4" s="9"/>
      <c r="E4" s="9"/>
      <c r="F4" s="9"/>
      <c r="G4" s="9"/>
      <c r="H4" s="9"/>
      <c r="I4" s="9"/>
      <c r="J4" s="9"/>
      <c r="K4" s="9"/>
      <c r="L4" s="27"/>
      <c r="M4" s="50" t="s">
        <v>4</v>
      </c>
      <c r="N4" s="8"/>
      <c r="O4" s="8"/>
      <c r="P4" s="8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27"/>
      <c r="AK4" s="50" t="s">
        <v>4</v>
      </c>
      <c r="AL4" s="8"/>
      <c r="AM4" s="8"/>
      <c r="AN4" s="8"/>
      <c r="AO4" s="8"/>
      <c r="AP4" s="8"/>
      <c r="AQ4" s="8"/>
      <c r="AS4" s="1" t="str">
        <f>SUM(O4:AI4)</f>
        <v>0</v>
      </c>
    </row>
    <row r="5" spans="1:45">
      <c r="A5" s="26"/>
      <c r="B5" s="51" t="s">
        <v>5</v>
      </c>
      <c r="C5" s="8"/>
      <c r="D5" s="9"/>
      <c r="E5" s="9"/>
      <c r="F5" s="9"/>
      <c r="G5" s="9"/>
      <c r="H5" s="9"/>
      <c r="I5" s="9"/>
      <c r="J5" s="9"/>
      <c r="K5" s="9"/>
      <c r="L5" s="27"/>
      <c r="M5" s="50" t="s">
        <v>5</v>
      </c>
      <c r="N5" s="8"/>
      <c r="O5" s="8"/>
      <c r="P5" s="8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27"/>
      <c r="AK5" s="50" t="s">
        <v>5</v>
      </c>
      <c r="AL5" s="8"/>
      <c r="AM5" s="8"/>
      <c r="AN5" s="8"/>
      <c r="AO5" s="8"/>
      <c r="AP5" s="8"/>
      <c r="AQ5" s="8"/>
      <c r="AS5" s="1" t="str">
        <f>SUM(O5:AI5)</f>
        <v>0</v>
      </c>
    </row>
    <row r="6" spans="1:45">
      <c r="A6" s="26"/>
      <c r="B6" s="49" t="s">
        <v>6</v>
      </c>
      <c r="C6" s="8"/>
      <c r="D6" s="9"/>
      <c r="E6" s="9"/>
      <c r="F6" s="9"/>
      <c r="G6" s="9"/>
      <c r="H6" s="9"/>
      <c r="I6" s="9"/>
      <c r="J6" s="9"/>
      <c r="K6" s="9"/>
      <c r="L6" s="27"/>
      <c r="M6" s="50" t="s">
        <v>6</v>
      </c>
      <c r="N6" s="8"/>
      <c r="O6" s="8"/>
      <c r="P6" s="8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27"/>
      <c r="AK6" s="50" t="s">
        <v>7</v>
      </c>
      <c r="AL6" s="8"/>
      <c r="AM6" s="8"/>
      <c r="AN6" s="8"/>
      <c r="AO6" s="8"/>
      <c r="AP6" s="8"/>
      <c r="AQ6" s="8"/>
      <c r="AS6" s="1" t="str">
        <f>SUM(O6:AI6)</f>
        <v>0</v>
      </c>
    </row>
    <row r="7" spans="1:45">
      <c r="A7" s="26"/>
      <c r="B7" s="49" t="s">
        <v>7</v>
      </c>
      <c r="C7" s="8"/>
      <c r="D7" s="9"/>
      <c r="E7" s="9"/>
      <c r="F7" s="9"/>
      <c r="G7" s="9"/>
      <c r="H7" s="9"/>
      <c r="I7" s="9"/>
      <c r="J7" s="9"/>
      <c r="K7" s="9"/>
      <c r="L7" s="27"/>
      <c r="M7" s="50" t="s">
        <v>7</v>
      </c>
      <c r="N7" s="8"/>
      <c r="O7" s="8"/>
      <c r="P7" s="8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27"/>
      <c r="AK7" s="50" t="s">
        <v>8</v>
      </c>
      <c r="AL7" s="8"/>
      <c r="AM7" s="8"/>
      <c r="AN7" s="8"/>
      <c r="AO7" s="8"/>
      <c r="AP7" s="8"/>
      <c r="AQ7" s="8"/>
      <c r="AS7" s="1" t="str">
        <f>SUM(O7:AI7)</f>
        <v>0</v>
      </c>
    </row>
    <row r="8" spans="1:45">
      <c r="A8" s="28" t="s">
        <v>9</v>
      </c>
      <c r="B8" s="49" t="s">
        <v>10</v>
      </c>
      <c r="C8" s="8"/>
      <c r="D8" s="9"/>
      <c r="E8" s="9"/>
      <c r="F8" s="9"/>
      <c r="G8" s="9"/>
      <c r="H8" s="9"/>
      <c r="I8" s="9"/>
      <c r="J8" s="9"/>
      <c r="K8" s="9"/>
      <c r="L8" s="25" t="s">
        <v>9</v>
      </c>
      <c r="M8" s="50" t="s">
        <v>10</v>
      </c>
      <c r="N8" s="8"/>
      <c r="O8" s="8"/>
      <c r="P8" s="8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46" t="s">
        <v>9</v>
      </c>
      <c r="AK8" s="50" t="s">
        <v>11</v>
      </c>
      <c r="AL8" s="8"/>
      <c r="AM8" s="8"/>
      <c r="AN8" s="8"/>
      <c r="AO8" s="8"/>
      <c r="AP8" s="8"/>
      <c r="AQ8" s="8"/>
      <c r="AS8" s="1" t="str">
        <f>SUM(O8:AI8)</f>
        <v>0</v>
      </c>
    </row>
    <row r="9" spans="1:45">
      <c r="A9" s="28"/>
      <c r="B9" s="49" t="s">
        <v>11</v>
      </c>
      <c r="C9" s="8"/>
      <c r="D9" s="9"/>
      <c r="E9" s="9"/>
      <c r="F9" s="9"/>
      <c r="G9" s="9"/>
      <c r="H9" s="9"/>
      <c r="I9" s="9"/>
      <c r="J9" s="9"/>
      <c r="K9" s="9"/>
      <c r="L9" s="25"/>
      <c r="M9" s="50" t="s">
        <v>11</v>
      </c>
      <c r="N9" s="8"/>
      <c r="O9" s="8"/>
      <c r="P9" s="8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46"/>
      <c r="AK9" s="50" t="s">
        <v>12</v>
      </c>
      <c r="AL9" s="8"/>
      <c r="AM9" s="8"/>
      <c r="AN9" s="8"/>
      <c r="AO9" s="8"/>
      <c r="AP9" s="8"/>
      <c r="AQ9" s="8"/>
      <c r="AS9" s="1" t="str">
        <f>SUM(O9:AI9)</f>
        <v>0</v>
      </c>
    </row>
    <row r="10" spans="1:45">
      <c r="A10" s="28"/>
      <c r="B10" s="49" t="s">
        <v>12</v>
      </c>
      <c r="C10" s="8"/>
      <c r="D10" s="9"/>
      <c r="E10" s="9"/>
      <c r="F10" s="9"/>
      <c r="G10" s="9"/>
      <c r="H10" s="9"/>
      <c r="I10" s="9"/>
      <c r="J10" s="9"/>
      <c r="K10" s="9"/>
      <c r="L10" s="25"/>
      <c r="M10" s="50" t="s">
        <v>12</v>
      </c>
      <c r="N10" s="8"/>
      <c r="O10" s="8"/>
      <c r="P10" s="8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46"/>
      <c r="AK10" s="50" t="s">
        <v>13</v>
      </c>
      <c r="AL10" s="8"/>
      <c r="AM10" s="8"/>
      <c r="AN10" s="8"/>
      <c r="AO10" s="8"/>
      <c r="AP10" s="8"/>
      <c r="AQ10" s="8"/>
    </row>
    <row r="11" spans="1:45">
      <c r="A11" s="28"/>
      <c r="B11" s="49" t="s">
        <v>13</v>
      </c>
      <c r="C11" s="8"/>
      <c r="D11" s="9"/>
      <c r="E11" s="9"/>
      <c r="F11" s="9"/>
      <c r="G11" s="9"/>
      <c r="H11" s="9"/>
      <c r="I11" s="9"/>
      <c r="J11" s="9"/>
      <c r="K11" s="9"/>
      <c r="L11" s="25"/>
      <c r="M11" s="50" t="s">
        <v>13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46"/>
      <c r="AK11" s="50" t="s">
        <v>14</v>
      </c>
      <c r="AL11" s="8"/>
      <c r="AM11" s="8"/>
      <c r="AN11" s="8"/>
      <c r="AO11" s="8"/>
      <c r="AP11" s="8"/>
      <c r="AQ11" s="8"/>
    </row>
    <row r="12" spans="1:45">
      <c r="A12" s="28"/>
      <c r="B12" s="49" t="s">
        <v>14</v>
      </c>
      <c r="C12" s="8"/>
      <c r="D12" s="9"/>
      <c r="E12" s="9"/>
      <c r="F12" s="9"/>
      <c r="G12" s="9"/>
      <c r="H12" s="9"/>
      <c r="I12" s="9"/>
      <c r="J12" s="9"/>
      <c r="K12" s="9"/>
      <c r="L12" s="25"/>
      <c r="M12" s="50" t="s">
        <v>14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K12" s="49"/>
      <c r="AL12" s="8"/>
      <c r="AM12" s="8"/>
      <c r="AN12" s="8"/>
      <c r="AO12" s="8"/>
      <c r="AP12" s="8"/>
      <c r="AQ12" s="8"/>
    </row>
    <row r="13" spans="1:45">
      <c r="A13" s="26">
        <v>46084.0</v>
      </c>
      <c r="B13" s="49" t="s">
        <v>2</v>
      </c>
      <c r="C13" s="11" t="str">
        <f>IF(OR(C22="",C23="",C23=0),"",IFERROR(ROUND((C22*100000)/(C23*60*8),0),""))</f>
        <v>0</v>
      </c>
      <c r="D13" s="11" t="str">
        <f>IF(OR(D22="",D23="",D23=0),"",IFERROR(ROUND((D22*100000)/(D23*60*8),0),""))</f>
        <v>0</v>
      </c>
      <c r="E13" s="11" t="str">
        <f>IF(OR(E22="",E23="",E23=0),"",IFERROR(ROUND((E22*100000)/(E23*60*8),0),""))</f>
        <v>0</v>
      </c>
      <c r="F13" s="11" t="str">
        <f>IF(OR(F22="",F23="",F23=0),"",IFERROR(ROUND((F22*100000)/(F23*60*8),0),""))</f>
        <v>0</v>
      </c>
      <c r="G13" s="11" t="str">
        <f>IF(OR(G22="",G23="",G23=0),"",IFERROR(ROUND((G22*100000)/(G23*60*8),0),""))</f>
        <v>0</v>
      </c>
      <c r="H13" s="11" t="str">
        <f>IF(OR(H22="",H23="",H23=0),"",IFERROR(ROUND((H22*100000)/(H23*60*8),0),""))</f>
        <v>0</v>
      </c>
      <c r="I13" s="11" t="str">
        <f>IF(OR(I22="",I23="",I23=0),"",IFERROR(ROUND((I22*100000)/(I23*60*8),0),""))</f>
        <v>0</v>
      </c>
      <c r="J13" s="11" t="str">
        <f>IF(OR(J22="",J23="",J23=0),"",IFERROR(ROUND((J22*100000)/(J23*60*8),0),""))</f>
        <v>0</v>
      </c>
      <c r="K13" s="11" t="str">
        <f>IF(OR(K22="",K23="",K23=0),"",IFERROR(ROUND((K22*100000)/(K23*60*8),0),""))</f>
        <v>0</v>
      </c>
      <c r="L13" s="7">
        <v>46084.0</v>
      </c>
      <c r="M13" s="50" t="s">
        <v>2</v>
      </c>
      <c r="N13" s="11" t="str">
        <f>IF(OR(N22="",N23="",N23=0),"",IFERROR(ROUND((N22*100000)/(N23*60*8),0),""))</f>
        <v>0</v>
      </c>
      <c r="O13" s="11" t="str">
        <f>IF(OR(O22="",O23="",O23=0),"",IFERROR(ROUND((O22*100000)/(O23*60*8),0),""))</f>
        <v>0</v>
      </c>
      <c r="P13" s="11" t="str">
        <f>IF(OR(P22="",P23="",P23=0),"",IFERROR(ROUND((P22*100000)/(P23*60*8),0),""))</f>
        <v>0</v>
      </c>
      <c r="Q13" s="11" t="str">
        <f>IF(OR(Q22="",Q23="",Q23=0),"",IFERROR(ROUND((Q22*100000)/(Q23*60*8),0),""))</f>
        <v>0</v>
      </c>
      <c r="R13" s="11" t="str">
        <f>IF(OR(R22="",R23="",R23=0),"",IFERROR(ROUND((R22*100000)/(R23*60*8),0),""))</f>
        <v>0</v>
      </c>
      <c r="S13" s="11" t="str">
        <f>IF(OR(S22="",S23="",S23=0),"",IFERROR(ROUND((S22*100000)/(S23*60*8),0),""))</f>
        <v>0</v>
      </c>
      <c r="T13" s="11" t="str">
        <f>IF(OR(T22="",T23="",T23=0),"",IFERROR(ROUND((T22*100000)/(T23*60*8),0),""))</f>
        <v>0</v>
      </c>
      <c r="U13" s="11" t="str">
        <f>IF(OR(U22="",U23="",U23=0),"",IFERROR(ROUND((U22*100000)/(U23*60*8),0),""))</f>
        <v>0</v>
      </c>
      <c r="V13" s="11" t="str">
        <f>IF(OR(V22="",V23="",V23=0),"",IFERROR(ROUND((V22*100000)/(V23*60*8),0),""))</f>
        <v>0</v>
      </c>
      <c r="W13" s="11" t="str">
        <f>IF(OR(W22="",W23="",W23=0),"",IFERROR(ROUND((W22*100000)/(W23*60*8),0),""))</f>
        <v>0</v>
      </c>
      <c r="X13" s="11" t="str">
        <f>IF(OR(X22="",X23="",X23=0),"",IFERROR(ROUND((X22*100000)/(X23*60*8),0),""))</f>
        <v>0</v>
      </c>
      <c r="Y13" s="11" t="str">
        <f>IF(OR(Y22="",Y23="",Y23=0),"",IFERROR(ROUND((Y22*100000)/(Y23*60*8),0),""))</f>
        <v>0</v>
      </c>
      <c r="Z13" s="11" t="str">
        <f>IF(OR(Z22="",Z23="",Z23=0),"",IFERROR(ROUND((Z22*100000)/(Z23*60*8),0),""))</f>
        <v>0</v>
      </c>
      <c r="AA13" s="11" t="str">
        <f>IF(OR(AA22="",AA23="",AA23=0),"",IFERROR(ROUND((AA22*100000)/(AA23*60*8),0),""))</f>
        <v>0</v>
      </c>
      <c r="AB13" s="11" t="str">
        <f>IF(OR(AB22="",AB23="",AB23=0),"",IFERROR(ROUND((AB22*100000)/(AB23*60*8),0),""))</f>
        <v>0</v>
      </c>
      <c r="AC13" s="11" t="str">
        <f>IF(OR(AC22="",AC23="",AC23=0),"",IFERROR(ROUND((AC22*100000)/(AC23*60*8),0),""))</f>
        <v>0</v>
      </c>
      <c r="AD13" s="11" t="str">
        <f>IF(OR(AD22="",AD23="",AD23=0),"",IFERROR(ROUND((AD22*100000)/(AD23*60*8),0),""))</f>
        <v>0</v>
      </c>
      <c r="AE13" s="11" t="str">
        <f>IF(OR(AE22="",AE23="",AE23=0),"",IFERROR(ROUND((AE22*100000)/(AE23*60*8),0),""))</f>
        <v>0</v>
      </c>
      <c r="AF13" s="11" t="str">
        <f>IF(OR(AF22="",AF23="",AF23=0),"",IFERROR(ROUND((AF22*100000)/(AF23*60*8),0),""))</f>
        <v>0</v>
      </c>
      <c r="AG13" s="11" t="str">
        <f>IF(OR(AG22="",AG23="",AG23=0),"",IFERROR(ROUND((AG22*100000)/(AG23*60*8),0),""))</f>
        <v>0</v>
      </c>
      <c r="AH13" s="11" t="str">
        <f>IF(OR(AH22="",AH23="",AH23=0),"",IFERROR(ROUND((AH22*100000)/(AH23*60*8),0),""))</f>
        <v>0</v>
      </c>
      <c r="AI13" s="11" t="str">
        <f>IF(OR(AI22="",AI23="",AI23=0),"",IFERROR(ROUND((AI22*100000)/(AI23*60*8),0),""))</f>
        <v>0</v>
      </c>
      <c r="AJ13" s="7">
        <v>46084.0</v>
      </c>
      <c r="AK13" s="50" t="s">
        <v>2</v>
      </c>
      <c r="AL13" s="11" t="str">
        <f>IF(OR(AL21="",AL22="",AL22=0),"",IFERROR(ROUND((AL21*100000)/(AL22*60*8),0),""))</f>
        <v>0</v>
      </c>
      <c r="AM13" s="11" t="str">
        <f>IF(OR(AM21="",AM22="",AM22=0),"",IFERROR(ROUND((AM21*100000)/(AM22*60*8),0),""))</f>
        <v>0</v>
      </c>
      <c r="AN13" s="11" t="str">
        <f>IF(OR(AN21="",AN22="",AN22=0),"",IFERROR(ROUND((AN21*100000)/(AN22*60*8),0),""))</f>
        <v>0</v>
      </c>
      <c r="AO13" s="11" t="str">
        <f>IF(OR(AO21="",AO22="",AO22=0),"",IFERROR(ROUND((AO21*100000)/(AO22*60*8),0),""))</f>
        <v>0</v>
      </c>
      <c r="AP13" s="11" t="str">
        <f>IF(OR(AP21="",AP22="",AP22=0),"",IFERROR(ROUND((AP21*100000)/(AP22*60*8),0),""))</f>
        <v>0</v>
      </c>
      <c r="AQ13" s="11" t="str">
        <f>IF(OR(AQ21="",AQ22="",AQ22=0),"",IFERROR(ROUND((AQ21*100000)/(AQ22*60*8),0),""))</f>
        <v>0</v>
      </c>
      <c r="AS13" s="1" t="str">
        <f>SUM(N14:AI14)</f>
        <v>0</v>
      </c>
    </row>
    <row r="14" spans="1:45">
      <c r="A14" s="26"/>
      <c r="B14" s="49" t="s">
        <v>3</v>
      </c>
      <c r="C14" s="8"/>
      <c r="D14" s="8"/>
      <c r="E14" s="10"/>
      <c r="F14" s="8"/>
      <c r="G14" s="8"/>
      <c r="H14" s="8"/>
      <c r="I14" s="8"/>
      <c r="J14" s="8"/>
      <c r="K14" s="8"/>
      <c r="L14" s="27"/>
      <c r="M14" s="50" t="s">
        <v>3</v>
      </c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27"/>
      <c r="AK14" s="50" t="s">
        <v>3</v>
      </c>
      <c r="AL14" s="9"/>
      <c r="AM14" s="9"/>
      <c r="AN14" s="8"/>
      <c r="AO14" s="8"/>
      <c r="AP14" s="8"/>
      <c r="AQ14" s="8"/>
      <c r="AS14" s="1" t="str">
        <f>SUM(N15:AI15)</f>
        <v>0</v>
      </c>
    </row>
    <row r="15" spans="1:45">
      <c r="A15" s="26"/>
      <c r="B15" s="49" t="s">
        <v>4</v>
      </c>
      <c r="C15" s="8"/>
      <c r="D15" s="8"/>
      <c r="E15" s="10"/>
      <c r="F15" s="9"/>
      <c r="G15" s="9"/>
      <c r="H15" s="9"/>
      <c r="I15" s="9"/>
      <c r="J15" s="9"/>
      <c r="K15" s="8"/>
      <c r="L15" s="27"/>
      <c r="M15" s="50" t="s">
        <v>4</v>
      </c>
      <c r="N15" s="8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27"/>
      <c r="AK15" s="50" t="s">
        <v>4</v>
      </c>
      <c r="AL15" s="8"/>
      <c r="AM15" s="8"/>
      <c r="AN15" s="8"/>
      <c r="AO15" s="8"/>
      <c r="AP15" s="8"/>
      <c r="AQ15" s="8"/>
      <c r="AS15" s="1" t="str">
        <f>SUM(N16:AI16)</f>
        <v>0</v>
      </c>
    </row>
    <row r="16" spans="1:45">
      <c r="A16" s="26"/>
      <c r="B16" s="49" t="s">
        <v>5</v>
      </c>
      <c r="C16" s="8"/>
      <c r="D16" s="8"/>
      <c r="E16" s="10"/>
      <c r="F16" s="9"/>
      <c r="G16" s="9"/>
      <c r="H16" s="9"/>
      <c r="I16" s="9"/>
      <c r="J16" s="9"/>
      <c r="K16" s="8"/>
      <c r="L16" s="27"/>
      <c r="M16" s="50" t="s">
        <v>5</v>
      </c>
      <c r="N16" s="8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27"/>
      <c r="AK16" s="50" t="s">
        <v>5</v>
      </c>
      <c r="AL16" s="8"/>
      <c r="AM16" s="8"/>
      <c r="AN16" s="8"/>
      <c r="AO16" s="8"/>
      <c r="AP16" s="8"/>
      <c r="AQ16" s="8"/>
      <c r="AS16" s="1" t="str">
        <f>SUM(N17:AI17)</f>
        <v>0</v>
      </c>
    </row>
    <row r="17" spans="1:45">
      <c r="A17" s="26"/>
      <c r="B17" s="49" t="s">
        <v>6</v>
      </c>
      <c r="C17" s="8"/>
      <c r="D17" s="8"/>
      <c r="E17" s="10"/>
      <c r="F17" s="9"/>
      <c r="G17" s="9"/>
      <c r="H17" s="9"/>
      <c r="I17" s="9"/>
      <c r="J17" s="9"/>
      <c r="K17" s="8"/>
      <c r="L17" s="27"/>
      <c r="M17" s="50" t="s">
        <v>6</v>
      </c>
      <c r="N17" s="8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27"/>
      <c r="AK17" s="50" t="s">
        <v>7</v>
      </c>
      <c r="AL17" s="8"/>
      <c r="AM17" s="8"/>
      <c r="AN17" s="8"/>
      <c r="AO17" s="8"/>
      <c r="AP17" s="8"/>
      <c r="AQ17" s="8"/>
      <c r="AS17" s="1" t="str">
        <f>SUM(N18:AI18)</f>
        <v>0</v>
      </c>
    </row>
    <row r="18" spans="1:45">
      <c r="A18" s="26"/>
      <c r="B18" s="49" t="s">
        <v>7</v>
      </c>
      <c r="C18" s="8"/>
      <c r="D18" s="8"/>
      <c r="E18" s="10"/>
      <c r="F18" s="9"/>
      <c r="G18" s="9"/>
      <c r="H18" s="9"/>
      <c r="I18" s="9"/>
      <c r="J18" s="9"/>
      <c r="K18" s="8"/>
      <c r="L18" s="27"/>
      <c r="M18" s="50" t="s">
        <v>7</v>
      </c>
      <c r="N18" s="8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27"/>
      <c r="AK18" s="50" t="s">
        <v>8</v>
      </c>
      <c r="AL18" s="8"/>
      <c r="AM18" s="8"/>
      <c r="AN18" s="8"/>
      <c r="AO18" s="8"/>
      <c r="AP18" s="8"/>
      <c r="AQ18" s="8"/>
      <c r="AS18" s="1" t="str">
        <f>SUM(N19:AI19)</f>
        <v>0</v>
      </c>
    </row>
    <row r="19" spans="1:45">
      <c r="A19" s="28" t="s">
        <v>15</v>
      </c>
      <c r="B19" s="49" t="s">
        <v>10</v>
      </c>
      <c r="C19" s="8"/>
      <c r="D19" s="8"/>
      <c r="E19" s="10"/>
      <c r="F19" s="9"/>
      <c r="G19" s="9"/>
      <c r="H19" s="9"/>
      <c r="I19" s="9"/>
      <c r="J19" s="9"/>
      <c r="K19" s="8"/>
      <c r="L19" s="25" t="s">
        <v>15</v>
      </c>
      <c r="M19" s="50" t="s">
        <v>10</v>
      </c>
      <c r="N19" s="8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7" t="s">
        <v>15</v>
      </c>
      <c r="AK19" s="50" t="s">
        <v>11</v>
      </c>
      <c r="AL19" s="8"/>
      <c r="AM19" s="8"/>
      <c r="AN19" s="8"/>
      <c r="AO19" s="8"/>
      <c r="AP19" s="8"/>
      <c r="AQ19" s="8"/>
      <c r="AS19" s="1" t="str">
        <f>SUM(N20:AI20)</f>
        <v>0</v>
      </c>
    </row>
    <row r="20" spans="1:45">
      <c r="A20" s="28"/>
      <c r="B20" s="49" t="s">
        <v>11</v>
      </c>
      <c r="C20" s="8"/>
      <c r="D20" s="8"/>
      <c r="E20" s="10"/>
      <c r="F20" s="9"/>
      <c r="G20" s="9"/>
      <c r="H20" s="9"/>
      <c r="I20" s="9"/>
      <c r="J20" s="9"/>
      <c r="K20" s="8"/>
      <c r="L20" s="25"/>
      <c r="M20" s="50" t="s">
        <v>11</v>
      </c>
      <c r="N20" s="8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27"/>
      <c r="AK20" s="50" t="s">
        <v>12</v>
      </c>
      <c r="AL20" s="8"/>
      <c r="AM20" s="8"/>
      <c r="AN20" s="8"/>
      <c r="AO20" s="8"/>
      <c r="AP20" s="8"/>
      <c r="AQ20" s="8"/>
    </row>
    <row r="21" spans="1:45">
      <c r="A21" s="28"/>
      <c r="B21" s="49" t="s">
        <v>12</v>
      </c>
      <c r="C21" s="8"/>
      <c r="D21" s="8"/>
      <c r="E21" s="10"/>
      <c r="F21" s="9"/>
      <c r="G21" s="9"/>
      <c r="H21" s="9"/>
      <c r="I21" s="9"/>
      <c r="J21" s="9"/>
      <c r="K21" s="8"/>
      <c r="L21" s="25"/>
      <c r="M21" s="50" t="s">
        <v>12</v>
      </c>
      <c r="N21" s="8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27"/>
      <c r="AK21" s="50" t="s">
        <v>13</v>
      </c>
      <c r="AL21" s="8"/>
      <c r="AM21" s="8"/>
      <c r="AN21" s="8"/>
      <c r="AO21" s="8"/>
      <c r="AP21" s="8"/>
      <c r="AQ21" s="8"/>
    </row>
    <row r="22" spans="1:45">
      <c r="A22" s="28"/>
      <c r="B22" s="49" t="s">
        <v>13</v>
      </c>
      <c r="C22" s="8"/>
      <c r="D22" s="8"/>
      <c r="E22" s="10"/>
      <c r="F22" s="8"/>
      <c r="G22" s="8"/>
      <c r="H22" s="8"/>
      <c r="I22" s="8"/>
      <c r="J22" s="8"/>
      <c r="K22" s="8"/>
      <c r="L22" s="25"/>
      <c r="M22" s="50" t="s">
        <v>13</v>
      </c>
      <c r="N22" s="8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27"/>
      <c r="AK22" s="50" t="s">
        <v>14</v>
      </c>
      <c r="AL22" s="8"/>
      <c r="AM22" s="8"/>
      <c r="AN22" s="8"/>
      <c r="AO22" s="8"/>
      <c r="AP22" s="8"/>
      <c r="AQ22" s="8"/>
    </row>
    <row r="23" spans="1:45">
      <c r="A23" s="28"/>
      <c r="B23" s="49" t="s">
        <v>16</v>
      </c>
      <c r="C23" s="8"/>
      <c r="D23" s="8"/>
      <c r="E23" s="10"/>
      <c r="F23" s="8"/>
      <c r="G23" s="8"/>
      <c r="H23" s="8"/>
      <c r="I23" s="8"/>
      <c r="J23" s="8"/>
      <c r="K23" s="8"/>
      <c r="L23" s="25"/>
      <c r="M23" s="50" t="s">
        <v>14</v>
      </c>
      <c r="N23" s="8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K23" s="49"/>
      <c r="AL23" s="8"/>
      <c r="AM23" s="8"/>
      <c r="AN23" s="8"/>
      <c r="AO23" s="8"/>
      <c r="AP23" s="8"/>
      <c r="AQ23" s="8"/>
    </row>
    <row r="24" spans="1:45">
      <c r="A24" s="26">
        <v>46084.0</v>
      </c>
      <c r="B24" s="49" t="s">
        <v>2</v>
      </c>
      <c r="C24" s="11" t="str">
        <f>IF(OR(C33="",C34="",C34=0),"",IFERROR(ROUND((C33*100000)/(C34*60*8),0),""))</f>
        <v>0</v>
      </c>
      <c r="D24" s="11" t="str">
        <f>IF(OR(D33="",D34="",D34=0),"",IFERROR(ROUND((D33*100000)/(D34*60*8),0),""))</f>
        <v>0</v>
      </c>
      <c r="E24" s="11" t="str">
        <f>IF(OR(E33="",E34="",E34=0),"",IFERROR(ROUND((E33*100000)/(E34*60*8),0),""))</f>
        <v>0</v>
      </c>
      <c r="F24" s="11" t="str">
        <f>IF(OR(F33="",F34="",F34=0),"",IFERROR(ROUND((F33*100000)/(F34*60*8),0),""))</f>
        <v>0</v>
      </c>
      <c r="G24" s="11" t="str">
        <f>IF(OR(G33="",G34="",G34=0),"",IFERROR(ROUND((G33*100000)/(G34*60*8),0),""))</f>
        <v>0</v>
      </c>
      <c r="H24" s="11" t="str">
        <f>IF(OR(H33="",H34="",H34=0),"",IFERROR(ROUND((H33*100000)/(H34*60*8),0),""))</f>
        <v>0</v>
      </c>
      <c r="I24" s="11" t="str">
        <f>IF(OR(I33="",I34="",I34=0),"",IFERROR(ROUND((I33*100000)/(I34*60*8),0),""))</f>
        <v>0</v>
      </c>
      <c r="J24" s="11" t="str">
        <f>IF(OR(J33="",J34="",J34=0),"",IFERROR(ROUND((J33*100000)/(J34*60*8),0),""))</f>
        <v>0</v>
      </c>
      <c r="K24" s="11" t="str">
        <f>IF(OR(K33="",K34="",K34=0),"",IFERROR(ROUND((K33*100000)/(K34*60*8),0),""))</f>
        <v>0</v>
      </c>
      <c r="L24" s="7">
        <v>46084.0</v>
      </c>
      <c r="M24" s="50" t="s">
        <v>2</v>
      </c>
      <c r="N24" s="11" t="str">
        <f>IF(OR(N33="",N34="",N34=0),"",IFERROR(ROUND((N33*100000)/(N34*60*8),0),""))</f>
        <v>0</v>
      </c>
      <c r="O24" s="11" t="str">
        <f>IF(OR(O33="",O34="",O34=0),"",IFERROR(ROUND((O33*100000)/(O34*60*8),0),""))</f>
        <v>0</v>
      </c>
      <c r="P24" s="11" t="str">
        <f>IF(OR(P33="",P34="",P34=0),"",IFERROR(ROUND((P33*100000)/(P34*60*8),0),""))</f>
        <v>0</v>
      </c>
      <c r="Q24" s="11" t="str">
        <f>IF(OR(Q33="",Q34="",Q34=0),"",IFERROR(ROUND((Q33*100000)/(Q34*60*8),0),""))</f>
        <v>0</v>
      </c>
      <c r="R24" s="11" t="str">
        <f>IF(OR(R33="",R34="",R34=0),"",IFERROR(ROUND((R33*100000)/(R34*60*8),0),""))</f>
        <v>0</v>
      </c>
      <c r="S24" s="11" t="str">
        <f>IF(OR(S33="",S34="",S34=0),"",IFERROR(ROUND((S33*100000)/(S34*60*8),0),""))</f>
        <v>0</v>
      </c>
      <c r="T24" s="11" t="str">
        <f>IF(OR(T33="",T34="",T34=0),"",IFERROR(ROUND((T33*100000)/(T34*60*8),0),""))</f>
        <v>0</v>
      </c>
      <c r="U24" s="11" t="str">
        <f>IF(OR(U33="",U34="",U34=0),"",IFERROR(ROUND((U33*100000)/(U34*60*8),0),""))</f>
        <v>0</v>
      </c>
      <c r="V24" s="11" t="str">
        <f>IF(OR(V33="",V34="",V34=0),"",IFERROR(ROUND((V33*100000)/(V34*60*8),0),""))</f>
        <v>0</v>
      </c>
      <c r="W24" s="11" t="str">
        <f>IF(OR(W33="",W34="",W34=0),"",IFERROR(ROUND((W33*100000)/(W34*60*8),0),""))</f>
        <v>0</v>
      </c>
      <c r="X24" s="11" t="str">
        <f>IF(OR(X33="",X34="",X34=0),"",IFERROR(ROUND((X33*100000)/(X34*60*8),0),""))</f>
        <v>0</v>
      </c>
      <c r="Y24" s="11" t="str">
        <f>IF(OR(Y33="",Y34="",Y34=0),"",IFERROR(ROUND((Y33*100000)/(Y34*60*8),0),""))</f>
        <v>0</v>
      </c>
      <c r="Z24" s="11" t="str">
        <f>IF(OR(Z33="",Z34="",Z34=0),"",IFERROR(ROUND((Z33*100000)/(Z34*60*8),0),""))</f>
        <v>0</v>
      </c>
      <c r="AA24" s="11" t="str">
        <f>IF(OR(AA33="",AA34="",AA34=0),"",IFERROR(ROUND((AA33*100000)/(AA34*60*8),0),""))</f>
        <v>0</v>
      </c>
      <c r="AB24" s="11" t="str">
        <f>IF(OR(AB33="",AB34="",AB34=0),"",IFERROR(ROUND((AB33*100000)/(AB34*60*8),0),""))</f>
        <v>0</v>
      </c>
      <c r="AC24" s="11" t="str">
        <f>IF(OR(AC33="",AC34="",AC34=0),"",IFERROR(ROUND((AC33*100000)/(AC34*60*8),0),""))</f>
        <v>0</v>
      </c>
      <c r="AD24" s="11" t="str">
        <f>IF(OR(AD33="",AD34="",AD34=0),"",IFERROR(ROUND((AD33*100000)/(AD34*60*8),0),""))</f>
        <v>0</v>
      </c>
      <c r="AE24" s="11" t="str">
        <f>IF(OR(AE33="",AE34="",AE34=0),"",IFERROR(ROUND((AE33*100000)/(AE34*60*8),0),""))</f>
        <v>0</v>
      </c>
      <c r="AF24" s="11" t="str">
        <f>IF(OR(AF33="",AF34="",AF34=0),"",IFERROR(ROUND((AF33*100000)/(AF34*60*8),0),""))</f>
        <v>0</v>
      </c>
      <c r="AG24" s="11" t="str">
        <f>IF(OR(AG33="",AG34="",AG34=0),"",IFERROR(ROUND((AG33*100000)/(AG34*60*8),0),""))</f>
        <v>0</v>
      </c>
      <c r="AH24" s="11" t="str">
        <f>IF(OR(AH33="",AH34="",AH34=0),"",IFERROR(ROUND((AH33*100000)/(AH34*60*8),0),""))</f>
        <v>0</v>
      </c>
      <c r="AI24" s="11" t="str">
        <f>IF(OR(AI33="",AI34="",AI34=0),"",IFERROR(ROUND((AI33*100000)/(AI34*60*8),0),""))</f>
        <v>0</v>
      </c>
      <c r="AJ24" s="7">
        <v>46084.0</v>
      </c>
      <c r="AK24" s="50" t="s">
        <v>2</v>
      </c>
      <c r="AL24" s="11" t="str">
        <f>IF(OR(AL32="",AL33="",AL33=0),"",IFERROR(ROUND((AL32*100000)/(AL33*60*8),0),""))</f>
        <v>0</v>
      </c>
      <c r="AM24" s="11" t="str">
        <f>IF(OR(AM32="",AM33="",AM33=0),"",IFERROR(ROUND((AM32*100000)/(AM33*60*8),0),""))</f>
        <v>0</v>
      </c>
      <c r="AN24" s="11" t="str">
        <f>IF(OR(AN32="",AN33="",AN33=0),"",IFERROR(ROUND((AN32*100000)/(AN33*60*8),0),""))</f>
        <v>0</v>
      </c>
      <c r="AO24" s="11" t="str">
        <f>IF(OR(AO32="",AO33="",AO33=0),"",IFERROR(ROUND((AO32*100000)/(AO33*60*8),0),""))</f>
        <v>0</v>
      </c>
      <c r="AP24" s="11" t="str">
        <f>IF(OR(AP32="",AP33="",AP33=0),"",IFERROR(ROUND((AP32*100000)/(AP33*60*8),0),""))</f>
        <v>0</v>
      </c>
      <c r="AQ24" s="11" t="str">
        <f>IF(OR(AQ32="",AQ33="",AQ33=0),"",IFERROR(ROUND((AQ32*100000)/(AQ33*60*8),0),""))</f>
        <v>0</v>
      </c>
      <c r="AS24" s="1" t="str">
        <f>SUM(N25:AI25)</f>
        <v>0</v>
      </c>
    </row>
    <row r="25" spans="1:45">
      <c r="A25" s="26"/>
      <c r="B25" s="49" t="s">
        <v>3</v>
      </c>
      <c r="C25" s="9"/>
      <c r="D25" s="9"/>
      <c r="E25" s="9"/>
      <c r="F25" s="9"/>
      <c r="G25" s="9"/>
      <c r="H25" s="8"/>
      <c r="I25" s="8"/>
      <c r="J25" s="8"/>
      <c r="K25" s="8"/>
      <c r="L25" s="27"/>
      <c r="M25" s="50" t="s">
        <v>3</v>
      </c>
      <c r="N25" s="11">
        <v>25</v>
      </c>
      <c r="O25" s="11">
        <v>26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27"/>
      <c r="AK25" s="50" t="s">
        <v>3</v>
      </c>
      <c r="AL25" s="8"/>
      <c r="AM25" s="8"/>
      <c r="AN25" s="8"/>
      <c r="AO25" s="8"/>
      <c r="AP25" s="8"/>
      <c r="AQ25" s="8"/>
      <c r="AS25" s="1" t="str">
        <f>SUM(N26:AI26)</f>
        <v>0</v>
      </c>
    </row>
    <row r="26" spans="1:45">
      <c r="A26" s="26"/>
      <c r="B26" s="50" t="s">
        <v>4</v>
      </c>
      <c r="C26" s="9"/>
      <c r="D26" s="9"/>
      <c r="E26" s="9"/>
      <c r="F26" s="9"/>
      <c r="G26" s="9"/>
      <c r="H26" s="8"/>
      <c r="I26" s="8"/>
      <c r="J26" s="8"/>
      <c r="K26" s="8"/>
      <c r="L26" s="27"/>
      <c r="M26" s="50" t="s">
        <v>4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27"/>
      <c r="AK26" s="50" t="s">
        <v>4</v>
      </c>
      <c r="AL26" s="8"/>
      <c r="AM26" s="8"/>
      <c r="AN26" s="8"/>
      <c r="AO26" s="8"/>
      <c r="AP26" s="8"/>
      <c r="AQ26" s="8"/>
      <c r="AS26" s="1" t="str">
        <f>SUM(N27:AI27)</f>
        <v>0</v>
      </c>
    </row>
    <row r="27" spans="1:45">
      <c r="A27" s="26"/>
      <c r="B27" s="49" t="s">
        <v>5</v>
      </c>
      <c r="C27" s="9"/>
      <c r="D27" s="9"/>
      <c r="E27" s="9"/>
      <c r="F27" s="9"/>
      <c r="G27" s="9"/>
      <c r="H27" s="8"/>
      <c r="I27" s="8"/>
      <c r="J27" s="8"/>
      <c r="K27" s="8"/>
      <c r="L27" s="27"/>
      <c r="M27" s="50" t="s">
        <v>5</v>
      </c>
      <c r="N27" s="11">
        <v>9</v>
      </c>
      <c r="O27" s="11">
        <v>10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27"/>
      <c r="AK27" s="50" t="s">
        <v>5</v>
      </c>
      <c r="AL27" s="8"/>
      <c r="AM27" s="8"/>
      <c r="AN27" s="8"/>
      <c r="AO27" s="8"/>
      <c r="AP27" s="8"/>
      <c r="AQ27" s="8"/>
      <c r="AS27" s="1" t="str">
        <f>SUM(N28:AI28)</f>
        <v>0</v>
      </c>
    </row>
    <row r="28" spans="1:45">
      <c r="A28" s="26"/>
      <c r="B28" s="49" t="s">
        <v>6</v>
      </c>
      <c r="C28" s="9"/>
      <c r="D28" s="9"/>
      <c r="E28" s="9"/>
      <c r="F28" s="9"/>
      <c r="G28" s="9"/>
      <c r="H28" s="8"/>
      <c r="I28" s="8"/>
      <c r="J28" s="8"/>
      <c r="K28" s="8"/>
      <c r="L28" s="27"/>
      <c r="M28" s="50" t="s">
        <v>6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27"/>
      <c r="AK28" s="50" t="s">
        <v>7</v>
      </c>
      <c r="AL28" s="8"/>
      <c r="AM28" s="8"/>
      <c r="AN28" s="8"/>
      <c r="AO28" s="8"/>
      <c r="AP28" s="8"/>
      <c r="AQ28" s="8"/>
      <c r="AS28" s="1" t="str">
        <f>SUM(N29:AI29)</f>
        <v>0</v>
      </c>
    </row>
    <row r="29" spans="1:45">
      <c r="A29" s="26"/>
      <c r="B29" s="49" t="s">
        <v>7</v>
      </c>
      <c r="C29" s="9"/>
      <c r="D29" s="9"/>
      <c r="E29" s="9"/>
      <c r="F29" s="9"/>
      <c r="G29" s="9"/>
      <c r="H29" s="8"/>
      <c r="I29" s="8"/>
      <c r="J29" s="8"/>
      <c r="K29" s="8"/>
      <c r="L29" s="27"/>
      <c r="M29" s="50" t="s">
        <v>7</v>
      </c>
      <c r="N29" s="11">
        <v>7</v>
      </c>
      <c r="O29" s="11">
        <v>8</v>
      </c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27"/>
      <c r="AK29" s="50" t="s">
        <v>8</v>
      </c>
      <c r="AL29" s="8"/>
      <c r="AM29" s="8"/>
      <c r="AN29" s="8"/>
      <c r="AO29" s="8"/>
      <c r="AP29" s="8"/>
      <c r="AQ29" s="8"/>
      <c r="AS29" s="1" t="str">
        <f>SUM(N30:AI30)</f>
        <v>0</v>
      </c>
    </row>
    <row r="30" spans="1:45">
      <c r="A30" s="28" t="s">
        <v>17</v>
      </c>
      <c r="B30" s="49" t="s">
        <v>10</v>
      </c>
      <c r="C30" s="9"/>
      <c r="D30" s="9"/>
      <c r="E30" s="9"/>
      <c r="F30" s="9"/>
      <c r="G30" s="9"/>
      <c r="H30" s="8"/>
      <c r="I30" s="8"/>
      <c r="J30" s="8"/>
      <c r="K30" s="8"/>
      <c r="L30" s="25" t="s">
        <v>17</v>
      </c>
      <c r="M30" s="50" t="s">
        <v>10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7" t="s">
        <v>17</v>
      </c>
      <c r="AK30" s="50" t="s">
        <v>11</v>
      </c>
      <c r="AL30" s="8"/>
      <c r="AM30" s="8"/>
      <c r="AN30" s="8"/>
      <c r="AO30" s="8"/>
      <c r="AP30" s="8"/>
      <c r="AQ30" s="8"/>
      <c r="AS30" s="1" t="str">
        <f>SUM(N31:AI31)</f>
        <v>0</v>
      </c>
    </row>
    <row r="31" spans="1:45">
      <c r="A31" s="28"/>
      <c r="B31" s="49" t="s">
        <v>11</v>
      </c>
      <c r="C31" s="9"/>
      <c r="D31" s="9"/>
      <c r="E31" s="9"/>
      <c r="F31" s="9"/>
      <c r="G31" s="9"/>
      <c r="H31" s="8"/>
      <c r="I31" s="8"/>
      <c r="J31" s="8"/>
      <c r="K31" s="8"/>
      <c r="L31" s="25"/>
      <c r="M31" s="50" t="s">
        <v>11</v>
      </c>
      <c r="N31" s="11">
        <v>6</v>
      </c>
      <c r="O31" s="11">
        <v>7</v>
      </c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27"/>
      <c r="AK31" s="50" t="s">
        <v>12</v>
      </c>
      <c r="AL31" s="8"/>
      <c r="AM31" s="8"/>
      <c r="AN31" s="8"/>
      <c r="AO31" s="8"/>
      <c r="AP31" s="8"/>
      <c r="AQ31" s="8"/>
    </row>
    <row r="32" spans="1:45">
      <c r="A32" s="28"/>
      <c r="B32" s="49" t="s">
        <v>12</v>
      </c>
      <c r="C32" s="9"/>
      <c r="D32" s="9"/>
      <c r="E32" s="9"/>
      <c r="F32" s="9"/>
      <c r="G32" s="9"/>
      <c r="H32" s="8"/>
      <c r="I32" s="8"/>
      <c r="J32" s="8"/>
      <c r="K32" s="8"/>
      <c r="L32" s="25"/>
      <c r="M32" s="50" t="s">
        <v>12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27"/>
      <c r="AK32" s="50" t="s">
        <v>13</v>
      </c>
      <c r="AL32" s="8"/>
      <c r="AM32" s="8"/>
      <c r="AN32" s="8"/>
      <c r="AO32" s="8"/>
      <c r="AP32" s="8"/>
      <c r="AQ32" s="8"/>
    </row>
    <row r="33" spans="1:45">
      <c r="A33" s="28"/>
      <c r="B33" s="49" t="s">
        <v>13</v>
      </c>
      <c r="C33" s="9"/>
      <c r="D33" s="9"/>
      <c r="E33" s="9"/>
      <c r="F33" s="9"/>
      <c r="G33" s="9"/>
      <c r="H33" s="8"/>
      <c r="I33" s="8"/>
      <c r="J33" s="8"/>
      <c r="K33" s="8"/>
      <c r="L33" s="25"/>
      <c r="M33" s="50" t="s">
        <v>13</v>
      </c>
      <c r="N33" s="11">
        <v>119</v>
      </c>
      <c r="O33" s="11">
        <v>120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27"/>
      <c r="AK33" s="50" t="s">
        <v>14</v>
      </c>
      <c r="AL33" s="8"/>
      <c r="AM33" s="8"/>
      <c r="AN33" s="8"/>
      <c r="AO33" s="8"/>
      <c r="AP33" s="8"/>
      <c r="AQ33" s="8"/>
    </row>
    <row r="34" spans="1:45" customHeight="1" ht="15.75">
      <c r="A34" s="29"/>
      <c r="B34" s="52" t="s">
        <v>14</v>
      </c>
      <c r="C34" s="9"/>
      <c r="D34" s="9"/>
      <c r="E34" s="9"/>
      <c r="F34" s="9"/>
      <c r="G34" s="9"/>
      <c r="H34" s="8"/>
      <c r="I34" s="8"/>
      <c r="J34" s="8"/>
      <c r="K34" s="8"/>
      <c r="L34" s="25"/>
      <c r="M34" s="50" t="s">
        <v>14</v>
      </c>
      <c r="N34" s="11">
        <v>299</v>
      </c>
      <c r="O34" s="11">
        <v>300</v>
      </c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K34" s="49"/>
      <c r="AL34" s="8"/>
      <c r="AM34" s="8"/>
      <c r="AN34" s="8"/>
      <c r="AO34" s="8"/>
      <c r="AP34" s="8"/>
      <c r="AQ34" s="8"/>
    </row>
    <row r="35" spans="1:45">
      <c r="A35" s="42"/>
      <c r="B35" s="48" t="s">
        <v>1</v>
      </c>
      <c r="C35" s="65">
        <v>201</v>
      </c>
      <c r="D35" s="65" t="str">
        <f>+C35+1</f>
        <v>0</v>
      </c>
      <c r="E35" s="65" t="str">
        <f>+D35+1</f>
        <v>0</v>
      </c>
      <c r="F35" s="65" t="str">
        <f>+E35+1</f>
        <v>0</v>
      </c>
      <c r="G35" s="65" t="str">
        <f>+F35+1</f>
        <v>0</v>
      </c>
      <c r="H35" s="65" t="str">
        <f>+G35+1</f>
        <v>0</v>
      </c>
      <c r="I35" s="65">
        <v>213</v>
      </c>
      <c r="J35" s="65" t="str">
        <f>+I35+1</f>
        <v>0</v>
      </c>
      <c r="K35" s="65" t="str">
        <f>+J35+1</f>
        <v>0</v>
      </c>
      <c r="L35" s="43"/>
      <c r="M35" s="48" t="s">
        <v>1</v>
      </c>
      <c r="N35" s="65">
        <v>299</v>
      </c>
      <c r="O35" s="65" t="str">
        <f>+N35+1</f>
        <v>0</v>
      </c>
      <c r="P35" s="65" t="str">
        <f>+O35+1</f>
        <v>0</v>
      </c>
      <c r="Q35" s="65" t="str">
        <f>+P35+1</f>
        <v>0</v>
      </c>
      <c r="R35" s="65" t="str">
        <f>+Q35+1</f>
        <v>0</v>
      </c>
      <c r="S35" s="65" t="str">
        <f>+R35+1</f>
        <v>0</v>
      </c>
      <c r="T35" s="65" t="str">
        <f>+S35+1</f>
        <v>0</v>
      </c>
      <c r="U35" s="65" t="str">
        <f>+T35+1</f>
        <v>0</v>
      </c>
      <c r="V35" s="65" t="str">
        <f>+U35+1</f>
        <v>0</v>
      </c>
      <c r="W35" s="65" t="str">
        <f>+V35+1</f>
        <v>0</v>
      </c>
      <c r="X35" s="65" t="str">
        <f>+W35+1</f>
        <v>0</v>
      </c>
      <c r="Y35" s="65" t="str">
        <f>+X35+1</f>
        <v>0</v>
      </c>
      <c r="Z35" s="65" t="str">
        <f>+Y35+1</f>
        <v>0</v>
      </c>
      <c r="AA35" s="65" t="str">
        <f>+Z35+1</f>
        <v>0</v>
      </c>
      <c r="AB35" s="65" t="str">
        <f>+AA35+1</f>
        <v>0</v>
      </c>
      <c r="AC35" s="65" t="str">
        <f>+AB35+1</f>
        <v>0</v>
      </c>
      <c r="AD35" s="65" t="str">
        <f>+AC35+1</f>
        <v>0</v>
      </c>
      <c r="AE35" s="65" t="str">
        <f>+AD35+1</f>
        <v>0</v>
      </c>
      <c r="AF35" s="65" t="str">
        <f>+AE35+1</f>
        <v>0</v>
      </c>
      <c r="AG35" s="65" t="str">
        <f>+AF35+1</f>
        <v>0</v>
      </c>
      <c r="AH35" s="65" t="str">
        <f>+AG35+1</f>
        <v>0</v>
      </c>
      <c r="AI35" s="65" t="str">
        <f>+AH35+1</f>
        <v>0</v>
      </c>
      <c r="AJ35" s="43"/>
      <c r="AK35" s="57" t="s">
        <v>1</v>
      </c>
      <c r="AL35" s="65">
        <v>207</v>
      </c>
      <c r="AM35" s="65" t="str">
        <f>+AL35+1</f>
        <v>0</v>
      </c>
      <c r="AN35" s="65" t="str">
        <f>+AM35+1</f>
        <v>0</v>
      </c>
      <c r="AO35" s="65" t="str">
        <f>+AN35+1</f>
        <v>0</v>
      </c>
      <c r="AP35" s="65" t="str">
        <f>+AO35+1</f>
        <v>0</v>
      </c>
      <c r="AQ35" s="65" t="str">
        <f>+AP35+1</f>
        <v>0</v>
      </c>
    </row>
    <row r="36" spans="1:45">
      <c r="A36" s="34"/>
      <c r="B36" s="49" t="s">
        <v>2</v>
      </c>
      <c r="C36" s="11" t="str">
        <f>IF(OR(C45="",C46="",C46=0),"",IFERROR(ROUND((C45*100000)/(C46*60*8),0),""))</f>
        <v>0</v>
      </c>
      <c r="D36" s="11" t="str">
        <f>IF(OR(D45="",D46="",D46=0),"",IFERROR(ROUND((D45*100000)/(D46*60*8),0),""))</f>
        <v>0</v>
      </c>
      <c r="E36" s="11" t="str">
        <f>IF(OR(E45="",E46="",E46=0),"",IFERROR(ROUND((E45*100000)/(E46*60*8),0),""))</f>
        <v>0</v>
      </c>
      <c r="F36" s="11" t="str">
        <f>IF(OR(F45="",F46="",F46=0),"",IFERROR(ROUND((F45*100000)/(F46*60*8),0),""))</f>
        <v>0</v>
      </c>
      <c r="G36" s="11" t="str">
        <f>IF(OR(G45="",G46="",G46=0),"",IFERROR(ROUND((G45*100000)/(G46*60*8),0),""))</f>
        <v>0</v>
      </c>
      <c r="H36" s="11" t="str">
        <f>IF(OR(H45="",H46="",H46=0),"",IFERROR(ROUND((H45*100000)/(H46*60*8),0),""))</f>
        <v>0</v>
      </c>
      <c r="I36" s="11" t="str">
        <f>IF(OR(I45="",I46="",I46=0),"",IFERROR(ROUND((I45*100000)/(I46*60*8),0),""))</f>
        <v>0</v>
      </c>
      <c r="J36" s="11" t="str">
        <f>IF(OR(J45="",J46="",J46=0),"",IFERROR(ROUND((J45*100000)/(J46*60*8),0),""))</f>
        <v>0</v>
      </c>
      <c r="K36" s="11" t="str">
        <f>IF(OR(K45="",K46="",K46=0),"",IFERROR(ROUND((K45*100000)/(K46*60*8),0),""))</f>
        <v>0</v>
      </c>
      <c r="L36" s="36"/>
      <c r="M36" s="50" t="s">
        <v>2</v>
      </c>
      <c r="N36" s="11" t="str">
        <f>IF(OR(N45="",N46="",N46=0),"",IFERROR(ROUND((N45*100000)/(N46*60*8),0),""))</f>
        <v>0</v>
      </c>
      <c r="O36" s="11" t="str">
        <f>IF(OR(O45="",O46="",O46=0),"",IFERROR(ROUND((O45*100000)/(O46*60*8),0),""))</f>
        <v>0</v>
      </c>
      <c r="P36" s="11" t="str">
        <f>IF(OR(P45="",P46="",P46=0),"",IFERROR(ROUND((P45*100000)/(P46*60*8),0),""))</f>
        <v>0</v>
      </c>
      <c r="Q36" s="11" t="str">
        <f>IF(OR(Q45="",Q46="",Q46=0),"",IFERROR(ROUND((Q45*100000)/(Q46*60*8),0),""))</f>
        <v>0</v>
      </c>
      <c r="R36" s="11" t="str">
        <f>IF(OR(R45="",R46="",R46=0),"",IFERROR(ROUND((R45*100000)/(R46*60*8),0),""))</f>
        <v>0</v>
      </c>
      <c r="S36" s="11" t="str">
        <f>IF(OR(S45="",S46="",S46=0),"",IFERROR(ROUND((S45*100000)/(S46*60*8),0),""))</f>
        <v>0</v>
      </c>
      <c r="T36" s="11" t="str">
        <f>IF(OR(T45="",T46="",T46=0),"",IFERROR(ROUND((T45*100000)/(T46*60*8),0),""))</f>
        <v>0</v>
      </c>
      <c r="U36" s="11" t="str">
        <f>IF(OR(U45="",U46="",U46=0),"",IFERROR(ROUND((U45*100000)/(U46*60*8),0),""))</f>
        <v>0</v>
      </c>
      <c r="V36" s="11" t="str">
        <f>IF(OR(V45="",V46="",V46=0),"",IFERROR(ROUND((V45*100000)/(V46*60*8),0),""))</f>
        <v>0</v>
      </c>
      <c r="W36" s="11" t="str">
        <f>IF(OR(W45="",W46="",W46=0),"",IFERROR(ROUND((W45*100000)/(W46*60*8),0),""))</f>
        <v>0</v>
      </c>
      <c r="X36" s="11" t="str">
        <f>IF(OR(X45="",X46="",X46=0),"",IFERROR(ROUND((X45*100000)/(X46*60*8),0),""))</f>
        <v>0</v>
      </c>
      <c r="Y36" s="11" t="str">
        <f>IF(OR(Y45="",Y46="",Y46=0),"",IFERROR(ROUND((Y45*100000)/(Y46*60*8),0),""))</f>
        <v>0</v>
      </c>
      <c r="Z36" s="11" t="str">
        <f>IF(OR(Z45="",Z46="",Z46=0),"",IFERROR(ROUND((Z45*100000)/(Z46*60*8),0),""))</f>
        <v>0</v>
      </c>
      <c r="AA36" s="11" t="str">
        <f>IF(OR(AA45="",AA46="",AA46=0),"",IFERROR(ROUND((AA45*100000)/(AA46*60*8),0),""))</f>
        <v>0</v>
      </c>
      <c r="AB36" s="11" t="str">
        <f>IF(OR(AB45="",AB46="",AB46=0),"",IFERROR(ROUND((AB45*100000)/(AB46*60*8),0),""))</f>
        <v>0</v>
      </c>
      <c r="AC36" s="11" t="str">
        <f>IF(OR(AC45="",AC46="",AC46=0),"",IFERROR(ROUND((AC45*100000)/(AC46*60*8),0),""))</f>
        <v>0</v>
      </c>
      <c r="AD36" s="11" t="str">
        <f>IF(OR(AD45="",AD46="",AD46=0),"",IFERROR(ROUND((AD45*100000)/(AD46*60*8),0),""))</f>
        <v>0</v>
      </c>
      <c r="AE36" s="11" t="str">
        <f>IF(OR(AE45="",AE46="",AE46=0),"",IFERROR(ROUND((AE45*100000)/(AE46*60*8),0),""))</f>
        <v>0</v>
      </c>
      <c r="AF36" s="11" t="str">
        <f>IF(OR(AF45="",AF46="",AF46=0),"",IFERROR(ROUND((AF45*100000)/(AF46*60*8),0),""))</f>
        <v>0</v>
      </c>
      <c r="AG36" s="11" t="str">
        <f>IF(OR(AG45="",AG46="",AG46=0),"",IFERROR(ROUND((AG45*100000)/(AG46*60*8),0),""))</f>
        <v>0</v>
      </c>
      <c r="AH36" s="11" t="str">
        <f>IF(OR(AH45="",AH46="",AH46=0),"",IFERROR(ROUND((AH45*100000)/(AH46*60*8),0),""))</f>
        <v>0</v>
      </c>
      <c r="AI36" s="11" t="str">
        <f>IF(OR(AI45="",AI46="",AI46=0),"",IFERROR(ROUND((AI45*100000)/(AI46*60*8),0),""))</f>
        <v>0</v>
      </c>
      <c r="AJ36" s="36"/>
      <c r="AK36" s="50" t="s">
        <v>2</v>
      </c>
      <c r="AL36" s="11" t="str">
        <f>IF(OR(AL44="",AL45="",AL45=0),"",IFERROR(ROUND((AL44*100000)/(AL45*60*8),0),""))</f>
        <v>0</v>
      </c>
      <c r="AM36" s="11" t="str">
        <f>IF(OR(AM44="",AM45="",AM45=0),"",IFERROR(ROUND((AM44*100000)/(AM45*60*8),0),""))</f>
        <v>0</v>
      </c>
      <c r="AN36" s="11" t="str">
        <f>IF(OR(AN44="",AN45="",AN45=0),"",IFERROR(ROUND((AN44*100000)/(AN45*60*8),0),""))</f>
        <v>0</v>
      </c>
      <c r="AO36" s="11" t="str">
        <f>IF(OR(AO44="",AO45="",AO45=0),"",IFERROR(ROUND((AO44*100000)/(AO45*60*8),0),""))</f>
        <v>0</v>
      </c>
      <c r="AP36" s="11" t="str">
        <f>IF(OR(AP44="",AP45="",AP45=0),"",IFERROR(ROUND((AP44*100000)/(AP45*60*8),0),""))</f>
        <v>0</v>
      </c>
      <c r="AQ36" s="11" t="str">
        <f>IF(OR(AQ44="",AQ45="",AQ45=0),"",IFERROR(ROUND((AQ44*100000)/(AQ45*60*8),0),""))</f>
        <v>0</v>
      </c>
      <c r="AS36" s="1" t="str">
        <f>SUM(N37:AI37)</f>
        <v>0</v>
      </c>
    </row>
    <row r="37" spans="1:45">
      <c r="A37" s="34"/>
      <c r="B37" s="49" t="s">
        <v>3</v>
      </c>
      <c r="C37" s="8"/>
      <c r="D37" s="9"/>
      <c r="E37" s="9"/>
      <c r="F37" s="9"/>
      <c r="G37" s="9"/>
      <c r="H37" s="9"/>
      <c r="I37" s="9"/>
      <c r="J37" s="9"/>
      <c r="K37" s="9"/>
      <c r="L37" s="36"/>
      <c r="M37" s="50" t="s">
        <v>3</v>
      </c>
      <c r="N37" s="9"/>
      <c r="O37" s="9"/>
      <c r="P37" s="9"/>
      <c r="Q37" s="8"/>
      <c r="R37" s="8"/>
      <c r="S37" s="8"/>
      <c r="T37" s="8"/>
      <c r="U37" s="8"/>
      <c r="V37" s="9"/>
      <c r="W37" s="9"/>
      <c r="X37" s="9"/>
      <c r="Y37" s="9"/>
      <c r="Z37" s="9"/>
      <c r="AA37" s="9"/>
      <c r="AB37" s="9"/>
      <c r="AC37" s="8"/>
      <c r="AD37" s="8"/>
      <c r="AE37" s="8"/>
      <c r="AF37" s="8"/>
      <c r="AG37" s="8"/>
      <c r="AH37" s="8"/>
      <c r="AI37" s="8"/>
      <c r="AJ37" s="36"/>
      <c r="AK37" s="50" t="s">
        <v>3</v>
      </c>
      <c r="AL37" s="8"/>
      <c r="AM37" s="8"/>
      <c r="AN37" s="8"/>
      <c r="AO37" s="8"/>
      <c r="AP37" s="8"/>
      <c r="AQ37" s="8"/>
      <c r="AS37" s="1" t="str">
        <f>SUM(N38:AI38)</f>
        <v>0</v>
      </c>
    </row>
    <row r="38" spans="1:45">
      <c r="A38" s="34"/>
      <c r="B38" s="50" t="s">
        <v>4</v>
      </c>
      <c r="C38" s="8"/>
      <c r="D38" s="9"/>
      <c r="E38" s="9"/>
      <c r="F38" s="9"/>
      <c r="G38" s="9"/>
      <c r="H38" s="9"/>
      <c r="I38" s="9"/>
      <c r="J38" s="9"/>
      <c r="K38" s="9"/>
      <c r="L38" s="36"/>
      <c r="M38" s="50" t="s">
        <v>4</v>
      </c>
      <c r="N38" s="8"/>
      <c r="O38" s="8"/>
      <c r="P38" s="8"/>
      <c r="Q38" s="8"/>
      <c r="R38" s="8"/>
      <c r="S38" s="8"/>
      <c r="T38" s="8"/>
      <c r="U38" s="8"/>
      <c r="V38" s="9"/>
      <c r="W38" s="9"/>
      <c r="X38" s="9"/>
      <c r="Y38" s="9"/>
      <c r="Z38" s="9"/>
      <c r="AA38" s="9"/>
      <c r="AB38" s="9"/>
      <c r="AC38" s="8"/>
      <c r="AD38" s="8"/>
      <c r="AE38" s="8"/>
      <c r="AF38" s="8"/>
      <c r="AG38" s="8"/>
      <c r="AH38" s="8"/>
      <c r="AI38" s="8"/>
      <c r="AJ38" s="36"/>
      <c r="AK38" s="50" t="s">
        <v>4</v>
      </c>
      <c r="AL38" s="8"/>
      <c r="AM38" s="8"/>
      <c r="AN38" s="8"/>
      <c r="AO38" s="8"/>
      <c r="AP38" s="8"/>
      <c r="AQ38" s="8"/>
      <c r="AS38" s="1" t="str">
        <f>SUM(N39:AI39)</f>
        <v>0</v>
      </c>
    </row>
    <row r="39" spans="1:45">
      <c r="A39" s="34"/>
      <c r="B39" s="49" t="s">
        <v>5</v>
      </c>
      <c r="C39" s="8"/>
      <c r="D39" s="9"/>
      <c r="E39" s="9"/>
      <c r="F39" s="9"/>
      <c r="G39" s="9"/>
      <c r="H39" s="9"/>
      <c r="I39" s="9"/>
      <c r="J39" s="9"/>
      <c r="K39" s="9"/>
      <c r="L39" s="36"/>
      <c r="M39" s="50" t="s">
        <v>5</v>
      </c>
      <c r="N39" s="8"/>
      <c r="O39" s="8"/>
      <c r="P39" s="8"/>
      <c r="Q39" s="8"/>
      <c r="R39" s="8"/>
      <c r="S39" s="8"/>
      <c r="T39" s="8"/>
      <c r="U39" s="8"/>
      <c r="V39" s="9"/>
      <c r="W39" s="9"/>
      <c r="X39" s="9"/>
      <c r="Y39" s="9"/>
      <c r="Z39" s="9"/>
      <c r="AA39" s="9"/>
      <c r="AB39" s="9"/>
      <c r="AC39" s="8"/>
      <c r="AD39" s="8"/>
      <c r="AE39" s="8"/>
      <c r="AF39" s="8"/>
      <c r="AG39" s="8"/>
      <c r="AH39" s="8"/>
      <c r="AI39" s="8"/>
      <c r="AJ39" s="36"/>
      <c r="AK39" s="50" t="s">
        <v>5</v>
      </c>
      <c r="AL39" s="8"/>
      <c r="AM39" s="8"/>
      <c r="AN39" s="8"/>
      <c r="AO39" s="8"/>
      <c r="AP39" s="8"/>
      <c r="AQ39" s="8"/>
      <c r="AS39" s="1" t="str">
        <f>SUM(N40:AI40)</f>
        <v>0</v>
      </c>
    </row>
    <row r="40" spans="1:45">
      <c r="A40" s="34"/>
      <c r="B40" s="49" t="s">
        <v>6</v>
      </c>
      <c r="C40" s="8"/>
      <c r="D40" s="9"/>
      <c r="E40" s="9"/>
      <c r="F40" s="9"/>
      <c r="G40" s="9"/>
      <c r="H40" s="9"/>
      <c r="I40" s="9"/>
      <c r="J40" s="9"/>
      <c r="K40" s="9"/>
      <c r="L40" s="36"/>
      <c r="M40" s="50" t="s">
        <v>6</v>
      </c>
      <c r="N40" s="8"/>
      <c r="O40" s="8"/>
      <c r="P40" s="8"/>
      <c r="Q40" s="8"/>
      <c r="R40" s="8"/>
      <c r="S40" s="8"/>
      <c r="T40" s="8"/>
      <c r="U40" s="8"/>
      <c r="V40" s="9"/>
      <c r="W40" s="9"/>
      <c r="X40" s="9"/>
      <c r="Y40" s="9"/>
      <c r="Z40" s="9"/>
      <c r="AA40" s="9"/>
      <c r="AB40" s="9"/>
      <c r="AC40" s="8"/>
      <c r="AD40" s="8"/>
      <c r="AE40" s="8"/>
      <c r="AF40" s="8"/>
      <c r="AG40" s="8"/>
      <c r="AH40" s="8"/>
      <c r="AI40" s="8"/>
      <c r="AJ40" s="36"/>
      <c r="AK40" s="50" t="s">
        <v>7</v>
      </c>
      <c r="AL40" s="8"/>
      <c r="AM40" s="8"/>
      <c r="AN40" s="8"/>
      <c r="AO40" s="8"/>
      <c r="AP40" s="8"/>
      <c r="AQ40" s="8"/>
      <c r="AS40" s="1" t="str">
        <f>SUM(N41:AI41)</f>
        <v>0</v>
      </c>
    </row>
    <row r="41" spans="1:45">
      <c r="A41" s="34"/>
      <c r="B41" s="49" t="s">
        <v>7</v>
      </c>
      <c r="C41" s="8"/>
      <c r="D41" s="9"/>
      <c r="E41" s="9"/>
      <c r="F41" s="9"/>
      <c r="G41" s="9"/>
      <c r="H41" s="9"/>
      <c r="I41" s="9"/>
      <c r="J41" s="9"/>
      <c r="K41" s="9"/>
      <c r="L41" s="36"/>
      <c r="M41" s="50" t="s">
        <v>7</v>
      </c>
      <c r="N41" s="8"/>
      <c r="O41" s="8"/>
      <c r="P41" s="8"/>
      <c r="Q41" s="8"/>
      <c r="R41" s="8"/>
      <c r="S41" s="8"/>
      <c r="T41" s="8"/>
      <c r="U41" s="8"/>
      <c r="V41" s="9"/>
      <c r="W41" s="9"/>
      <c r="X41" s="9"/>
      <c r="Y41" s="9"/>
      <c r="Z41" s="9"/>
      <c r="AA41" s="9"/>
      <c r="AB41" s="9"/>
      <c r="AC41" s="8"/>
      <c r="AD41" s="8"/>
      <c r="AE41" s="8"/>
      <c r="AF41" s="8"/>
      <c r="AG41" s="8"/>
      <c r="AH41" s="8"/>
      <c r="AI41" s="8"/>
      <c r="AJ41" s="36"/>
      <c r="AK41" s="50" t="s">
        <v>8</v>
      </c>
      <c r="AL41" s="8"/>
      <c r="AM41" s="8"/>
      <c r="AN41" s="8"/>
      <c r="AO41" s="8"/>
      <c r="AP41" s="8"/>
      <c r="AQ41" s="8"/>
      <c r="AS41" s="1" t="str">
        <f>SUM(N42:AI42)</f>
        <v>0</v>
      </c>
    </row>
    <row r="42" spans="1:45">
      <c r="A42" s="37"/>
      <c r="B42" s="49" t="s">
        <v>10</v>
      </c>
      <c r="C42" s="8"/>
      <c r="D42" s="9"/>
      <c r="E42" s="9"/>
      <c r="F42" s="9"/>
      <c r="G42" s="9"/>
      <c r="H42" s="9"/>
      <c r="I42" s="9"/>
      <c r="J42" s="9"/>
      <c r="K42" s="9"/>
      <c r="L42" s="39"/>
      <c r="M42" s="50" t="s">
        <v>10</v>
      </c>
      <c r="N42" s="8"/>
      <c r="O42" s="8"/>
      <c r="P42" s="8"/>
      <c r="Q42" s="8"/>
      <c r="R42" s="8"/>
      <c r="S42" s="8"/>
      <c r="T42" s="8"/>
      <c r="U42" s="8"/>
      <c r="V42" s="9"/>
      <c r="W42" s="9"/>
      <c r="X42" s="9"/>
      <c r="Y42" s="9"/>
      <c r="Z42" s="9"/>
      <c r="AA42" s="9"/>
      <c r="AB42" s="9"/>
      <c r="AC42" s="8"/>
      <c r="AD42" s="8"/>
      <c r="AE42" s="8"/>
      <c r="AF42" s="8"/>
      <c r="AG42" s="8"/>
      <c r="AH42" s="8"/>
      <c r="AI42" s="8"/>
      <c r="AJ42" s="39"/>
      <c r="AK42" s="50" t="s">
        <v>11</v>
      </c>
      <c r="AL42" s="8"/>
      <c r="AM42" s="8"/>
      <c r="AN42" s="8"/>
      <c r="AO42" s="8"/>
      <c r="AP42" s="8"/>
      <c r="AQ42" s="8"/>
      <c r="AS42" s="1" t="str">
        <f>SUM(N43:AI43)</f>
        <v>0</v>
      </c>
    </row>
    <row r="43" spans="1:45">
      <c r="A43" s="37"/>
      <c r="B43" s="49" t="s">
        <v>11</v>
      </c>
      <c r="C43" s="8"/>
      <c r="D43" s="9"/>
      <c r="E43" s="9"/>
      <c r="F43" s="9"/>
      <c r="G43" s="9"/>
      <c r="H43" s="9"/>
      <c r="I43" s="9"/>
      <c r="J43" s="9"/>
      <c r="K43" s="9"/>
      <c r="L43" s="39"/>
      <c r="M43" s="50" t="s">
        <v>11</v>
      </c>
      <c r="N43" s="8"/>
      <c r="O43" s="8"/>
      <c r="P43" s="8"/>
      <c r="Q43" s="8"/>
      <c r="R43" s="8"/>
      <c r="S43" s="8"/>
      <c r="T43" s="8"/>
      <c r="U43" s="8"/>
      <c r="V43" s="9"/>
      <c r="W43" s="9"/>
      <c r="X43" s="9"/>
      <c r="Y43" s="9"/>
      <c r="Z43" s="9"/>
      <c r="AA43" s="9"/>
      <c r="AB43" s="9"/>
      <c r="AC43" s="8"/>
      <c r="AD43" s="8"/>
      <c r="AE43" s="8"/>
      <c r="AF43" s="8"/>
      <c r="AG43" s="8"/>
      <c r="AH43" s="8"/>
      <c r="AI43" s="8"/>
      <c r="AJ43" s="39"/>
      <c r="AK43" s="50" t="s">
        <v>12</v>
      </c>
      <c r="AL43" s="8"/>
      <c r="AM43" s="8"/>
      <c r="AN43" s="8"/>
      <c r="AO43" s="8"/>
      <c r="AP43" s="8"/>
      <c r="AQ43" s="8"/>
    </row>
    <row r="44" spans="1:45">
      <c r="A44" s="37"/>
      <c r="B44" s="49" t="s">
        <v>12</v>
      </c>
      <c r="C44" s="8"/>
      <c r="D44" s="9"/>
      <c r="E44" s="9"/>
      <c r="F44" s="9"/>
      <c r="G44" s="9"/>
      <c r="H44" s="9"/>
      <c r="I44" s="9"/>
      <c r="J44" s="9"/>
      <c r="K44" s="9"/>
      <c r="L44" s="39"/>
      <c r="M44" s="50" t="s">
        <v>12</v>
      </c>
      <c r="N44" s="8"/>
      <c r="O44" s="8"/>
      <c r="P44" s="8"/>
      <c r="Q44" s="8"/>
      <c r="R44" s="8"/>
      <c r="S44" s="8"/>
      <c r="T44" s="8"/>
      <c r="U44" s="8"/>
      <c r="V44" s="9"/>
      <c r="W44" s="9"/>
      <c r="X44" s="9"/>
      <c r="Y44" s="9"/>
      <c r="Z44" s="9"/>
      <c r="AA44" s="9"/>
      <c r="AB44" s="9"/>
      <c r="AC44" s="8"/>
      <c r="AD44" s="8"/>
      <c r="AE44" s="8"/>
      <c r="AF44" s="8"/>
      <c r="AG44" s="8"/>
      <c r="AH44" s="8"/>
      <c r="AI44" s="8"/>
      <c r="AJ44" s="39"/>
      <c r="AK44" s="50" t="s">
        <v>13</v>
      </c>
      <c r="AL44" s="8"/>
      <c r="AM44" s="8"/>
      <c r="AN44" s="8"/>
      <c r="AO44" s="8"/>
      <c r="AP44" s="8"/>
      <c r="AQ44" s="8"/>
    </row>
    <row r="45" spans="1:45">
      <c r="A45" s="37"/>
      <c r="B45" s="49" t="s">
        <v>13</v>
      </c>
      <c r="C45" s="8"/>
      <c r="D45" s="9"/>
      <c r="E45" s="9"/>
      <c r="F45" s="9"/>
      <c r="G45" s="9"/>
      <c r="H45" s="9"/>
      <c r="I45" s="9"/>
      <c r="J45" s="9"/>
      <c r="K45" s="9"/>
      <c r="L45" s="39"/>
      <c r="M45" s="50" t="s">
        <v>13</v>
      </c>
      <c r="N45" s="8"/>
      <c r="O45" s="8"/>
      <c r="P45" s="8"/>
      <c r="Q45" s="8"/>
      <c r="R45" s="8"/>
      <c r="S45" s="8"/>
      <c r="T45" s="8"/>
      <c r="U45" s="8"/>
      <c r="V45" s="9"/>
      <c r="W45" s="9"/>
      <c r="X45" s="9"/>
      <c r="Y45" s="9"/>
      <c r="Z45" s="9"/>
      <c r="AA45" s="9"/>
      <c r="AB45" s="9"/>
      <c r="AC45" s="8"/>
      <c r="AD45" s="8"/>
      <c r="AE45" s="8"/>
      <c r="AF45" s="8"/>
      <c r="AG45" s="8"/>
      <c r="AH45" s="8"/>
      <c r="AI45" s="8"/>
      <c r="AJ45" s="39"/>
      <c r="AK45" s="50" t="s">
        <v>14</v>
      </c>
      <c r="AL45" s="8"/>
      <c r="AM45" s="8"/>
      <c r="AN45" s="8"/>
      <c r="AO45" s="8"/>
      <c r="AP45" s="8"/>
      <c r="AQ45" s="8"/>
    </row>
    <row r="46" spans="1:45">
      <c r="A46" s="37"/>
      <c r="B46" s="49" t="s">
        <v>14</v>
      </c>
      <c r="C46" s="8"/>
      <c r="D46" s="9"/>
      <c r="E46" s="9"/>
      <c r="F46" s="9"/>
      <c r="G46" s="9"/>
      <c r="H46" s="9"/>
      <c r="I46" s="9"/>
      <c r="J46" s="9"/>
      <c r="K46" s="9"/>
      <c r="L46" s="39"/>
      <c r="M46" s="50" t="s">
        <v>14</v>
      </c>
      <c r="N46" s="8"/>
      <c r="O46" s="8"/>
      <c r="P46" s="8"/>
      <c r="Q46" s="8"/>
      <c r="R46" s="8"/>
      <c r="S46" s="8"/>
      <c r="T46" s="8"/>
      <c r="U46" s="8"/>
      <c r="V46" s="9"/>
      <c r="W46" s="9"/>
      <c r="X46" s="9"/>
      <c r="Y46" s="9"/>
      <c r="Z46" s="9"/>
      <c r="AA46" s="9"/>
      <c r="AB46" s="9"/>
      <c r="AC46" s="8"/>
      <c r="AD46" s="8"/>
      <c r="AE46" s="8"/>
      <c r="AF46" s="8"/>
      <c r="AG46" s="8"/>
      <c r="AH46" s="8"/>
      <c r="AI46" s="8"/>
      <c r="AK46" s="49"/>
      <c r="AL46" s="8"/>
      <c r="AM46" s="8"/>
      <c r="AN46" s="8"/>
      <c r="AO46" s="8"/>
      <c r="AP46" s="8"/>
      <c r="AQ46" s="8"/>
    </row>
    <row r="47" spans="1:45">
      <c r="A47" s="34"/>
      <c r="B47" s="49" t="s">
        <v>2</v>
      </c>
      <c r="C47" s="11" t="str">
        <f>IF(OR(C56="",C57="",C57=0),"",IFERROR(ROUND((C56*100000)/(C57*60*8),0),""))</f>
        <v>0</v>
      </c>
      <c r="D47" s="11" t="str">
        <f>IF(OR(D56="",D57="",D57=0),"",IFERROR(ROUND((D56*100000)/(D57*60*8),0),""))</f>
        <v>0</v>
      </c>
      <c r="E47" s="11" t="str">
        <f>IF(OR(E56="",E57="",E57=0),"",IFERROR(ROUND((E56*100000)/(E57*60*8),0),""))</f>
        <v>0</v>
      </c>
      <c r="F47" s="11" t="str">
        <f>IF(OR(F56="",F57="",F57=0),"",IFERROR(ROUND((F56*100000)/(F57*60*8),0),""))</f>
        <v>0</v>
      </c>
      <c r="G47" s="11" t="str">
        <f>IF(OR(G56="",G57="",G57=0),"",IFERROR(ROUND((G56*100000)/(G57*60*8),0),""))</f>
        <v>0</v>
      </c>
      <c r="H47" s="11" t="str">
        <f>IF(OR(H56="",H57="",H57=0),"",IFERROR(ROUND((H56*100000)/(H57*60*8),0),""))</f>
        <v>0</v>
      </c>
      <c r="I47" s="11" t="str">
        <f>IF(OR(I56="",I57="",I57=0),"",IFERROR(ROUND((I56*100000)/(I57*60*8),0),""))</f>
        <v>0</v>
      </c>
      <c r="J47" s="11" t="str">
        <f>IF(OR(J56="",J57="",J57=0),"",IFERROR(ROUND((J56*100000)/(J57*60*8),0),""))</f>
        <v>0</v>
      </c>
      <c r="K47" s="11" t="str">
        <f>IF(OR(K56="",K57="",K57=0),"",IFERROR(ROUND((K56*100000)/(K57*60*8),0),""))</f>
        <v>0</v>
      </c>
      <c r="L47" s="36"/>
      <c r="M47" s="50" t="s">
        <v>2</v>
      </c>
      <c r="N47" s="11" t="str">
        <f>IF(OR(N56="",N57="",N57=0),"",IFERROR(ROUND((N56*100000)/(N57*60*8),0),""))</f>
        <v>0</v>
      </c>
      <c r="O47" s="11" t="str">
        <f>IF(OR(O56="",O57="",O57=0),"",IFERROR(ROUND((O56*100000)/(O57*60*8),0),""))</f>
        <v>0</v>
      </c>
      <c r="P47" s="11" t="str">
        <f>IF(OR(P56="",P57="",P57=0),"",IFERROR(ROUND((P56*100000)/(P57*60*8),0),""))</f>
        <v>0</v>
      </c>
      <c r="Q47" s="11" t="str">
        <f>IF(OR(Q56="",Q57="",Q57=0),"",IFERROR(ROUND((Q56*100000)/(Q57*60*8),0),""))</f>
        <v>0</v>
      </c>
      <c r="R47" s="11" t="str">
        <f>IF(OR(R56="",R57="",R57=0),"",IFERROR(ROUND((R56*100000)/(R57*60*8),0),""))</f>
        <v>0</v>
      </c>
      <c r="S47" s="11" t="str">
        <f>IF(OR(S56="",S57="",S57=0),"",IFERROR(ROUND((S56*100000)/(S57*60*8),0),""))</f>
        <v>0</v>
      </c>
      <c r="T47" s="11" t="str">
        <f>IF(OR(T56="",T57="",T57=0),"",IFERROR(ROUND((T56*100000)/(T57*60*8),0),""))</f>
        <v>0</v>
      </c>
      <c r="U47" s="11" t="str">
        <f>IF(OR(U56="",U57="",U57=0),"",IFERROR(ROUND((U56*100000)/(U57*60*8),0),""))</f>
        <v>0</v>
      </c>
      <c r="V47" s="11" t="str">
        <f>IF(OR(V56="",V57="",V57=0),"",IFERROR(ROUND((V56*100000)/(V57*60*8),0),""))</f>
        <v>0</v>
      </c>
      <c r="W47" s="11" t="str">
        <f>IF(OR(W56="",W57="",W57=0),"",IFERROR(ROUND((W56*100000)/(W57*60*8),0),""))</f>
        <v>0</v>
      </c>
      <c r="X47" s="11" t="str">
        <f>IF(OR(X56="",X57="",X57=0),"",IFERROR(ROUND((X56*100000)/(X57*60*8),0),""))</f>
        <v>0</v>
      </c>
      <c r="Y47" s="11" t="str">
        <f>IF(OR(Y56="",Y57="",Y57=0),"",IFERROR(ROUND((Y56*100000)/(Y57*60*8),0),""))</f>
        <v>0</v>
      </c>
      <c r="Z47" s="11" t="str">
        <f>IF(OR(Z56="",Z57="",Z57=0),"",IFERROR(ROUND((Z56*100000)/(Z57*60*8),0),""))</f>
        <v>0</v>
      </c>
      <c r="AA47" s="11" t="str">
        <f>IF(OR(AA56="",AA57="",AA57=0),"",IFERROR(ROUND((AA56*100000)/(AA57*60*8),0),""))</f>
        <v>0</v>
      </c>
      <c r="AB47" s="11" t="str">
        <f>IF(OR(AB56="",AB57="",AB57=0),"",IFERROR(ROUND((AB56*100000)/(AB57*60*8),0),""))</f>
        <v>0</v>
      </c>
      <c r="AC47" s="11" t="str">
        <f>IF(OR(AC56="",AC57="",AC57=0),"",IFERROR(ROUND((AC56*100000)/(AC57*60*8),0),""))</f>
        <v>0</v>
      </c>
      <c r="AD47" s="11" t="str">
        <f>IF(OR(AD56="",AD57="",AD57=0),"",IFERROR(ROUND((AD56*100000)/(AD57*60*8),0),""))</f>
        <v>0</v>
      </c>
      <c r="AE47" s="11" t="str">
        <f>IF(OR(AE56="",AE57="",AE57=0),"",IFERROR(ROUND((AE56*100000)/(AE57*60*8),0),""))</f>
        <v>0</v>
      </c>
      <c r="AF47" s="11" t="str">
        <f>IF(OR(AF56="",AF57="",AF57=0),"",IFERROR(ROUND((AF56*100000)/(AF57*60*8),0),""))</f>
        <v>0</v>
      </c>
      <c r="AG47" s="11" t="str">
        <f>IF(OR(AG56="",AG57="",AG57=0),"",IFERROR(ROUND((AG56*100000)/(AG57*60*8),0),""))</f>
        <v>0</v>
      </c>
      <c r="AH47" s="11" t="str">
        <f>IF(OR(AH56="",AH57="",AH57=0),"",IFERROR(ROUND((AH56*100000)/(AH57*60*8),0),""))</f>
        <v>0</v>
      </c>
      <c r="AI47" s="11" t="str">
        <f>IF(OR(AI56="",AI57="",AI57=0),"",IFERROR(ROUND((AI56*100000)/(AI57*60*8),0),""))</f>
        <v>0</v>
      </c>
      <c r="AJ47" s="36"/>
      <c r="AK47" s="50" t="s">
        <v>2</v>
      </c>
      <c r="AL47" s="11" t="str">
        <f>IF(OR(AL55="",AL56="",AL56=0),"",IFERROR(ROUND((AL55*100000)/(AL56*60*8),0),""))</f>
        <v>0</v>
      </c>
      <c r="AM47" s="11" t="str">
        <f>IF(OR(AM55="",AM56="",AM56=0),"",IFERROR(ROUND((AM55*100000)/(AM56*60*8),0),""))</f>
        <v>0</v>
      </c>
      <c r="AN47" s="11" t="str">
        <f>IF(OR(AN55="",AN56="",AN56=0),"",IFERROR(ROUND((AN55*100000)/(AN56*60*8),0),""))</f>
        <v>0</v>
      </c>
      <c r="AO47" s="11" t="str">
        <f>IF(OR(AO55="",AO56="",AO56=0),"",IFERROR(ROUND((AO55*100000)/(AO56*60*8),0),""))</f>
        <v>0</v>
      </c>
      <c r="AP47" s="11" t="str">
        <f>IF(OR(AP55="",AP56="",AP56=0),"",IFERROR(ROUND((AP55*100000)/(AP56*60*8),0),""))</f>
        <v>0</v>
      </c>
      <c r="AQ47" s="11" t="str">
        <f>IF(OR(AQ55="",AQ56="",AQ56=0),"",IFERROR(ROUND((AQ55*100000)/(AQ56*60*8),0),""))</f>
        <v>0</v>
      </c>
    </row>
    <row r="48" spans="1:45">
      <c r="A48" s="34"/>
      <c r="B48" s="49" t="s">
        <v>3</v>
      </c>
      <c r="C48" s="8"/>
      <c r="D48" s="9"/>
      <c r="E48" s="9"/>
      <c r="F48" s="9"/>
      <c r="G48" s="9"/>
      <c r="H48" s="9"/>
      <c r="I48" s="9"/>
      <c r="J48" s="9"/>
      <c r="K48" s="9"/>
      <c r="L48" s="36"/>
      <c r="M48" s="50" t="s">
        <v>3</v>
      </c>
      <c r="N48" s="8"/>
      <c r="O48" s="8"/>
      <c r="P48" s="8"/>
      <c r="Q48" s="8"/>
      <c r="R48" s="8"/>
      <c r="S48" s="8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8"/>
      <c r="AF48" s="8"/>
      <c r="AG48" s="8"/>
      <c r="AH48" s="8"/>
      <c r="AI48" s="8"/>
      <c r="AJ48" s="36"/>
      <c r="AK48" s="50" t="s">
        <v>3</v>
      </c>
      <c r="AL48" s="8"/>
      <c r="AM48" s="8"/>
      <c r="AN48" s="8"/>
      <c r="AO48" s="8"/>
      <c r="AP48" s="8"/>
      <c r="AQ48" s="8"/>
      <c r="AS48" s="1" t="str">
        <f>SUM(N49:AI49)</f>
        <v>0</v>
      </c>
    </row>
    <row r="49" spans="1:45">
      <c r="A49" s="34"/>
      <c r="B49" s="50" t="s">
        <v>4</v>
      </c>
      <c r="C49" s="8"/>
      <c r="D49" s="9"/>
      <c r="E49" s="9"/>
      <c r="F49" s="9"/>
      <c r="G49" s="9"/>
      <c r="H49" s="9"/>
      <c r="I49" s="9"/>
      <c r="J49" s="9"/>
      <c r="K49" s="9"/>
      <c r="L49" s="36"/>
      <c r="M49" s="50" t="s">
        <v>4</v>
      </c>
      <c r="N49" s="8"/>
      <c r="O49" s="8"/>
      <c r="P49" s="8"/>
      <c r="Q49" s="8"/>
      <c r="R49" s="8"/>
      <c r="S49" s="8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8"/>
      <c r="AF49" s="8"/>
      <c r="AG49" s="8"/>
      <c r="AH49" s="8"/>
      <c r="AI49" s="8"/>
      <c r="AJ49" s="36"/>
      <c r="AK49" s="50" t="s">
        <v>4</v>
      </c>
      <c r="AL49" s="8"/>
      <c r="AM49" s="8"/>
      <c r="AN49" s="8"/>
      <c r="AO49" s="8"/>
      <c r="AP49" s="8"/>
      <c r="AQ49" s="8"/>
      <c r="AS49" s="1" t="str">
        <f>SUM(N50:AI50)</f>
        <v>0</v>
      </c>
    </row>
    <row r="50" spans="1:45">
      <c r="A50" s="34"/>
      <c r="B50" s="49" t="s">
        <v>5</v>
      </c>
      <c r="C50" s="8"/>
      <c r="D50" s="9"/>
      <c r="E50" s="9"/>
      <c r="F50" s="9"/>
      <c r="G50" s="9"/>
      <c r="H50" s="9"/>
      <c r="I50" s="9"/>
      <c r="J50" s="9"/>
      <c r="K50" s="9"/>
      <c r="L50" s="36"/>
      <c r="M50" s="50" t="s">
        <v>5</v>
      </c>
      <c r="N50" s="8"/>
      <c r="O50" s="8"/>
      <c r="P50" s="8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8"/>
      <c r="AF50" s="8"/>
      <c r="AG50" s="8"/>
      <c r="AH50" s="8"/>
      <c r="AI50" s="8"/>
      <c r="AJ50" s="36"/>
      <c r="AK50" s="50" t="s">
        <v>5</v>
      </c>
      <c r="AL50" s="8"/>
      <c r="AM50" s="8"/>
      <c r="AN50" s="8"/>
      <c r="AO50" s="8"/>
      <c r="AP50" s="8"/>
      <c r="AQ50" s="8"/>
      <c r="AS50" s="1" t="str">
        <f>SUM(N51:AI51)</f>
        <v>0</v>
      </c>
    </row>
    <row r="51" spans="1:45">
      <c r="A51" s="34"/>
      <c r="B51" s="49" t="s">
        <v>6</v>
      </c>
      <c r="C51" s="8"/>
      <c r="D51" s="9"/>
      <c r="E51" s="9"/>
      <c r="F51" s="9"/>
      <c r="G51" s="9"/>
      <c r="H51" s="9"/>
      <c r="I51" s="9"/>
      <c r="J51" s="9"/>
      <c r="K51" s="9"/>
      <c r="L51" s="36"/>
      <c r="M51" s="50" t="s">
        <v>6</v>
      </c>
      <c r="N51" s="8"/>
      <c r="O51" s="8"/>
      <c r="P51" s="8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8"/>
      <c r="AF51" s="8"/>
      <c r="AG51" s="8"/>
      <c r="AH51" s="8"/>
      <c r="AI51" s="8"/>
      <c r="AJ51" s="36"/>
      <c r="AK51" s="50" t="s">
        <v>7</v>
      </c>
      <c r="AL51" s="8"/>
      <c r="AM51" s="8"/>
      <c r="AN51" s="8"/>
      <c r="AO51" s="8"/>
      <c r="AP51" s="8"/>
      <c r="AQ51" s="8"/>
      <c r="AS51" s="1" t="str">
        <f>SUM(N52:AI52)</f>
        <v>0</v>
      </c>
    </row>
    <row r="52" spans="1:45">
      <c r="A52" s="34"/>
      <c r="B52" s="49" t="s">
        <v>7</v>
      </c>
      <c r="C52" s="8"/>
      <c r="D52" s="9"/>
      <c r="E52" s="9"/>
      <c r="F52" s="9"/>
      <c r="G52" s="9"/>
      <c r="H52" s="9"/>
      <c r="I52" s="9"/>
      <c r="J52" s="9"/>
      <c r="K52" s="9"/>
      <c r="L52" s="36"/>
      <c r="M52" s="50" t="s">
        <v>7</v>
      </c>
      <c r="N52" s="8"/>
      <c r="O52" s="8"/>
      <c r="P52" s="8"/>
      <c r="Q52" s="8"/>
      <c r="R52" s="8"/>
      <c r="S52" s="8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8"/>
      <c r="AF52" s="8"/>
      <c r="AG52" s="8"/>
      <c r="AH52" s="8"/>
      <c r="AI52" s="8"/>
      <c r="AJ52" s="36"/>
      <c r="AK52" s="50" t="s">
        <v>8</v>
      </c>
      <c r="AL52" s="8"/>
      <c r="AM52" s="8"/>
      <c r="AN52" s="8"/>
      <c r="AO52" s="8"/>
      <c r="AP52" s="8"/>
      <c r="AQ52" s="8"/>
      <c r="AS52" s="1" t="str">
        <f>SUM(N53:AI53)</f>
        <v>0</v>
      </c>
    </row>
    <row r="53" spans="1:45">
      <c r="A53" s="37"/>
      <c r="B53" s="49" t="s">
        <v>10</v>
      </c>
      <c r="C53" s="8"/>
      <c r="D53" s="9"/>
      <c r="E53" s="9"/>
      <c r="F53" s="9"/>
      <c r="G53" s="9"/>
      <c r="H53" s="9"/>
      <c r="I53" s="9"/>
      <c r="J53" s="9"/>
      <c r="K53" s="9"/>
      <c r="L53" s="39"/>
      <c r="M53" s="50" t="s">
        <v>10</v>
      </c>
      <c r="N53" s="8"/>
      <c r="O53" s="8"/>
      <c r="P53" s="8"/>
      <c r="Q53" s="8"/>
      <c r="R53" s="8"/>
      <c r="S53" s="8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8"/>
      <c r="AF53" s="8"/>
      <c r="AG53" s="8"/>
      <c r="AH53" s="8"/>
      <c r="AI53" s="8"/>
      <c r="AJ53" s="39"/>
      <c r="AK53" s="50" t="s">
        <v>11</v>
      </c>
      <c r="AL53" s="8"/>
      <c r="AM53" s="8"/>
      <c r="AN53" s="8"/>
      <c r="AO53" s="8"/>
      <c r="AP53" s="8"/>
      <c r="AQ53" s="8"/>
      <c r="AS53" s="1" t="str">
        <f>SUM(N54:AI54)</f>
        <v>0</v>
      </c>
    </row>
    <row r="54" spans="1:45">
      <c r="A54" s="37"/>
      <c r="B54" s="49" t="s">
        <v>11</v>
      </c>
      <c r="C54" s="8"/>
      <c r="D54" s="9"/>
      <c r="E54" s="9"/>
      <c r="F54" s="9"/>
      <c r="G54" s="9"/>
      <c r="H54" s="9"/>
      <c r="I54" s="9"/>
      <c r="J54" s="9"/>
      <c r="K54" s="9"/>
      <c r="L54" s="39"/>
      <c r="M54" s="50" t="s">
        <v>11</v>
      </c>
      <c r="N54" s="8"/>
      <c r="O54" s="8"/>
      <c r="P54" s="8"/>
      <c r="Q54" s="8"/>
      <c r="R54" s="8"/>
      <c r="S54" s="8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8"/>
      <c r="AF54" s="8"/>
      <c r="AG54" s="8"/>
      <c r="AH54" s="8"/>
      <c r="AI54" s="8"/>
      <c r="AJ54" s="39"/>
      <c r="AK54" s="50" t="s">
        <v>12</v>
      </c>
      <c r="AL54" s="8"/>
      <c r="AM54" s="8"/>
      <c r="AN54" s="8"/>
      <c r="AO54" s="8"/>
      <c r="AP54" s="8"/>
      <c r="AQ54" s="8"/>
    </row>
    <row r="55" spans="1:45">
      <c r="A55" s="37"/>
      <c r="B55" s="49" t="s">
        <v>12</v>
      </c>
      <c r="C55" s="8"/>
      <c r="D55" s="9"/>
      <c r="E55" s="9"/>
      <c r="F55" s="9"/>
      <c r="G55" s="9"/>
      <c r="H55" s="9"/>
      <c r="I55" s="9"/>
      <c r="J55" s="9"/>
      <c r="K55" s="9"/>
      <c r="L55" s="39"/>
      <c r="M55" s="50" t="s">
        <v>12</v>
      </c>
      <c r="N55" s="8"/>
      <c r="O55" s="8"/>
      <c r="P55" s="8"/>
      <c r="Q55" s="8"/>
      <c r="R55" s="8"/>
      <c r="S55" s="8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8"/>
      <c r="AF55" s="8"/>
      <c r="AG55" s="8"/>
      <c r="AH55" s="8"/>
      <c r="AI55" s="8"/>
      <c r="AJ55" s="39"/>
      <c r="AK55" s="50" t="s">
        <v>13</v>
      </c>
      <c r="AL55" s="8"/>
      <c r="AM55" s="8"/>
      <c r="AN55" s="8"/>
      <c r="AO55" s="8"/>
      <c r="AP55" s="8"/>
      <c r="AQ55" s="8"/>
    </row>
    <row r="56" spans="1:45">
      <c r="A56" s="37"/>
      <c r="B56" s="49" t="s">
        <v>13</v>
      </c>
      <c r="C56" s="8"/>
      <c r="D56" s="9"/>
      <c r="E56" s="9"/>
      <c r="F56" s="9"/>
      <c r="G56" s="9"/>
      <c r="H56" s="9"/>
      <c r="I56" s="9"/>
      <c r="J56" s="9"/>
      <c r="K56" s="9"/>
      <c r="L56" s="39"/>
      <c r="M56" s="50" t="s">
        <v>13</v>
      </c>
      <c r="N56" s="8"/>
      <c r="O56" s="8"/>
      <c r="P56" s="8"/>
      <c r="Q56" s="8"/>
      <c r="R56" s="8"/>
      <c r="S56" s="8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8"/>
      <c r="AF56" s="8"/>
      <c r="AG56" s="8"/>
      <c r="AH56" s="8"/>
      <c r="AI56" s="8"/>
      <c r="AJ56" s="39"/>
      <c r="AK56" s="50" t="s">
        <v>14</v>
      </c>
      <c r="AL56" s="8"/>
      <c r="AM56" s="8"/>
      <c r="AN56" s="8"/>
      <c r="AO56" s="8"/>
      <c r="AP56" s="8"/>
      <c r="AQ56" s="8"/>
    </row>
    <row r="57" spans="1:45">
      <c r="A57" s="37"/>
      <c r="B57" s="49" t="s">
        <v>14</v>
      </c>
      <c r="C57" s="8"/>
      <c r="D57" s="9"/>
      <c r="E57" s="9"/>
      <c r="F57" s="9"/>
      <c r="G57" s="9"/>
      <c r="H57" s="9"/>
      <c r="I57" s="9"/>
      <c r="J57" s="9"/>
      <c r="K57" s="9"/>
      <c r="L57" s="39"/>
      <c r="M57" s="50" t="s">
        <v>14</v>
      </c>
      <c r="N57" s="8"/>
      <c r="O57" s="8"/>
      <c r="P57" s="8"/>
      <c r="Q57" s="8"/>
      <c r="R57" s="8"/>
      <c r="S57" s="8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8"/>
      <c r="AF57" s="8"/>
      <c r="AG57" s="8"/>
      <c r="AH57" s="8"/>
      <c r="AI57" s="8"/>
      <c r="AK57" s="49"/>
      <c r="AL57" s="8"/>
      <c r="AM57" s="8"/>
      <c r="AN57" s="8"/>
      <c r="AO57" s="8"/>
      <c r="AP57" s="8"/>
      <c r="AQ57" s="8"/>
    </row>
    <row r="58" spans="1:45">
      <c r="A58" s="34"/>
      <c r="B58" s="49" t="s">
        <v>2</v>
      </c>
      <c r="C58" s="11" t="str">
        <f>IF(OR(C67="",C68="",C68=0),"",IFERROR(ROUND((C67*100000)/(C68*60*8),0),""))</f>
        <v>0</v>
      </c>
      <c r="D58" s="11" t="str">
        <f>IF(OR(D67="",D68="",D68=0),"",IFERROR(ROUND((D67*100000)/(D68*60*8),0),""))</f>
        <v>0</v>
      </c>
      <c r="E58" s="11" t="str">
        <f>IF(OR(E67="",E68="",E68=0),"",IFERROR(ROUND((E67*100000)/(E68*60*8),0),""))</f>
        <v>0</v>
      </c>
      <c r="F58" s="11" t="str">
        <f>IF(OR(F67="",F68="",F68=0),"",IFERROR(ROUND((F67*100000)/(F68*60*8),0),""))</f>
        <v>0</v>
      </c>
      <c r="G58" s="11" t="str">
        <f>IF(OR(G67="",G68="",G68=0),"",IFERROR(ROUND((G67*100000)/(G68*60*8),0),""))</f>
        <v>0</v>
      </c>
      <c r="H58" s="11" t="str">
        <f>IF(OR(H67="",H68="",H68=0),"",IFERROR(ROUND((H67*100000)/(H68*60*8),0),""))</f>
        <v>0</v>
      </c>
      <c r="I58" s="11" t="str">
        <f>IF(OR(I67="",I68="",I68=0),"",IFERROR(ROUND((I67*100000)/(I68*60*8),0),""))</f>
        <v>0</v>
      </c>
      <c r="J58" s="11" t="str">
        <f>IF(OR(J67="",J68="",J68=0),"",IFERROR(ROUND((J67*100000)/(J68*60*8),0),""))</f>
        <v>0</v>
      </c>
      <c r="K58" s="11" t="str">
        <f>IF(OR(K67="",K68="",K68=0),"",IFERROR(ROUND((K67*100000)/(K68*60*8),0),""))</f>
        <v>0</v>
      </c>
      <c r="L58" s="36"/>
      <c r="M58" s="50" t="s">
        <v>2</v>
      </c>
      <c r="N58" s="11" t="str">
        <f>IF(OR(N67="",N68="",N68=0),"",IFERROR(ROUND((N67*100000)/(N68*60*8),0),""))</f>
        <v>0</v>
      </c>
      <c r="O58" s="11" t="str">
        <f>IF(OR(O67="",O68="",O68=0),"",IFERROR(ROUND((O67*100000)/(O68*60*8),0),""))</f>
        <v>0</v>
      </c>
      <c r="P58" s="11" t="str">
        <f>IF(OR(P67="",P68="",P68=0),"",IFERROR(ROUND((P67*100000)/(P68*60*8),0),""))</f>
        <v>0</v>
      </c>
      <c r="Q58" s="11" t="str">
        <f>IF(OR(Q67="",Q68="",Q68=0),"",IFERROR(ROUND((Q67*100000)/(Q68*60*8),0),""))</f>
        <v>0</v>
      </c>
      <c r="R58" s="11" t="str">
        <f>IF(OR(R67="",R68="",R68=0),"",IFERROR(ROUND((R67*100000)/(R68*60*8),0),""))</f>
        <v>0</v>
      </c>
      <c r="S58" s="11" t="str">
        <f>IF(OR(S67="",S68="",S68=0),"",IFERROR(ROUND((S67*100000)/(S68*60*8),0),""))</f>
        <v>0</v>
      </c>
      <c r="T58" s="11" t="str">
        <f>IF(OR(T67="",T68="",T68=0),"",IFERROR(ROUND((T67*100000)/(T68*60*8),0),""))</f>
        <v>0</v>
      </c>
      <c r="U58" s="11" t="str">
        <f>IF(OR(U67="",U68="",U68=0),"",IFERROR(ROUND((U67*100000)/(U68*60*8),0),""))</f>
        <v>0</v>
      </c>
      <c r="V58" s="11" t="str">
        <f>IF(OR(V67="",V68="",V68=0),"",IFERROR(ROUND((V67*100000)/(V68*60*8),0),""))</f>
        <v>0</v>
      </c>
      <c r="W58" s="11" t="str">
        <f>IF(OR(W67="",W68="",W68=0),"",IFERROR(ROUND((W67*100000)/(W68*60*8),0),""))</f>
        <v>0</v>
      </c>
      <c r="X58" s="11" t="str">
        <f>IF(OR(X67="",X68="",X68=0),"",IFERROR(ROUND((X67*100000)/(X68*60*8),0),""))</f>
        <v>0</v>
      </c>
      <c r="Y58" s="11" t="str">
        <f>IF(OR(Y67="",Y68="",Y68=0),"",IFERROR(ROUND((Y67*100000)/(Y68*60*8),0),""))</f>
        <v>0</v>
      </c>
      <c r="Z58" s="11" t="str">
        <f>IF(OR(Z67="",Z68="",Z68=0),"",IFERROR(ROUND((Z67*100000)/(Z68*60*8),0),""))</f>
        <v>0</v>
      </c>
      <c r="AA58" s="11" t="str">
        <f>IF(OR(AA67="",AA68="",AA68=0),"",IFERROR(ROUND((AA67*100000)/(AA68*60*8),0),""))</f>
        <v>0</v>
      </c>
      <c r="AB58" s="11" t="str">
        <f>IF(OR(AB67="",AB68="",AB68=0),"",IFERROR(ROUND((AB67*100000)/(AB68*60*8),0),""))</f>
        <v>0</v>
      </c>
      <c r="AC58" s="11" t="str">
        <f>IF(OR(AC67="",AC68="",AC68=0),"",IFERROR(ROUND((AC67*100000)/(AC68*60*8),0),""))</f>
        <v>0</v>
      </c>
      <c r="AD58" s="11" t="str">
        <f>IF(OR(AD67="",AD68="",AD68=0),"",IFERROR(ROUND((AD67*100000)/(AD68*60*8),0),""))</f>
        <v>0</v>
      </c>
      <c r="AE58" s="11" t="str">
        <f>IF(OR(AE67="",AE68="",AE68=0),"",IFERROR(ROUND((AE67*100000)/(AE68*60*8),0),""))</f>
        <v>0</v>
      </c>
      <c r="AF58" s="11" t="str">
        <f>IF(OR(AF67="",AF68="",AF68=0),"",IFERROR(ROUND((AF67*100000)/(AF68*60*8),0),""))</f>
        <v>0</v>
      </c>
      <c r="AG58" s="11" t="str">
        <f>IF(OR(AG67="",AG68="",AG68=0),"",IFERROR(ROUND((AG67*100000)/(AG68*60*8),0),""))</f>
        <v>0</v>
      </c>
      <c r="AH58" s="11" t="str">
        <f>IF(OR(AH67="",AH68="",AH68=0),"",IFERROR(ROUND((AH67*100000)/(AH68*60*8),0),""))</f>
        <v>0</v>
      </c>
      <c r="AI58" s="11" t="str">
        <f>IF(OR(AI67="",AI68="",AI68=0),"",IFERROR(ROUND((AI67*100000)/(AI68*60*8),0),""))</f>
        <v>0</v>
      </c>
      <c r="AJ58" s="36"/>
      <c r="AK58" s="50" t="s">
        <v>2</v>
      </c>
      <c r="AL58" s="11" t="str">
        <f>IF(OR(AL66="",AL67="",AL67=0),"",IFERROR(ROUND((AL66*100000)/(AL67*60*8),0),""))</f>
        <v>0</v>
      </c>
      <c r="AM58" s="11" t="str">
        <f>IF(OR(AM66="",AM67="",AM67=0),"",IFERROR(ROUND((AM66*100000)/(AM67*60*8),0),""))</f>
        <v>0</v>
      </c>
      <c r="AN58" s="11" t="str">
        <f>IF(OR(AN66="",AN67="",AN67=0),"",IFERROR(ROUND((AN66*100000)/(AN67*60*8),0),""))</f>
        <v>0</v>
      </c>
      <c r="AO58" s="11" t="str">
        <f>IF(OR(AO66="",AO67="",AO67=0),"",IFERROR(ROUND((AO66*100000)/(AO67*60*8),0),""))</f>
        <v>0</v>
      </c>
      <c r="AP58" s="11" t="str">
        <f>IF(OR(AP66="",AP67="",AP67=0),"",IFERROR(ROUND((AP66*100000)/(AP67*60*8),0),""))</f>
        <v>0</v>
      </c>
      <c r="AQ58" s="11" t="str">
        <f>IF(OR(AQ66="",AQ67="",AQ67=0),"",IFERROR(ROUND((AQ66*100000)/(AQ67*60*8),0),""))</f>
        <v>0</v>
      </c>
      <c r="AS58" s="1" t="str">
        <f>SUM(N59:AI59)</f>
        <v>0</v>
      </c>
    </row>
    <row r="59" spans="1:45">
      <c r="A59" s="34"/>
      <c r="B59" s="49" t="s">
        <v>3</v>
      </c>
      <c r="C59" s="8"/>
      <c r="D59" s="9"/>
      <c r="E59" s="9"/>
      <c r="F59" s="9"/>
      <c r="G59" s="9"/>
      <c r="H59" s="9"/>
      <c r="I59" s="9"/>
      <c r="J59" s="9"/>
      <c r="K59" s="9"/>
      <c r="L59" s="36"/>
      <c r="M59" s="50" t="s">
        <v>3</v>
      </c>
      <c r="N59" s="9"/>
      <c r="O59" s="9"/>
      <c r="P59" s="9"/>
      <c r="Q59" s="9"/>
      <c r="R59" s="8"/>
      <c r="S59" s="8"/>
      <c r="T59" s="9"/>
      <c r="U59" s="9"/>
      <c r="V59" s="9"/>
      <c r="W59" s="9"/>
      <c r="X59" s="9"/>
      <c r="Y59" s="9"/>
      <c r="Z59" s="9"/>
      <c r="AA59" s="9"/>
      <c r="AB59" s="9"/>
      <c r="AC59" s="8"/>
      <c r="AD59" s="8"/>
      <c r="AE59" s="8"/>
      <c r="AF59" s="8"/>
      <c r="AG59" s="8"/>
      <c r="AH59" s="8"/>
      <c r="AI59" s="8"/>
      <c r="AJ59" s="36"/>
      <c r="AK59" s="50" t="s">
        <v>3</v>
      </c>
      <c r="AL59" s="8"/>
      <c r="AM59" s="8"/>
      <c r="AN59" s="8"/>
      <c r="AO59" s="8"/>
      <c r="AP59" s="8"/>
      <c r="AQ59" s="8"/>
      <c r="AS59" s="1" t="str">
        <f>SUM(N60:AI60)</f>
        <v>0</v>
      </c>
    </row>
    <row r="60" spans="1:45">
      <c r="A60" s="34"/>
      <c r="B60" s="50" t="s">
        <v>4</v>
      </c>
      <c r="C60" s="8"/>
      <c r="D60" s="9"/>
      <c r="E60" s="9"/>
      <c r="F60" s="9"/>
      <c r="G60" s="9"/>
      <c r="H60" s="9"/>
      <c r="I60" s="9"/>
      <c r="J60" s="9"/>
      <c r="K60" s="9"/>
      <c r="L60" s="36"/>
      <c r="M60" s="50" t="s">
        <v>4</v>
      </c>
      <c r="N60" s="9"/>
      <c r="O60" s="9"/>
      <c r="P60" s="9"/>
      <c r="Q60" s="9"/>
      <c r="R60" s="8"/>
      <c r="S60" s="8"/>
      <c r="T60" s="9"/>
      <c r="U60" s="9"/>
      <c r="V60" s="9"/>
      <c r="W60" s="9"/>
      <c r="X60" s="9"/>
      <c r="Y60" s="9"/>
      <c r="Z60" s="9"/>
      <c r="AA60" s="9"/>
      <c r="AB60" s="9"/>
      <c r="AC60" s="8"/>
      <c r="AD60" s="8"/>
      <c r="AE60" s="8"/>
      <c r="AF60" s="8"/>
      <c r="AG60" s="8"/>
      <c r="AH60" s="8"/>
      <c r="AI60" s="8"/>
      <c r="AJ60" s="36"/>
      <c r="AK60" s="50" t="s">
        <v>4</v>
      </c>
      <c r="AL60" s="8"/>
      <c r="AM60" s="8"/>
      <c r="AN60" s="8"/>
      <c r="AO60" s="8"/>
      <c r="AP60" s="8"/>
      <c r="AQ60" s="8"/>
      <c r="AS60" s="1" t="str">
        <f>SUM(N61:AI61)</f>
        <v>0</v>
      </c>
    </row>
    <row r="61" spans="1:45">
      <c r="A61" s="34"/>
      <c r="B61" s="49" t="s">
        <v>5</v>
      </c>
      <c r="C61" s="8"/>
      <c r="D61" s="9"/>
      <c r="E61" s="9"/>
      <c r="F61" s="9"/>
      <c r="G61" s="9"/>
      <c r="H61" s="9"/>
      <c r="I61" s="9"/>
      <c r="J61" s="9"/>
      <c r="K61" s="9"/>
      <c r="L61" s="36"/>
      <c r="M61" s="50" t="s">
        <v>5</v>
      </c>
      <c r="N61" s="9"/>
      <c r="O61" s="9"/>
      <c r="P61" s="9"/>
      <c r="Q61" s="9"/>
      <c r="R61" s="8"/>
      <c r="S61" s="8"/>
      <c r="T61" s="9"/>
      <c r="U61" s="9"/>
      <c r="V61" s="9"/>
      <c r="W61" s="9"/>
      <c r="X61" s="9"/>
      <c r="Y61" s="9"/>
      <c r="Z61" s="9"/>
      <c r="AA61" s="9"/>
      <c r="AB61" s="9"/>
      <c r="AC61" s="8"/>
      <c r="AD61" s="8"/>
      <c r="AE61" s="8"/>
      <c r="AF61" s="8"/>
      <c r="AG61" s="8"/>
      <c r="AH61" s="8"/>
      <c r="AI61" s="8"/>
      <c r="AJ61" s="36"/>
      <c r="AK61" s="50" t="s">
        <v>5</v>
      </c>
      <c r="AL61" s="8"/>
      <c r="AM61" s="8"/>
      <c r="AN61" s="8"/>
      <c r="AO61" s="8"/>
      <c r="AP61" s="8"/>
      <c r="AQ61" s="8"/>
      <c r="AS61" s="1" t="str">
        <f>SUM(N62:AI62)</f>
        <v>0</v>
      </c>
    </row>
    <row r="62" spans="1:45">
      <c r="A62" s="34"/>
      <c r="B62" s="49" t="s">
        <v>6</v>
      </c>
      <c r="C62" s="8"/>
      <c r="D62" s="9"/>
      <c r="E62" s="9"/>
      <c r="F62" s="9"/>
      <c r="G62" s="9"/>
      <c r="H62" s="9"/>
      <c r="I62" s="9"/>
      <c r="J62" s="9"/>
      <c r="K62" s="9"/>
      <c r="L62" s="36"/>
      <c r="M62" s="50" t="s">
        <v>6</v>
      </c>
      <c r="N62" s="9"/>
      <c r="O62" s="9"/>
      <c r="P62" s="9"/>
      <c r="Q62" s="9"/>
      <c r="R62" s="8"/>
      <c r="S62" s="8"/>
      <c r="T62" s="9"/>
      <c r="U62" s="9"/>
      <c r="V62" s="9"/>
      <c r="W62" s="9"/>
      <c r="X62" s="9"/>
      <c r="Y62" s="9"/>
      <c r="Z62" s="9"/>
      <c r="AA62" s="9"/>
      <c r="AB62" s="9"/>
      <c r="AC62" s="8"/>
      <c r="AD62" s="8"/>
      <c r="AE62" s="8"/>
      <c r="AF62" s="8"/>
      <c r="AG62" s="8"/>
      <c r="AH62" s="8"/>
      <c r="AI62" s="8"/>
      <c r="AJ62" s="36"/>
      <c r="AK62" s="50" t="s">
        <v>7</v>
      </c>
      <c r="AL62" s="8"/>
      <c r="AM62" s="8"/>
      <c r="AN62" s="8"/>
      <c r="AO62" s="8"/>
      <c r="AP62" s="8"/>
      <c r="AQ62" s="8"/>
      <c r="AS62" s="1" t="str">
        <f>SUM(N63:AI63)</f>
        <v>0</v>
      </c>
    </row>
    <row r="63" spans="1:45">
      <c r="A63" s="34"/>
      <c r="B63" s="49" t="s">
        <v>7</v>
      </c>
      <c r="C63" s="8"/>
      <c r="D63" s="9"/>
      <c r="E63" s="9"/>
      <c r="F63" s="9"/>
      <c r="G63" s="9"/>
      <c r="H63" s="9"/>
      <c r="I63" s="9"/>
      <c r="J63" s="9"/>
      <c r="K63" s="9"/>
      <c r="L63" s="36"/>
      <c r="M63" s="50" t="s">
        <v>7</v>
      </c>
      <c r="N63" s="8"/>
      <c r="O63" s="8"/>
      <c r="P63" s="8"/>
      <c r="Q63" s="8"/>
      <c r="R63" s="8"/>
      <c r="S63" s="8"/>
      <c r="T63" s="9"/>
      <c r="U63" s="9"/>
      <c r="V63" s="9"/>
      <c r="W63" s="9"/>
      <c r="X63" s="9"/>
      <c r="Y63" s="9"/>
      <c r="Z63" s="9"/>
      <c r="AA63" s="9"/>
      <c r="AB63" s="9"/>
      <c r="AC63" s="8"/>
      <c r="AD63" s="8"/>
      <c r="AE63" s="8"/>
      <c r="AF63" s="8"/>
      <c r="AG63" s="8"/>
      <c r="AH63" s="8"/>
      <c r="AI63" s="8"/>
      <c r="AJ63" s="36"/>
      <c r="AK63" s="50" t="s">
        <v>8</v>
      </c>
      <c r="AL63" s="8"/>
      <c r="AM63" s="8"/>
      <c r="AN63" s="8"/>
      <c r="AO63" s="8"/>
      <c r="AP63" s="8"/>
      <c r="AQ63" s="8"/>
      <c r="AS63" s="1" t="str">
        <f>SUM(N64:AI64)</f>
        <v>0</v>
      </c>
    </row>
    <row r="64" spans="1:45">
      <c r="A64" s="37"/>
      <c r="B64" s="49" t="s">
        <v>10</v>
      </c>
      <c r="C64" s="8"/>
      <c r="D64" s="9"/>
      <c r="E64" s="9"/>
      <c r="F64" s="9"/>
      <c r="G64" s="9"/>
      <c r="H64" s="9"/>
      <c r="I64" s="9"/>
      <c r="J64" s="9"/>
      <c r="K64" s="9"/>
      <c r="L64" s="39"/>
      <c r="M64" s="50" t="s">
        <v>10</v>
      </c>
      <c r="N64" s="8"/>
      <c r="O64" s="8"/>
      <c r="P64" s="8"/>
      <c r="Q64" s="8"/>
      <c r="R64" s="8"/>
      <c r="S64" s="8"/>
      <c r="T64" s="9"/>
      <c r="U64" s="9"/>
      <c r="V64" s="9"/>
      <c r="W64" s="9"/>
      <c r="X64" s="9"/>
      <c r="Y64" s="9"/>
      <c r="Z64" s="9"/>
      <c r="AA64" s="9"/>
      <c r="AB64" s="9"/>
      <c r="AC64" s="8"/>
      <c r="AD64" s="8"/>
      <c r="AE64" s="8"/>
      <c r="AF64" s="8"/>
      <c r="AG64" s="8"/>
      <c r="AH64" s="8"/>
      <c r="AI64" s="8"/>
      <c r="AJ64" s="39"/>
      <c r="AK64" s="50" t="s">
        <v>11</v>
      </c>
      <c r="AL64" s="8"/>
      <c r="AM64" s="8"/>
      <c r="AN64" s="8"/>
      <c r="AO64" s="8"/>
      <c r="AP64" s="8"/>
      <c r="AQ64" s="8"/>
      <c r="AS64" s="1" t="str">
        <f>SUM(N65:AI65)</f>
        <v>0</v>
      </c>
    </row>
    <row r="65" spans="1:45">
      <c r="A65" s="37"/>
      <c r="B65" s="49" t="s">
        <v>11</v>
      </c>
      <c r="C65" s="8"/>
      <c r="D65" s="9"/>
      <c r="E65" s="9"/>
      <c r="F65" s="9"/>
      <c r="G65" s="9"/>
      <c r="H65" s="9"/>
      <c r="I65" s="9"/>
      <c r="J65" s="9"/>
      <c r="K65" s="9"/>
      <c r="L65" s="39"/>
      <c r="M65" s="50" t="s">
        <v>11</v>
      </c>
      <c r="N65" s="8"/>
      <c r="O65" s="8"/>
      <c r="P65" s="8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8"/>
      <c r="AD65" s="8"/>
      <c r="AE65" s="8"/>
      <c r="AF65" s="8"/>
      <c r="AG65" s="8"/>
      <c r="AH65" s="8"/>
      <c r="AI65" s="8"/>
      <c r="AJ65" s="39"/>
      <c r="AK65" s="50" t="s">
        <v>12</v>
      </c>
      <c r="AL65" s="8"/>
      <c r="AM65" s="8"/>
      <c r="AN65" s="8"/>
      <c r="AO65" s="8"/>
      <c r="AP65" s="8"/>
      <c r="AQ65" s="8"/>
    </row>
    <row r="66" spans="1:45">
      <c r="A66" s="37"/>
      <c r="B66" s="49" t="s">
        <v>12</v>
      </c>
      <c r="C66" s="8"/>
      <c r="D66" s="9"/>
      <c r="E66" s="9"/>
      <c r="F66" s="9"/>
      <c r="G66" s="9"/>
      <c r="H66" s="9"/>
      <c r="I66" s="9"/>
      <c r="J66" s="9"/>
      <c r="K66" s="9"/>
      <c r="L66" s="39"/>
      <c r="M66" s="50" t="s">
        <v>12</v>
      </c>
      <c r="N66" s="8"/>
      <c r="O66" s="8"/>
      <c r="P66" s="8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8"/>
      <c r="AD66" s="8"/>
      <c r="AE66" s="8"/>
      <c r="AF66" s="8"/>
      <c r="AG66" s="8"/>
      <c r="AH66" s="8"/>
      <c r="AI66" s="8"/>
      <c r="AJ66" s="39"/>
      <c r="AK66" s="50" t="s">
        <v>13</v>
      </c>
      <c r="AL66" s="8"/>
      <c r="AM66" s="8"/>
      <c r="AN66" s="8"/>
      <c r="AO66" s="8"/>
      <c r="AP66" s="8"/>
      <c r="AQ66" s="8"/>
    </row>
    <row r="67" spans="1:45">
      <c r="A67" s="37"/>
      <c r="B67" s="49" t="s">
        <v>13</v>
      </c>
      <c r="C67" s="8"/>
      <c r="D67" s="9"/>
      <c r="E67" s="9"/>
      <c r="F67" s="9"/>
      <c r="G67" s="9"/>
      <c r="H67" s="9"/>
      <c r="I67" s="9"/>
      <c r="J67" s="9"/>
      <c r="K67" s="9"/>
      <c r="L67" s="39"/>
      <c r="M67" s="50" t="s">
        <v>13</v>
      </c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39"/>
      <c r="AK67" s="50" t="s">
        <v>14</v>
      </c>
      <c r="AL67" s="8"/>
      <c r="AM67" s="8"/>
      <c r="AN67" s="8"/>
      <c r="AO67" s="8"/>
      <c r="AP67" s="8"/>
      <c r="AQ67" s="8"/>
    </row>
    <row r="68" spans="1:45" customHeight="1" ht="15.75">
      <c r="A68" s="37"/>
      <c r="B68" s="49" t="s">
        <v>14</v>
      </c>
      <c r="C68" s="8"/>
      <c r="D68" s="9"/>
      <c r="E68" s="9"/>
      <c r="F68" s="9"/>
      <c r="G68" s="9"/>
      <c r="H68" s="9"/>
      <c r="I68" s="9"/>
      <c r="J68" s="9"/>
      <c r="K68" s="9"/>
      <c r="L68" s="39"/>
      <c r="M68" s="50" t="s">
        <v>14</v>
      </c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12"/>
      <c r="AK68" s="52"/>
      <c r="AL68" s="8"/>
      <c r="AM68" s="8"/>
      <c r="AN68" s="8"/>
      <c r="AO68" s="8"/>
      <c r="AP68" s="8"/>
      <c r="AQ68" s="8"/>
    </row>
    <row r="69" spans="1:45">
      <c r="A69" s="45"/>
      <c r="B69" s="48" t="s">
        <v>1</v>
      </c>
      <c r="C69" s="65">
        <v>201</v>
      </c>
      <c r="D69" s="65" t="str">
        <f>+C69+1</f>
        <v>0</v>
      </c>
      <c r="E69" s="65" t="str">
        <f>+D69+1</f>
        <v>0</v>
      </c>
      <c r="F69" s="65" t="str">
        <f>+E69+1</f>
        <v>0</v>
      </c>
      <c r="G69" s="65" t="str">
        <f>+F69+1</f>
        <v>0</v>
      </c>
      <c r="H69" s="65" t="str">
        <f>+G69+1</f>
        <v>0</v>
      </c>
      <c r="I69" s="65">
        <v>213</v>
      </c>
      <c r="J69" s="65" t="str">
        <f>+I69+1</f>
        <v>0</v>
      </c>
      <c r="K69" s="65" t="str">
        <f>+J69+1</f>
        <v>0</v>
      </c>
      <c r="L69" s="32"/>
      <c r="M69" s="48" t="s">
        <v>1</v>
      </c>
      <c r="N69" s="65">
        <v>299</v>
      </c>
      <c r="O69" s="65" t="str">
        <f>+N69+1</f>
        <v>0</v>
      </c>
      <c r="P69" s="65" t="str">
        <f>+O69+1</f>
        <v>0</v>
      </c>
      <c r="Q69" s="65" t="str">
        <f>+P69+1</f>
        <v>0</v>
      </c>
      <c r="R69" s="65" t="str">
        <f>+Q69+1</f>
        <v>0</v>
      </c>
      <c r="S69" s="65" t="str">
        <f>+R69+1</f>
        <v>0</v>
      </c>
      <c r="T69" s="65" t="str">
        <f>+S69+1</f>
        <v>0</v>
      </c>
      <c r="U69" s="65" t="str">
        <f>+T69+1</f>
        <v>0</v>
      </c>
      <c r="V69" s="65" t="str">
        <f>+U69+1</f>
        <v>0</v>
      </c>
      <c r="W69" s="65" t="str">
        <f>+V69+1</f>
        <v>0</v>
      </c>
      <c r="X69" s="65" t="str">
        <f>+W69+1</f>
        <v>0</v>
      </c>
      <c r="Y69" s="65" t="str">
        <f>+X69+1</f>
        <v>0</v>
      </c>
      <c r="Z69" s="65" t="str">
        <f>+Y69+1</f>
        <v>0</v>
      </c>
      <c r="AA69" s="65" t="str">
        <f>+Z69+1</f>
        <v>0</v>
      </c>
      <c r="AB69" s="65" t="str">
        <f>+AA69+1</f>
        <v>0</v>
      </c>
      <c r="AC69" s="65" t="str">
        <f>+AB69+1</f>
        <v>0</v>
      </c>
      <c r="AD69" s="65" t="str">
        <f>+AC69+1</f>
        <v>0</v>
      </c>
      <c r="AE69" s="65" t="str">
        <f>+AD69+1</f>
        <v>0</v>
      </c>
      <c r="AF69" s="65" t="str">
        <f>+AE69+1</f>
        <v>0</v>
      </c>
      <c r="AG69" s="65" t="str">
        <f>+AF69+1</f>
        <v>0</v>
      </c>
      <c r="AH69" s="65" t="str">
        <f>+AG69+1</f>
        <v>0</v>
      </c>
      <c r="AI69" s="65" t="str">
        <f>+AH69+1</f>
        <v>0</v>
      </c>
      <c r="AJ69" s="32"/>
      <c r="AK69" s="57" t="s">
        <v>1</v>
      </c>
      <c r="AL69" s="65">
        <v>207</v>
      </c>
      <c r="AM69" s="65" t="str">
        <f>+AL69+1</f>
        <v>0</v>
      </c>
      <c r="AN69" s="65" t="str">
        <f>+AM69+1</f>
        <v>0</v>
      </c>
      <c r="AO69" s="65" t="str">
        <f>+AN69+1</f>
        <v>0</v>
      </c>
      <c r="AP69" s="65" t="str">
        <f>+AO69+1</f>
        <v>0</v>
      </c>
      <c r="AQ69" s="65" t="str">
        <f>+AP69+1</f>
        <v>0</v>
      </c>
    </row>
    <row r="70" spans="1:45">
      <c r="A70" s="26"/>
      <c r="B70" s="49" t="s">
        <v>2</v>
      </c>
      <c r="C70" s="11" t="str">
        <f>IF(OR(C79="",C80="",C80=0),"",IFERROR(ROUND((C79*100000)/(C80*60*8),0),""))</f>
        <v>0</v>
      </c>
      <c r="D70" s="11" t="str">
        <f>IF(OR(D79="",D80="",D80=0),"",IFERROR(ROUND((D79*100000)/(D80*60*8),0),""))</f>
        <v>0</v>
      </c>
      <c r="E70" s="11" t="str">
        <f>IF(OR(E79="",E80="",E80=0),"",IFERROR(ROUND((E79*100000)/(E80*60*8),0),""))</f>
        <v>0</v>
      </c>
      <c r="F70" s="11" t="str">
        <f>IF(OR(F79="",F80="",F80=0),"",IFERROR(ROUND((F79*100000)/(F80*60*8),0),""))</f>
        <v>0</v>
      </c>
      <c r="G70" s="11" t="str">
        <f>IF(OR(G79="",G80="",G80=0),"",IFERROR(ROUND((G79*100000)/(G80*60*8),0),""))</f>
        <v>0</v>
      </c>
      <c r="H70" s="11" t="str">
        <f>IF(OR(H79="",H80="",H80=0),"",IFERROR(ROUND((H79*100000)/(H80*60*8),0),""))</f>
        <v>0</v>
      </c>
      <c r="I70" s="11" t="str">
        <f>IF(OR(I79="",I80="",I80=0),"",IFERROR(ROUND((I79*100000)/(I80*60*8),0),""))</f>
        <v>0</v>
      </c>
      <c r="J70" s="11" t="str">
        <f>IF(OR(J79="",J80="",J80=0),"",IFERROR(ROUND((J79*100000)/(J80*60*8),0),""))</f>
        <v>0</v>
      </c>
      <c r="K70" s="11" t="str">
        <f>IF(OR(K79="",K80="",K80=0),"",IFERROR(ROUND((K79*100000)/(K80*60*8),0),""))</f>
        <v>0</v>
      </c>
      <c r="L70" s="27"/>
      <c r="M70" s="50" t="s">
        <v>2</v>
      </c>
      <c r="N70" s="11" t="str">
        <f>IF(OR(N79="",N80="",N80=0),"",IFERROR(ROUND((N79*100000)/(N80*60*8),0),""))</f>
        <v>0</v>
      </c>
      <c r="O70" s="11" t="str">
        <f>IF(OR(O79="",O80="",O80=0),"",IFERROR(ROUND((O79*100000)/(O80*60*8),0),""))</f>
        <v>0</v>
      </c>
      <c r="P70" s="11" t="str">
        <f>IF(OR(P79="",P80="",P80=0),"",IFERROR(ROUND((P79*100000)/(P80*60*8),0),""))</f>
        <v>0</v>
      </c>
      <c r="Q70" s="11" t="str">
        <f>IF(OR(Q79="",Q80="",Q80=0),"",IFERROR(ROUND((Q79*100000)/(Q80*60*8),0),""))</f>
        <v>0</v>
      </c>
      <c r="R70" s="11" t="str">
        <f>IF(OR(R79="",R80="",R80=0),"",IFERROR(ROUND((R79*100000)/(R80*60*8),0),""))</f>
        <v>0</v>
      </c>
      <c r="S70" s="11" t="str">
        <f>IF(OR(S79="",S80="",S80=0),"",IFERROR(ROUND((S79*100000)/(S80*60*8),0),""))</f>
        <v>0</v>
      </c>
      <c r="T70" s="11" t="str">
        <f>IF(OR(T79="",T80="",T80=0),"",IFERROR(ROUND((T79*100000)/(T80*60*8),0),""))</f>
        <v>0</v>
      </c>
      <c r="U70" s="11" t="str">
        <f>IF(OR(U79="",U80="",U80=0),"",IFERROR(ROUND((U79*100000)/(U80*60*8),0),""))</f>
        <v>0</v>
      </c>
      <c r="V70" s="11" t="str">
        <f>IF(OR(V79="",V80="",V80=0),"",IFERROR(ROUND((V79*100000)/(V80*60*8),0),""))</f>
        <v>0</v>
      </c>
      <c r="W70" s="11" t="str">
        <f>IF(OR(W79="",W80="",W80=0),"",IFERROR(ROUND((W79*100000)/(W80*60*8),0),""))</f>
        <v>0</v>
      </c>
      <c r="X70" s="11" t="str">
        <f>IF(OR(X79="",X80="",X80=0),"",IFERROR(ROUND((X79*100000)/(X80*60*8),0),""))</f>
        <v>0</v>
      </c>
      <c r="Y70" s="11" t="str">
        <f>IF(OR(Y79="",Y80="",Y80=0),"",IFERROR(ROUND((Y79*100000)/(Y80*60*8),0),""))</f>
        <v>0</v>
      </c>
      <c r="Z70" s="11" t="str">
        <f>IF(OR(Z79="",Z80="",Z80=0),"",IFERROR(ROUND((Z79*100000)/(Z80*60*8),0),""))</f>
        <v>0</v>
      </c>
      <c r="AA70" s="11" t="str">
        <f>IF(OR(AA79="",AA80="",AA80=0),"",IFERROR(ROUND((AA79*100000)/(AA80*60*8),0),""))</f>
        <v>0</v>
      </c>
      <c r="AB70" s="11" t="str">
        <f>IF(OR(AB79="",AB80="",AB80=0),"",IFERROR(ROUND((AB79*100000)/(AB80*60*8),0),""))</f>
        <v>0</v>
      </c>
      <c r="AC70" s="11" t="str">
        <f>IF(OR(AC79="",AC80="",AC80=0),"",IFERROR(ROUND((AC79*100000)/(AC80*60*8),0),""))</f>
        <v>0</v>
      </c>
      <c r="AD70" s="11" t="str">
        <f>IF(OR(AD79="",AD80="",AD80=0),"",IFERROR(ROUND((AD79*100000)/(AD80*60*8),0),""))</f>
        <v>0</v>
      </c>
      <c r="AE70" s="11" t="str">
        <f>IF(OR(AE79="",AE80="",AE80=0),"",IFERROR(ROUND((AE79*100000)/(AE80*60*8),0),""))</f>
        <v>0</v>
      </c>
      <c r="AF70" s="11" t="str">
        <f>IF(OR(AF79="",AF80="",AF80=0),"",IFERROR(ROUND((AF79*100000)/(AF80*60*8),0),""))</f>
        <v>0</v>
      </c>
      <c r="AG70" s="11" t="str">
        <f>IF(OR(AG79="",AG80="",AG80=0),"",IFERROR(ROUND((AG79*100000)/(AG80*60*8),0),""))</f>
        <v>0</v>
      </c>
      <c r="AH70" s="11" t="str">
        <f>IF(OR(AH79="",AH80="",AH80=0),"",IFERROR(ROUND((AH79*100000)/(AH80*60*8),0),""))</f>
        <v>0</v>
      </c>
      <c r="AI70" s="11" t="str">
        <f>IF(OR(AI79="",AI80="",AI80=0),"",IFERROR(ROUND((AI79*100000)/(AI80*60*8),0),""))</f>
        <v>0</v>
      </c>
      <c r="AJ70" s="27"/>
      <c r="AK70" s="50" t="s">
        <v>2</v>
      </c>
      <c r="AL70" s="11" t="str">
        <f>IF(OR(AL78="",AL79="",AL79=0),"",IFERROR(ROUND((AL78*100000)/(AL79*60*8),0),""))</f>
        <v>0</v>
      </c>
      <c r="AM70" s="11" t="str">
        <f>IF(OR(AM78="",AM79="",AM79=0),"",IFERROR(ROUND((AM78*100000)/(AM79*60*8),0),""))</f>
        <v>0</v>
      </c>
      <c r="AN70" s="11" t="str">
        <f>IF(OR(AN78="",AN79="",AN79=0),"",IFERROR(ROUND((AN78*100000)/(AN79*60*8),0),""))</f>
        <v>0</v>
      </c>
      <c r="AO70" s="11" t="str">
        <f>IF(OR(AO78="",AO79="",AO79=0),"",IFERROR(ROUND((AO78*100000)/(AO79*60*8),0),""))</f>
        <v>0</v>
      </c>
      <c r="AP70" s="11" t="str">
        <f>IF(OR(AP78="",AP79="",AP79=0),"",IFERROR(ROUND((AP78*100000)/(AP79*60*8),0),""))</f>
        <v>0</v>
      </c>
      <c r="AQ70" s="11" t="str">
        <f>IF(OR(AQ78="",AQ79="",AQ79=0),"",IFERROR(ROUND((AQ78*100000)/(AQ79*60*8),0),""))</f>
        <v>0</v>
      </c>
      <c r="AS70" s="6" t="str">
        <f>SUM(N71:AI71)</f>
        <v>0</v>
      </c>
    </row>
    <row r="71" spans="1:45">
      <c r="A71" s="26"/>
      <c r="B71" s="49" t="s">
        <v>3</v>
      </c>
      <c r="C71" s="8"/>
      <c r="D71" s="8"/>
      <c r="E71" s="9"/>
      <c r="F71" s="9"/>
      <c r="G71" s="9"/>
      <c r="H71" s="9"/>
      <c r="I71" s="9"/>
      <c r="J71" s="9"/>
      <c r="K71" s="9"/>
      <c r="L71" s="27"/>
      <c r="M71" s="50" t="s">
        <v>3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8"/>
      <c r="AH71" s="8"/>
      <c r="AI71" s="8"/>
      <c r="AJ71" s="27"/>
      <c r="AK71" s="50" t="s">
        <v>3</v>
      </c>
      <c r="AL71" s="8"/>
      <c r="AM71" s="8"/>
      <c r="AN71" s="8"/>
      <c r="AO71" s="8"/>
      <c r="AP71" s="8"/>
      <c r="AQ71" s="8"/>
      <c r="AS71" s="6" t="str">
        <f>SUM(N72:AI72)</f>
        <v>0</v>
      </c>
    </row>
    <row r="72" spans="1:45">
      <c r="A72" s="26"/>
      <c r="B72" s="50" t="s">
        <v>4</v>
      </c>
      <c r="C72" s="8"/>
      <c r="D72" s="8"/>
      <c r="E72" s="9"/>
      <c r="F72" s="9"/>
      <c r="G72" s="9"/>
      <c r="H72" s="9"/>
      <c r="I72" s="9"/>
      <c r="J72" s="9"/>
      <c r="K72" s="9"/>
      <c r="L72" s="27"/>
      <c r="M72" s="50" t="s">
        <v>4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8"/>
      <c r="AH72" s="8"/>
      <c r="AI72" s="8"/>
      <c r="AJ72" s="27"/>
      <c r="AK72" s="50" t="s">
        <v>4</v>
      </c>
      <c r="AL72" s="8"/>
      <c r="AM72" s="8"/>
      <c r="AN72" s="8"/>
      <c r="AO72" s="8"/>
      <c r="AP72" s="8"/>
      <c r="AQ72" s="8"/>
      <c r="AS72" s="6" t="str">
        <f>SUM(N73:AI73)</f>
        <v>0</v>
      </c>
    </row>
    <row r="73" spans="1:45">
      <c r="A73" s="26"/>
      <c r="B73" s="49" t="s">
        <v>5</v>
      </c>
      <c r="C73" s="8"/>
      <c r="D73" s="8"/>
      <c r="E73" s="9"/>
      <c r="F73" s="9"/>
      <c r="G73" s="9"/>
      <c r="H73" s="9"/>
      <c r="I73" s="9"/>
      <c r="J73" s="9"/>
      <c r="K73" s="9"/>
      <c r="L73" s="27"/>
      <c r="M73" s="50" t="s">
        <v>5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8"/>
      <c r="AH73" s="8"/>
      <c r="AI73" s="8"/>
      <c r="AJ73" s="27"/>
      <c r="AK73" s="50" t="s">
        <v>5</v>
      </c>
      <c r="AL73" s="8"/>
      <c r="AM73" s="8"/>
      <c r="AN73" s="8"/>
      <c r="AO73" s="8"/>
      <c r="AP73" s="8"/>
      <c r="AQ73" s="8"/>
      <c r="AS73" s="6" t="str">
        <f>SUM(N74:AI74)</f>
        <v>0</v>
      </c>
    </row>
    <row r="74" spans="1:45">
      <c r="A74" s="26"/>
      <c r="B74" s="49" t="s">
        <v>6</v>
      </c>
      <c r="C74" s="8"/>
      <c r="D74" s="8"/>
      <c r="E74" s="9"/>
      <c r="F74" s="9"/>
      <c r="G74" s="9"/>
      <c r="H74" s="9"/>
      <c r="I74" s="9"/>
      <c r="J74" s="9"/>
      <c r="K74" s="9"/>
      <c r="L74" s="27"/>
      <c r="M74" s="50" t="s">
        <v>6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8"/>
      <c r="AH74" s="8"/>
      <c r="AI74" s="8"/>
      <c r="AJ74" s="27"/>
      <c r="AK74" s="50" t="s">
        <v>7</v>
      </c>
      <c r="AL74" s="8"/>
      <c r="AM74" s="8"/>
      <c r="AN74" s="8"/>
      <c r="AO74" s="8"/>
      <c r="AP74" s="8"/>
      <c r="AQ74" s="8"/>
      <c r="AS74" s="6" t="str">
        <f>SUM(N75:AI75)</f>
        <v>0</v>
      </c>
    </row>
    <row r="75" spans="1:45">
      <c r="A75" s="26"/>
      <c r="B75" s="49" t="s">
        <v>7</v>
      </c>
      <c r="C75" s="8"/>
      <c r="D75" s="8"/>
      <c r="E75" s="9"/>
      <c r="F75" s="9"/>
      <c r="G75" s="9"/>
      <c r="H75" s="9"/>
      <c r="I75" s="9"/>
      <c r="J75" s="9"/>
      <c r="K75" s="9"/>
      <c r="L75" s="27"/>
      <c r="M75" s="50" t="s">
        <v>7</v>
      </c>
      <c r="N75" s="8"/>
      <c r="O75" s="8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8"/>
      <c r="AH75" s="8"/>
      <c r="AI75" s="8"/>
      <c r="AJ75" s="7"/>
      <c r="AK75" s="50" t="s">
        <v>8</v>
      </c>
      <c r="AL75" s="8"/>
      <c r="AM75" s="8"/>
      <c r="AN75" s="8"/>
      <c r="AO75" s="8"/>
      <c r="AP75" s="8"/>
      <c r="AQ75" s="8"/>
      <c r="AS75" s="6" t="str">
        <f>SUM(N76:AI76)</f>
        <v>0</v>
      </c>
    </row>
    <row r="76" spans="1:45">
      <c r="A76" s="28"/>
      <c r="B76" s="49" t="s">
        <v>10</v>
      </c>
      <c r="C76" s="8"/>
      <c r="D76" s="8"/>
      <c r="E76" s="9"/>
      <c r="F76" s="9"/>
      <c r="G76" s="9"/>
      <c r="H76" s="9"/>
      <c r="I76" s="9"/>
      <c r="J76" s="9"/>
      <c r="K76" s="9"/>
      <c r="L76" s="25"/>
      <c r="M76" s="50" t="s">
        <v>10</v>
      </c>
      <c r="N76" s="8"/>
      <c r="O76" s="8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8"/>
      <c r="AH76" s="8"/>
      <c r="AI76" s="8"/>
      <c r="AJ76" s="25"/>
      <c r="AK76" s="50" t="s">
        <v>11</v>
      </c>
      <c r="AL76" s="8"/>
      <c r="AM76" s="8"/>
      <c r="AN76" s="8"/>
      <c r="AO76" s="8"/>
      <c r="AP76" s="8"/>
      <c r="AQ76" s="8"/>
      <c r="AS76" s="6" t="str">
        <f>SUM(N77:AI77)</f>
        <v>0</v>
      </c>
    </row>
    <row r="77" spans="1:45">
      <c r="A77" s="28"/>
      <c r="B77" s="49" t="s">
        <v>11</v>
      </c>
      <c r="C77" s="8"/>
      <c r="D77" s="8"/>
      <c r="E77" s="9"/>
      <c r="F77" s="9"/>
      <c r="G77" s="9"/>
      <c r="H77" s="9"/>
      <c r="I77" s="9"/>
      <c r="J77" s="9"/>
      <c r="K77" s="9"/>
      <c r="L77" s="25"/>
      <c r="M77" s="50" t="s">
        <v>11</v>
      </c>
      <c r="N77" s="8"/>
      <c r="O77" s="8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8"/>
      <c r="AH77" s="8"/>
      <c r="AI77" s="8"/>
      <c r="AJ77" s="25"/>
      <c r="AK77" s="50" t="s">
        <v>12</v>
      </c>
      <c r="AL77" s="8"/>
      <c r="AM77" s="8"/>
      <c r="AN77" s="8"/>
      <c r="AO77" s="8"/>
      <c r="AP77" s="8"/>
      <c r="AQ77" s="8"/>
    </row>
    <row r="78" spans="1:45">
      <c r="A78" s="28"/>
      <c r="B78" s="49" t="s">
        <v>12</v>
      </c>
      <c r="C78" s="8"/>
      <c r="D78" s="8"/>
      <c r="E78" s="9"/>
      <c r="F78" s="9"/>
      <c r="G78" s="9"/>
      <c r="H78" s="9"/>
      <c r="I78" s="9"/>
      <c r="J78" s="9"/>
      <c r="K78" s="9"/>
      <c r="L78" s="25"/>
      <c r="M78" s="50" t="s">
        <v>12</v>
      </c>
      <c r="N78" s="8"/>
      <c r="O78" s="8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8"/>
      <c r="AH78" s="8"/>
      <c r="AI78" s="8"/>
      <c r="AJ78" s="25"/>
      <c r="AK78" s="50" t="s">
        <v>13</v>
      </c>
      <c r="AL78" s="8"/>
      <c r="AM78" s="8"/>
      <c r="AN78" s="8"/>
      <c r="AO78" s="8"/>
      <c r="AP78" s="8"/>
      <c r="AQ78" s="8"/>
    </row>
    <row r="79" spans="1:45">
      <c r="A79" s="28"/>
      <c r="B79" s="49" t="s">
        <v>13</v>
      </c>
      <c r="C79" s="8"/>
      <c r="D79" s="8"/>
      <c r="E79" s="8"/>
      <c r="F79" s="8"/>
      <c r="G79" s="8"/>
      <c r="H79" s="8"/>
      <c r="I79" s="8"/>
      <c r="J79" s="8"/>
      <c r="K79" s="8"/>
      <c r="L79" s="25"/>
      <c r="M79" s="50" t="s">
        <v>13</v>
      </c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25"/>
      <c r="AK79" s="50" t="s">
        <v>14</v>
      </c>
      <c r="AL79" s="8"/>
      <c r="AM79" s="8"/>
      <c r="AN79" s="8"/>
      <c r="AO79" s="8"/>
      <c r="AP79" s="8"/>
      <c r="AQ79" s="8"/>
    </row>
    <row r="80" spans="1:45">
      <c r="A80" s="28"/>
      <c r="B80" s="49" t="s">
        <v>14</v>
      </c>
      <c r="C80" s="8"/>
      <c r="D80" s="8"/>
      <c r="E80" s="8"/>
      <c r="F80" s="8"/>
      <c r="G80" s="8"/>
      <c r="H80" s="8"/>
      <c r="I80" s="8"/>
      <c r="J80" s="8"/>
      <c r="K80" s="8"/>
      <c r="L80" s="25"/>
      <c r="M80" s="50" t="s">
        <v>14</v>
      </c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K80" s="49"/>
      <c r="AL80" s="8"/>
      <c r="AM80" s="8"/>
      <c r="AN80" s="8"/>
      <c r="AO80" s="8"/>
      <c r="AP80" s="8"/>
      <c r="AQ80" s="8"/>
    </row>
    <row r="81" spans="1:45">
      <c r="A81" s="26"/>
      <c r="B81" s="49" t="s">
        <v>2</v>
      </c>
      <c r="C81" s="11" t="str">
        <f>IF(OR(C90="",C91="",C91=0),"",IFERROR(ROUND((C90*100000)/(C91*60*8),0),""))</f>
        <v>0</v>
      </c>
      <c r="D81" s="11" t="str">
        <f>IF(OR(D90="",D91="",D91=0),"",IFERROR(ROUND((D90*100000)/(D91*60*8),0),""))</f>
        <v>0</v>
      </c>
      <c r="E81" s="11" t="str">
        <f>IF(OR(E90="",E91="",E91=0),"",IFERROR(ROUND((E90*100000)/(E91*60*8),0),""))</f>
        <v>0</v>
      </c>
      <c r="F81" s="11" t="str">
        <f>IF(OR(F90="",F91="",F91=0),"",IFERROR(ROUND((F90*100000)/(F91*60*8),0),""))</f>
        <v>0</v>
      </c>
      <c r="G81" s="11" t="str">
        <f>IF(OR(G90="",G91="",G91=0),"",IFERROR(ROUND((G90*100000)/(G91*60*8),0),""))</f>
        <v>0</v>
      </c>
      <c r="H81" s="11" t="str">
        <f>IF(OR(H90="",H91="",H91=0),"",IFERROR(ROUND((H90*100000)/(H91*60*8),0),""))</f>
        <v>0</v>
      </c>
      <c r="I81" s="11" t="str">
        <f>IF(OR(I90="",I91="",I91=0),"",IFERROR(ROUND((I90*100000)/(I91*60*8),0),""))</f>
        <v>0</v>
      </c>
      <c r="J81" s="11" t="str">
        <f>IF(OR(J90="",J91="",J91=0),"",IFERROR(ROUND((J90*100000)/(J91*60*8),0),""))</f>
        <v>0</v>
      </c>
      <c r="K81" s="11" t="str">
        <f>IF(OR(K90="",K91="",K91=0),"",IFERROR(ROUND((K90*100000)/(K91*60*8),0),""))</f>
        <v>0</v>
      </c>
      <c r="L81" s="7"/>
      <c r="M81" s="50" t="s">
        <v>2</v>
      </c>
      <c r="N81" s="11" t="str">
        <f>IF(OR(N90="",N91="",N91=0),"",IFERROR(ROUND((N90*100000)/(N91*60*8),0),""))</f>
        <v>0</v>
      </c>
      <c r="O81" s="11" t="str">
        <f>IF(OR(O90="",O91="",O91=0),"",IFERROR(ROUND((O90*100000)/(O91*60*8),0),""))</f>
        <v>0</v>
      </c>
      <c r="P81" s="11" t="str">
        <f>IF(OR(P90="",P91="",P91=0),"",IFERROR(ROUND((P90*100000)/(P91*60*8),0),""))</f>
        <v>0</v>
      </c>
      <c r="Q81" s="11" t="str">
        <f>IF(OR(Q90="",Q91="",Q91=0),"",IFERROR(ROUND((Q90*100000)/(Q91*60*8),0),""))</f>
        <v>0</v>
      </c>
      <c r="R81" s="11" t="str">
        <f>IF(OR(R90="",R91="",R91=0),"",IFERROR(ROUND((R90*100000)/(R91*60*8),0),""))</f>
        <v>0</v>
      </c>
      <c r="S81" s="11" t="str">
        <f>IF(OR(S90="",S91="",S91=0),"",IFERROR(ROUND((S90*100000)/(S91*60*8),0),""))</f>
        <v>0</v>
      </c>
      <c r="T81" s="11" t="str">
        <f>IF(OR(T90="",T91="",T91=0),"",IFERROR(ROUND((T90*100000)/(T91*60*8),0),""))</f>
        <v>0</v>
      </c>
      <c r="U81" s="11" t="str">
        <f>IF(OR(U90="",U91="",U91=0),"",IFERROR(ROUND((U90*100000)/(U91*60*8),0),""))</f>
        <v>0</v>
      </c>
      <c r="V81" s="11" t="str">
        <f>IF(OR(V90="",V91="",V91=0),"",IFERROR(ROUND((V90*100000)/(V91*60*8),0),""))</f>
        <v>0</v>
      </c>
      <c r="W81" s="11" t="str">
        <f>IF(OR(W90="",W91="",W91=0),"",IFERROR(ROUND((W90*100000)/(W91*60*8),0),""))</f>
        <v>0</v>
      </c>
      <c r="X81" s="11" t="str">
        <f>IF(OR(X90="",X91="",X91=0),"",IFERROR(ROUND((X90*100000)/(X91*60*8),0),""))</f>
        <v>0</v>
      </c>
      <c r="Y81" s="11" t="str">
        <f>IF(OR(Y90="",Y91="",Y91=0),"",IFERROR(ROUND((Y90*100000)/(Y91*60*8),0),""))</f>
        <v>0</v>
      </c>
      <c r="Z81" s="11" t="str">
        <f>IF(OR(Z90="",Z91="",Z91=0),"",IFERROR(ROUND((Z90*100000)/(Z91*60*8),0),""))</f>
        <v>0</v>
      </c>
      <c r="AA81" s="11" t="str">
        <f>IF(OR(AA90="",AA91="",AA91=0),"",IFERROR(ROUND((AA90*100000)/(AA91*60*8),0),""))</f>
        <v>0</v>
      </c>
      <c r="AB81" s="11" t="str">
        <f>IF(OR(AB90="",AB91="",AB91=0),"",IFERROR(ROUND((AB90*100000)/(AB91*60*8),0),""))</f>
        <v>0</v>
      </c>
      <c r="AC81" s="11" t="str">
        <f>IF(OR(AC90="",AC91="",AC91=0),"",IFERROR(ROUND((AC90*100000)/(AC91*60*8),0),""))</f>
        <v>0</v>
      </c>
      <c r="AD81" s="11" t="str">
        <f>IF(OR(AD90="",AD91="",AD91=0),"",IFERROR(ROUND((AD90*100000)/(AD91*60*8),0),""))</f>
        <v>0</v>
      </c>
      <c r="AE81" s="11" t="str">
        <f>IF(OR(AE90="",AE91="",AE91=0),"",IFERROR(ROUND((AE90*100000)/(AE91*60*8),0),""))</f>
        <v>0</v>
      </c>
      <c r="AF81" s="11" t="str">
        <f>IF(OR(AF90="",AF91="",AF91=0),"",IFERROR(ROUND((AF90*100000)/(AF91*60*8),0),""))</f>
        <v>0</v>
      </c>
      <c r="AG81" s="11" t="str">
        <f>IF(OR(AG90="",AG91="",AG91=0),"",IFERROR(ROUND((AG90*100000)/(AG91*60*8),0),""))</f>
        <v>0</v>
      </c>
      <c r="AH81" s="11" t="str">
        <f>IF(OR(AH90="",AH91="",AH91=0),"",IFERROR(ROUND((AH90*100000)/(AH91*60*8),0),""))</f>
        <v>0</v>
      </c>
      <c r="AI81" s="11" t="str">
        <f>IF(OR(AI90="",AI91="",AI91=0),"",IFERROR(ROUND((AI90*100000)/(AI91*60*8),0),""))</f>
        <v>0</v>
      </c>
      <c r="AJ81" s="7"/>
      <c r="AK81" s="50" t="s">
        <v>2</v>
      </c>
      <c r="AL81" s="11" t="str">
        <f>IF(OR(AL89="",AL90="",AL90=0),"",IFERROR(ROUND((AL89*100000)/(AL90*60*8),0),""))</f>
        <v>0</v>
      </c>
      <c r="AM81" s="11" t="str">
        <f>IF(OR(AM89="",AM90="",AM90=0),"",IFERROR(ROUND((AM89*100000)/(AM90*60*8),0),""))</f>
        <v>0</v>
      </c>
      <c r="AN81" s="11" t="str">
        <f>IF(OR(AN89="",AN90="",AN90=0),"",IFERROR(ROUND((AN89*100000)/(AN90*60*8),0),""))</f>
        <v>0</v>
      </c>
      <c r="AO81" s="11" t="str">
        <f>IF(OR(AO89="",AO90="",AO90=0),"",IFERROR(ROUND((AO89*100000)/(AO90*60*8),0),""))</f>
        <v>0</v>
      </c>
      <c r="AP81" s="11" t="str">
        <f>IF(OR(AP89="",AP90="",AP90=0),"",IFERROR(ROUND((AP89*100000)/(AP90*60*8),0),""))</f>
        <v>0</v>
      </c>
      <c r="AQ81" s="11" t="str">
        <f>IF(OR(AQ89="",AQ90="",AQ90=0),"",IFERROR(ROUND((AQ89*100000)/(AQ90*60*8),0),""))</f>
        <v>0</v>
      </c>
      <c r="AS81" s="6" t="str">
        <f>SUM(N82:AI82)</f>
        <v>0</v>
      </c>
    </row>
    <row r="82" spans="1:45">
      <c r="A82" s="26"/>
      <c r="B82" s="49" t="s">
        <v>3</v>
      </c>
      <c r="C82" s="9"/>
      <c r="D82" s="9"/>
      <c r="E82" s="9"/>
      <c r="F82" s="9"/>
      <c r="G82" s="9"/>
      <c r="H82" s="9"/>
      <c r="I82" s="9"/>
      <c r="J82" s="9"/>
      <c r="K82" s="9"/>
      <c r="L82" s="27"/>
      <c r="M82" s="50" t="s">
        <v>3</v>
      </c>
      <c r="N82" s="8"/>
      <c r="O82" s="8"/>
      <c r="P82" s="8"/>
      <c r="Q82" s="8"/>
      <c r="R82" s="8"/>
      <c r="S82" s="8"/>
      <c r="T82" s="8"/>
      <c r="U82" s="8"/>
      <c r="V82" s="8"/>
      <c r="W82" s="8"/>
      <c r="X82" s="9"/>
      <c r="Y82" s="9"/>
      <c r="Z82" s="9"/>
      <c r="AA82" s="9"/>
      <c r="AB82" s="9"/>
      <c r="AC82" s="8"/>
      <c r="AD82" s="8"/>
      <c r="AE82" s="8"/>
      <c r="AF82" s="8"/>
      <c r="AG82" s="8"/>
      <c r="AH82" s="8"/>
      <c r="AI82" s="8"/>
      <c r="AJ82" s="27"/>
      <c r="AK82" s="50" t="s">
        <v>3</v>
      </c>
      <c r="AL82" s="8"/>
      <c r="AM82" s="8"/>
      <c r="AN82" s="8"/>
      <c r="AO82" s="8"/>
      <c r="AP82" s="8"/>
      <c r="AQ82" s="8"/>
      <c r="AS82" s="6" t="str">
        <f>SUM(N83:AI83)</f>
        <v>0</v>
      </c>
    </row>
    <row r="83" spans="1:45">
      <c r="A83" s="26"/>
      <c r="B83" s="50" t="s">
        <v>4</v>
      </c>
      <c r="C83" s="9"/>
      <c r="D83" s="9"/>
      <c r="E83" s="9"/>
      <c r="F83" s="9"/>
      <c r="G83" s="9"/>
      <c r="H83" s="9"/>
      <c r="I83" s="9"/>
      <c r="J83" s="9"/>
      <c r="K83" s="9"/>
      <c r="L83" s="27"/>
      <c r="M83" s="50" t="s">
        <v>4</v>
      </c>
      <c r="N83" s="8"/>
      <c r="O83" s="8"/>
      <c r="P83" s="8"/>
      <c r="Q83" s="8"/>
      <c r="R83" s="8"/>
      <c r="S83" s="8"/>
      <c r="T83" s="8"/>
      <c r="U83" s="8"/>
      <c r="V83" s="8"/>
      <c r="W83" s="8"/>
      <c r="X83" s="9"/>
      <c r="Y83" s="9"/>
      <c r="Z83" s="9"/>
      <c r="AA83" s="9"/>
      <c r="AB83" s="9"/>
      <c r="AC83" s="8"/>
      <c r="AD83" s="8"/>
      <c r="AE83" s="8"/>
      <c r="AF83" s="8"/>
      <c r="AG83" s="8"/>
      <c r="AH83" s="8"/>
      <c r="AI83" s="8"/>
      <c r="AJ83" s="27"/>
      <c r="AK83" s="50" t="s">
        <v>4</v>
      </c>
      <c r="AL83" s="8"/>
      <c r="AM83" s="8"/>
      <c r="AN83" s="8"/>
      <c r="AO83" s="8"/>
      <c r="AP83" s="8"/>
      <c r="AQ83" s="8"/>
      <c r="AS83" s="6" t="str">
        <f>SUM(N84:AI84)</f>
        <v>0</v>
      </c>
    </row>
    <row r="84" spans="1:45">
      <c r="A84" s="26"/>
      <c r="B84" s="49" t="s">
        <v>5</v>
      </c>
      <c r="C84" s="9"/>
      <c r="D84" s="9"/>
      <c r="E84" s="9"/>
      <c r="F84" s="9"/>
      <c r="G84" s="9"/>
      <c r="H84" s="9"/>
      <c r="I84" s="9"/>
      <c r="J84" s="9"/>
      <c r="K84" s="9"/>
      <c r="L84" s="27"/>
      <c r="M84" s="50" t="s">
        <v>5</v>
      </c>
      <c r="N84" s="8"/>
      <c r="O84" s="8"/>
      <c r="P84" s="8"/>
      <c r="Q84" s="8"/>
      <c r="R84" s="8"/>
      <c r="S84" s="8"/>
      <c r="T84" s="8"/>
      <c r="U84" s="8"/>
      <c r="V84" s="8"/>
      <c r="W84" s="8"/>
      <c r="X84" s="9"/>
      <c r="Y84" s="9"/>
      <c r="Z84" s="9"/>
      <c r="AA84" s="9"/>
      <c r="AB84" s="9"/>
      <c r="AC84" s="8"/>
      <c r="AD84" s="8"/>
      <c r="AE84" s="8"/>
      <c r="AF84" s="8"/>
      <c r="AG84" s="8"/>
      <c r="AH84" s="8"/>
      <c r="AI84" s="8"/>
      <c r="AJ84" s="27"/>
      <c r="AK84" s="50" t="s">
        <v>5</v>
      </c>
      <c r="AL84" s="8"/>
      <c r="AM84" s="8"/>
      <c r="AN84" s="8"/>
      <c r="AO84" s="8"/>
      <c r="AP84" s="8"/>
      <c r="AQ84" s="8"/>
      <c r="AS84" s="6" t="str">
        <f>SUM(N85:AI85)</f>
        <v>0</v>
      </c>
    </row>
    <row r="85" spans="1:45">
      <c r="A85" s="26"/>
      <c r="B85" s="49" t="s">
        <v>6</v>
      </c>
      <c r="C85" s="9"/>
      <c r="D85" s="9"/>
      <c r="E85" s="9"/>
      <c r="F85" s="9"/>
      <c r="G85" s="9"/>
      <c r="H85" s="9"/>
      <c r="I85" s="9"/>
      <c r="J85" s="9"/>
      <c r="K85" s="9"/>
      <c r="L85" s="27"/>
      <c r="M85" s="50" t="s">
        <v>6</v>
      </c>
      <c r="N85" s="8"/>
      <c r="O85" s="8"/>
      <c r="P85" s="8"/>
      <c r="Q85" s="8"/>
      <c r="R85" s="8"/>
      <c r="S85" s="8"/>
      <c r="T85" s="8"/>
      <c r="U85" s="8"/>
      <c r="V85" s="8"/>
      <c r="W85" s="8"/>
      <c r="X85" s="9"/>
      <c r="Y85" s="9"/>
      <c r="Z85" s="9"/>
      <c r="AA85" s="9"/>
      <c r="AB85" s="9"/>
      <c r="AC85" s="8"/>
      <c r="AD85" s="8"/>
      <c r="AE85" s="8"/>
      <c r="AF85" s="8"/>
      <c r="AG85" s="8"/>
      <c r="AH85" s="8"/>
      <c r="AI85" s="8"/>
      <c r="AJ85" s="27"/>
      <c r="AK85" s="50" t="s">
        <v>7</v>
      </c>
      <c r="AL85" s="8"/>
      <c r="AM85" s="8"/>
      <c r="AN85" s="8"/>
      <c r="AO85" s="8"/>
      <c r="AP85" s="8"/>
      <c r="AQ85" s="8"/>
      <c r="AS85" s="6" t="str">
        <f>SUM(N86:AI86)</f>
        <v>0</v>
      </c>
    </row>
    <row r="86" spans="1:45">
      <c r="A86" s="26"/>
      <c r="B86" s="49" t="s">
        <v>7</v>
      </c>
      <c r="C86" s="9"/>
      <c r="D86" s="9"/>
      <c r="E86" s="9"/>
      <c r="F86" s="9"/>
      <c r="G86" s="9"/>
      <c r="H86" s="9"/>
      <c r="I86" s="9"/>
      <c r="J86" s="9"/>
      <c r="K86" s="9"/>
      <c r="L86" s="27"/>
      <c r="M86" s="50" t="s">
        <v>7</v>
      </c>
      <c r="N86" s="8"/>
      <c r="O86" s="8"/>
      <c r="P86" s="8"/>
      <c r="Q86" s="8"/>
      <c r="R86" s="8"/>
      <c r="S86" s="8"/>
      <c r="T86" s="8"/>
      <c r="U86" s="8"/>
      <c r="V86" s="8"/>
      <c r="W86" s="8"/>
      <c r="X86" s="9"/>
      <c r="Y86" s="9"/>
      <c r="Z86" s="9"/>
      <c r="AA86" s="9"/>
      <c r="AB86" s="9"/>
      <c r="AC86" s="8"/>
      <c r="AD86" s="8"/>
      <c r="AE86" s="8"/>
      <c r="AF86" s="8"/>
      <c r="AG86" s="8"/>
      <c r="AH86" s="8"/>
      <c r="AI86" s="8"/>
      <c r="AJ86" s="27"/>
      <c r="AK86" s="50" t="s">
        <v>8</v>
      </c>
      <c r="AL86" s="8"/>
      <c r="AM86" s="8"/>
      <c r="AN86" s="8"/>
      <c r="AO86" s="8"/>
      <c r="AP86" s="8"/>
      <c r="AQ86" s="8"/>
      <c r="AS86" s="6" t="str">
        <f>SUM(N87:AI87)</f>
        <v>0</v>
      </c>
    </row>
    <row r="87" spans="1:45">
      <c r="A87" s="31"/>
      <c r="B87" s="49" t="s">
        <v>10</v>
      </c>
      <c r="C87" s="9"/>
      <c r="D87" s="9"/>
      <c r="E87" s="9"/>
      <c r="F87" s="9"/>
      <c r="G87" s="9"/>
      <c r="H87" s="9"/>
      <c r="I87" s="9"/>
      <c r="J87" s="9"/>
      <c r="K87" s="9"/>
      <c r="L87" s="25"/>
      <c r="M87" s="50" t="s">
        <v>10</v>
      </c>
      <c r="N87" s="8"/>
      <c r="O87" s="8"/>
      <c r="P87" s="8"/>
      <c r="Q87" s="8"/>
      <c r="R87" s="8"/>
      <c r="S87" s="8"/>
      <c r="T87" s="8"/>
      <c r="U87" s="8"/>
      <c r="V87" s="8"/>
      <c r="W87" s="8"/>
      <c r="X87" s="9"/>
      <c r="Y87" s="9"/>
      <c r="Z87" s="9"/>
      <c r="AA87" s="9"/>
      <c r="AB87" s="9"/>
      <c r="AC87" s="8"/>
      <c r="AD87" s="8"/>
      <c r="AE87" s="8"/>
      <c r="AF87" s="8"/>
      <c r="AG87" s="8"/>
      <c r="AH87" s="8"/>
      <c r="AI87" s="8"/>
      <c r="AJ87" s="25"/>
      <c r="AK87" s="50" t="s">
        <v>11</v>
      </c>
      <c r="AL87" s="8"/>
      <c r="AM87" s="8"/>
      <c r="AN87" s="8"/>
      <c r="AO87" s="8"/>
      <c r="AP87" s="8"/>
      <c r="AQ87" s="8"/>
      <c r="AS87" s="6" t="str">
        <f>SUM(N88:AI88)</f>
        <v>0</v>
      </c>
    </row>
    <row r="88" spans="1:45">
      <c r="A88" s="31"/>
      <c r="B88" s="49" t="s">
        <v>11</v>
      </c>
      <c r="C88" s="9"/>
      <c r="D88" s="9"/>
      <c r="E88" s="9"/>
      <c r="F88" s="9"/>
      <c r="G88" s="9"/>
      <c r="H88" s="9"/>
      <c r="I88" s="9"/>
      <c r="J88" s="9"/>
      <c r="K88" s="9"/>
      <c r="L88" s="25"/>
      <c r="M88" s="50" t="s">
        <v>11</v>
      </c>
      <c r="N88" s="8"/>
      <c r="O88" s="8"/>
      <c r="P88" s="8"/>
      <c r="Q88" s="8"/>
      <c r="R88" s="8"/>
      <c r="S88" s="8"/>
      <c r="T88" s="8"/>
      <c r="U88" s="8"/>
      <c r="V88" s="8"/>
      <c r="W88" s="8"/>
      <c r="X88" s="9"/>
      <c r="Y88" s="9"/>
      <c r="Z88" s="9"/>
      <c r="AA88" s="9"/>
      <c r="AB88" s="9"/>
      <c r="AC88" s="8"/>
      <c r="AD88" s="8"/>
      <c r="AE88" s="8"/>
      <c r="AF88" s="8"/>
      <c r="AG88" s="8"/>
      <c r="AH88" s="8"/>
      <c r="AI88" s="8"/>
      <c r="AJ88" s="25"/>
      <c r="AK88" s="50" t="s">
        <v>12</v>
      </c>
      <c r="AL88" s="8"/>
      <c r="AM88" s="8"/>
      <c r="AN88" s="8"/>
      <c r="AO88" s="8"/>
      <c r="AP88" s="8"/>
      <c r="AQ88" s="8"/>
    </row>
    <row r="89" spans="1:45">
      <c r="A89" s="31"/>
      <c r="B89" s="49" t="s">
        <v>12</v>
      </c>
      <c r="C89" s="9"/>
      <c r="D89" s="9"/>
      <c r="E89" s="9"/>
      <c r="F89" s="9"/>
      <c r="G89" s="9"/>
      <c r="H89" s="9"/>
      <c r="I89" s="9"/>
      <c r="J89" s="9"/>
      <c r="K89" s="9"/>
      <c r="L89" s="25"/>
      <c r="M89" s="50" t="s">
        <v>12</v>
      </c>
      <c r="N89" s="8"/>
      <c r="O89" s="8"/>
      <c r="P89" s="8"/>
      <c r="Q89" s="8"/>
      <c r="R89" s="8"/>
      <c r="S89" s="8"/>
      <c r="T89" s="8"/>
      <c r="U89" s="8"/>
      <c r="V89" s="8"/>
      <c r="W89" s="8"/>
      <c r="X89" s="9"/>
      <c r="Y89" s="9"/>
      <c r="Z89" s="9"/>
      <c r="AA89" s="9"/>
      <c r="AB89" s="9"/>
      <c r="AC89" s="8"/>
      <c r="AD89" s="8"/>
      <c r="AE89" s="8"/>
      <c r="AF89" s="8"/>
      <c r="AG89" s="8"/>
      <c r="AH89" s="8"/>
      <c r="AI89" s="8"/>
      <c r="AJ89" s="25"/>
      <c r="AK89" s="50" t="s">
        <v>13</v>
      </c>
      <c r="AL89" s="8"/>
      <c r="AM89" s="8"/>
      <c r="AN89" s="8"/>
      <c r="AO89" s="8"/>
      <c r="AP89" s="8"/>
      <c r="AQ89" s="8"/>
    </row>
    <row r="90" spans="1:45">
      <c r="A90" s="31"/>
      <c r="B90" s="49" t="s">
        <v>13</v>
      </c>
      <c r="C90" s="9"/>
      <c r="D90" s="9"/>
      <c r="E90" s="9"/>
      <c r="F90" s="9"/>
      <c r="G90" s="9"/>
      <c r="H90" s="9"/>
      <c r="I90" s="9"/>
      <c r="J90" s="9"/>
      <c r="K90" s="9"/>
      <c r="L90" s="25"/>
      <c r="M90" s="50" t="s">
        <v>13</v>
      </c>
      <c r="N90" s="8"/>
      <c r="O90" s="8"/>
      <c r="P90" s="8"/>
      <c r="Q90" s="8"/>
      <c r="R90" s="8"/>
      <c r="S90" s="8"/>
      <c r="T90" s="8"/>
      <c r="U90" s="8"/>
      <c r="V90" s="8"/>
      <c r="W90" s="8"/>
      <c r="X90" s="9"/>
      <c r="Y90" s="9"/>
      <c r="Z90" s="9"/>
      <c r="AA90" s="9"/>
      <c r="AB90" s="9"/>
      <c r="AC90" s="8"/>
      <c r="AD90" s="8"/>
      <c r="AE90" s="8"/>
      <c r="AF90" s="8"/>
      <c r="AG90" s="8"/>
      <c r="AH90" s="8"/>
      <c r="AI90" s="8"/>
      <c r="AJ90" s="25"/>
      <c r="AK90" s="50" t="s">
        <v>14</v>
      </c>
      <c r="AL90" s="8"/>
      <c r="AM90" s="8"/>
      <c r="AN90" s="8"/>
      <c r="AO90" s="8"/>
      <c r="AP90" s="8"/>
      <c r="AQ90" s="8"/>
    </row>
    <row r="91" spans="1:45">
      <c r="A91" s="31"/>
      <c r="B91" s="49" t="s">
        <v>14</v>
      </c>
      <c r="C91" s="9"/>
      <c r="D91" s="9"/>
      <c r="E91" s="9"/>
      <c r="F91" s="9"/>
      <c r="G91" s="9"/>
      <c r="H91" s="9"/>
      <c r="I91" s="9"/>
      <c r="J91" s="9"/>
      <c r="K91" s="9"/>
      <c r="L91" s="25"/>
      <c r="M91" s="50" t="s">
        <v>14</v>
      </c>
      <c r="N91" s="8"/>
      <c r="O91" s="8"/>
      <c r="P91" s="8"/>
      <c r="Q91" s="8"/>
      <c r="R91" s="8"/>
      <c r="S91" s="8"/>
      <c r="T91" s="8"/>
      <c r="U91" s="8"/>
      <c r="V91" s="8"/>
      <c r="W91" s="8"/>
      <c r="X91" s="9"/>
      <c r="Y91" s="9"/>
      <c r="Z91" s="9"/>
      <c r="AA91" s="9"/>
      <c r="AB91" s="9"/>
      <c r="AC91" s="8"/>
      <c r="AD91" s="8"/>
      <c r="AE91" s="8"/>
      <c r="AF91" s="8"/>
      <c r="AG91" s="8"/>
      <c r="AH91" s="8"/>
      <c r="AI91" s="8"/>
      <c r="AK91" s="49"/>
      <c r="AL91" s="8"/>
      <c r="AM91" s="8"/>
      <c r="AN91" s="8"/>
      <c r="AO91" s="8"/>
      <c r="AP91" s="8"/>
      <c r="AQ91" s="8"/>
    </row>
    <row r="92" spans="1:45">
      <c r="A92" s="26"/>
      <c r="B92" s="49" t="s">
        <v>2</v>
      </c>
      <c r="C92" s="11" t="str">
        <f>IF(OR(C101="",C102="",C102=0),"",IFERROR(ROUND((C101*100000)/(C102*60*8),0),""))</f>
        <v>0</v>
      </c>
      <c r="D92" s="11" t="str">
        <f>IF(OR(D101="",D102="",D102=0),"",IFERROR(ROUND((D101*100000)/(D102*60*8),0),""))</f>
        <v>0</v>
      </c>
      <c r="E92" s="11" t="str">
        <f>IF(OR(E101="",E102="",E102=0),"",IFERROR(ROUND((E101*100000)/(E102*60*8),0),""))</f>
        <v>0</v>
      </c>
      <c r="F92" s="11" t="str">
        <f>IF(OR(F101="",F102="",F102=0),"",IFERROR(ROUND((F101*100000)/(F102*60*8),0),""))</f>
        <v>0</v>
      </c>
      <c r="G92" s="11" t="str">
        <f>IF(OR(G101="",G102="",G102=0),"",IFERROR(ROUND((G101*100000)/(G102*60*8),0),""))</f>
        <v>0</v>
      </c>
      <c r="H92" s="11" t="str">
        <f>IF(OR(H101="",H102="",H102=0),"",IFERROR(ROUND((H101*100000)/(H102*60*8),0),""))</f>
        <v>0</v>
      </c>
      <c r="I92" s="11" t="str">
        <f>IF(OR(I101="",I102="",I102=0),"",IFERROR(ROUND((I101*100000)/(I102*60*8),0),""))</f>
        <v>0</v>
      </c>
      <c r="J92" s="11" t="str">
        <f>IF(OR(J101="",J102="",J102=0),"",IFERROR(ROUND((J101*100000)/(J102*60*8),0),""))</f>
        <v>0</v>
      </c>
      <c r="K92" s="11" t="str">
        <f>IF(OR(K101="",K102="",K102=0),"",IFERROR(ROUND((K101*100000)/(K102*60*8),0),""))</f>
        <v>0</v>
      </c>
      <c r="L92" s="7"/>
      <c r="M92" s="50" t="s">
        <v>2</v>
      </c>
      <c r="N92" s="11" t="str">
        <f>IF(OR(N101="",N102="",N102=0),"",IFERROR(ROUND((N101*100000)/(N102*60*8),0),""))</f>
        <v>0</v>
      </c>
      <c r="O92" s="11" t="str">
        <f>IF(OR(O101="",O102="",O102=0),"",IFERROR(ROUND((O101*100000)/(O102*60*8),0),""))</f>
        <v>0</v>
      </c>
      <c r="P92" s="11" t="str">
        <f>IF(OR(P101="",P102="",P102=0),"",IFERROR(ROUND((P101*100000)/(P102*60*8),0),""))</f>
        <v>0</v>
      </c>
      <c r="Q92" s="11" t="str">
        <f>IF(OR(Q101="",Q102="",Q102=0),"",IFERROR(ROUND((Q101*100000)/(Q102*60*8),0),""))</f>
        <v>0</v>
      </c>
      <c r="R92" s="11" t="str">
        <f>IF(OR(R101="",R102="",R102=0),"",IFERROR(ROUND((R101*100000)/(R102*60*8),0),""))</f>
        <v>0</v>
      </c>
      <c r="S92" s="11" t="str">
        <f>IF(OR(S101="",S102="",S102=0),"",IFERROR(ROUND((S101*100000)/(S102*60*8),0),""))</f>
        <v>0</v>
      </c>
      <c r="T92" s="11" t="str">
        <f>IF(OR(T101="",T102="",T102=0),"",IFERROR(ROUND((T101*100000)/(T102*60*8),0),""))</f>
        <v>0</v>
      </c>
      <c r="U92" s="11" t="str">
        <f>IF(OR(U101="",U102="",U102=0),"",IFERROR(ROUND((U101*100000)/(U102*60*8),0),""))</f>
        <v>0</v>
      </c>
      <c r="V92" s="11" t="str">
        <f>IF(OR(V101="",V102="",V102=0),"",IFERROR(ROUND((V101*100000)/(V102*60*8),0),""))</f>
        <v>0</v>
      </c>
      <c r="W92" s="11" t="str">
        <f>IF(OR(W101="",W102="",W102=0),"",IFERROR(ROUND((W101*100000)/(W102*60*8),0),""))</f>
        <v>0</v>
      </c>
      <c r="X92" s="11" t="str">
        <f>IF(OR(X101="",X102="",X102=0),"",IFERROR(ROUND((X101*100000)/(X102*60*8),0),""))</f>
        <v>0</v>
      </c>
      <c r="Y92" s="11" t="str">
        <f>IF(OR(Y101="",Y102="",Y102=0),"",IFERROR(ROUND((Y101*100000)/(Y102*60*8),0),""))</f>
        <v>0</v>
      </c>
      <c r="Z92" s="11" t="str">
        <f>IF(OR(Z101="",Z102="",Z102=0),"",IFERROR(ROUND((Z101*100000)/(Z102*60*8),0),""))</f>
        <v>0</v>
      </c>
      <c r="AA92" s="11" t="str">
        <f>IF(OR(AA101="",AA102="",AA102=0),"",IFERROR(ROUND((AA101*100000)/(AA102*60*8),0),""))</f>
        <v>0</v>
      </c>
      <c r="AB92" s="11" t="str">
        <f>IF(OR(AB101="",AB102="",AB102=0),"",IFERROR(ROUND((AB101*100000)/(AB102*60*8),0),""))</f>
        <v>0</v>
      </c>
      <c r="AC92" s="11" t="str">
        <f>IF(OR(AC101="",AC102="",AC102=0),"",IFERROR(ROUND((AC101*100000)/(AC102*60*8),0),""))</f>
        <v>0</v>
      </c>
      <c r="AD92" s="11" t="str">
        <f>IF(OR(AD101="",AD102="",AD102=0),"",IFERROR(ROUND((AD101*100000)/(AD102*60*8),0),""))</f>
        <v>0</v>
      </c>
      <c r="AE92" s="11" t="str">
        <f>IF(OR(AE101="",AE102="",AE102=0),"",IFERROR(ROUND((AE101*100000)/(AE102*60*8),0),""))</f>
        <v>0</v>
      </c>
      <c r="AF92" s="11" t="str">
        <f>IF(OR(AF101="",AF102="",AF102=0),"",IFERROR(ROUND((AF101*100000)/(AF102*60*8),0),""))</f>
        <v>0</v>
      </c>
      <c r="AG92" s="11" t="str">
        <f>IF(OR(AG101="",AG102="",AG102=0),"",IFERROR(ROUND((AG101*100000)/(AG102*60*8),0),""))</f>
        <v>0</v>
      </c>
      <c r="AH92" s="11" t="str">
        <f>IF(OR(AH101="",AH102="",AH102=0),"",IFERROR(ROUND((AH101*100000)/(AH102*60*8),0),""))</f>
        <v>0</v>
      </c>
      <c r="AI92" s="11" t="str">
        <f>IF(OR(AI101="",AI102="",AI102=0),"",IFERROR(ROUND((AI101*100000)/(AI102*60*8),0),""))</f>
        <v>0</v>
      </c>
      <c r="AJ92" s="7"/>
      <c r="AK92" s="50" t="s">
        <v>2</v>
      </c>
      <c r="AL92" s="11" t="str">
        <f>IF(OR(AL100="",AL101="",AL101=0),"",IFERROR(ROUND((AL100*100000)/(AL101*60*8),0),""))</f>
        <v>0</v>
      </c>
      <c r="AM92" s="11" t="str">
        <f>IF(OR(AM100="",AM101="",AM101=0),"",IFERROR(ROUND((AM100*100000)/(AM101*60*8),0),""))</f>
        <v>0</v>
      </c>
      <c r="AN92" s="11" t="str">
        <f>IF(OR(AN100="",AN101="",AN101=0),"",IFERROR(ROUND((AN100*100000)/(AN101*60*8),0),""))</f>
        <v>0</v>
      </c>
      <c r="AO92" s="11" t="str">
        <f>IF(OR(AO100="",AO101="",AO101=0),"",IFERROR(ROUND((AO100*100000)/(AO101*60*8),0),""))</f>
        <v>0</v>
      </c>
      <c r="AP92" s="11" t="str">
        <f>IF(OR(AP100="",AP101="",AP101=0),"",IFERROR(ROUND((AP100*100000)/(AP101*60*8),0),""))</f>
        <v>0</v>
      </c>
      <c r="AQ92" s="11" t="str">
        <f>IF(OR(AQ100="",AQ101="",AQ101=0),"",IFERROR(ROUND((AQ100*100000)/(AQ101*60*8),0),""))</f>
        <v>0</v>
      </c>
      <c r="AS92" s="6" t="str">
        <f>SUM(N93:AI93)</f>
        <v>0</v>
      </c>
    </row>
    <row r="93" spans="1:45">
      <c r="A93" s="26"/>
      <c r="B93" s="49" t="s">
        <v>3</v>
      </c>
      <c r="C93" s="8"/>
      <c r="D93" s="9"/>
      <c r="E93" s="9"/>
      <c r="F93" s="9"/>
      <c r="G93" s="9"/>
      <c r="H93" s="9"/>
      <c r="I93" s="9"/>
      <c r="J93" s="9"/>
      <c r="K93" s="9"/>
      <c r="L93" s="27"/>
      <c r="M93" s="50" t="s">
        <v>3</v>
      </c>
      <c r="N93" s="8"/>
      <c r="O93" s="8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8"/>
      <c r="AH93" s="8"/>
      <c r="AI93" s="8"/>
      <c r="AJ93" s="27"/>
      <c r="AK93" s="50" t="s">
        <v>3</v>
      </c>
      <c r="AL93" s="8"/>
      <c r="AM93" s="8"/>
      <c r="AN93" s="8"/>
      <c r="AO93" s="8"/>
      <c r="AP93" s="8"/>
      <c r="AQ93" s="8"/>
      <c r="AS93" s="6" t="str">
        <f>SUM(N94:AI94)</f>
        <v>0</v>
      </c>
    </row>
    <row r="94" spans="1:45">
      <c r="A94" s="26"/>
      <c r="B94" s="50" t="s">
        <v>4</v>
      </c>
      <c r="C94" s="8"/>
      <c r="D94" s="9"/>
      <c r="E94" s="9"/>
      <c r="F94" s="9"/>
      <c r="G94" s="9"/>
      <c r="H94" s="9"/>
      <c r="I94" s="9"/>
      <c r="J94" s="9"/>
      <c r="K94" s="9"/>
      <c r="L94" s="27"/>
      <c r="M94" s="50" t="s">
        <v>4</v>
      </c>
      <c r="N94" s="8"/>
      <c r="O94" s="8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8"/>
      <c r="AH94" s="8"/>
      <c r="AI94" s="8"/>
      <c r="AJ94" s="27"/>
      <c r="AK94" s="50" t="s">
        <v>4</v>
      </c>
      <c r="AL94" s="8"/>
      <c r="AM94" s="8"/>
      <c r="AN94" s="8"/>
      <c r="AO94" s="8"/>
      <c r="AP94" s="8"/>
      <c r="AQ94" s="8"/>
      <c r="AS94" s="6" t="str">
        <f>SUM(N95:AI95)</f>
        <v>0</v>
      </c>
    </row>
    <row r="95" spans="1:45">
      <c r="A95" s="26"/>
      <c r="B95" s="50" t="s">
        <v>5</v>
      </c>
      <c r="C95" s="8"/>
      <c r="D95" s="9"/>
      <c r="E95" s="9"/>
      <c r="F95" s="9"/>
      <c r="G95" s="9"/>
      <c r="H95" s="9"/>
      <c r="I95" s="9"/>
      <c r="J95" s="9"/>
      <c r="K95" s="9"/>
      <c r="L95" s="27"/>
      <c r="M95" s="50" t="s">
        <v>5</v>
      </c>
      <c r="N95" s="8"/>
      <c r="O95" s="8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8"/>
      <c r="AH95" s="8"/>
      <c r="AI95" s="8"/>
      <c r="AJ95" s="27"/>
      <c r="AK95" s="50" t="s">
        <v>5</v>
      </c>
      <c r="AL95" s="8"/>
      <c r="AM95" s="8"/>
      <c r="AN95" s="8"/>
      <c r="AO95" s="8"/>
      <c r="AP95" s="8"/>
      <c r="AQ95" s="8"/>
      <c r="AS95" s="6" t="str">
        <f>SUM(N96:AI96)</f>
        <v>0</v>
      </c>
    </row>
    <row r="96" spans="1:45">
      <c r="A96" s="26"/>
      <c r="B96" s="49" t="s">
        <v>6</v>
      </c>
      <c r="C96" s="8"/>
      <c r="D96" s="9"/>
      <c r="E96" s="9"/>
      <c r="F96" s="9"/>
      <c r="G96" s="9"/>
      <c r="H96" s="9"/>
      <c r="I96" s="9"/>
      <c r="J96" s="9"/>
      <c r="K96" s="9"/>
      <c r="L96" s="27"/>
      <c r="M96" s="50" t="s">
        <v>6</v>
      </c>
      <c r="N96" s="8"/>
      <c r="O96" s="8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8"/>
      <c r="AH96" s="8"/>
      <c r="AI96" s="8"/>
      <c r="AJ96" s="27"/>
      <c r="AK96" s="50" t="s">
        <v>7</v>
      </c>
      <c r="AL96" s="8"/>
      <c r="AM96" s="8"/>
      <c r="AN96" s="8"/>
      <c r="AO96" s="8"/>
      <c r="AP96" s="8"/>
      <c r="AQ96" s="8"/>
      <c r="AS96" s="6" t="str">
        <f>SUM(N97:AI97)</f>
        <v>0</v>
      </c>
    </row>
    <row r="97" spans="1:45">
      <c r="A97" s="26"/>
      <c r="B97" s="49" t="s">
        <v>7</v>
      </c>
      <c r="C97" s="8"/>
      <c r="D97" s="9"/>
      <c r="E97" s="9"/>
      <c r="F97" s="9"/>
      <c r="G97" s="9"/>
      <c r="H97" s="9"/>
      <c r="I97" s="9"/>
      <c r="J97" s="9"/>
      <c r="K97" s="9"/>
      <c r="L97" s="27"/>
      <c r="M97" s="50" t="s">
        <v>7</v>
      </c>
      <c r="N97" s="8"/>
      <c r="O97" s="8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8"/>
      <c r="AH97" s="8"/>
      <c r="AI97" s="8"/>
      <c r="AJ97" s="27"/>
      <c r="AK97" s="50" t="s">
        <v>8</v>
      </c>
      <c r="AL97" s="8"/>
      <c r="AM97" s="8"/>
      <c r="AN97" s="8"/>
      <c r="AO97" s="8"/>
      <c r="AP97" s="8"/>
      <c r="AQ97" s="8"/>
      <c r="AS97" s="6" t="str">
        <f>SUM(N98:AI98)</f>
        <v>0</v>
      </c>
    </row>
    <row r="98" spans="1:45">
      <c r="A98" s="31"/>
      <c r="B98" s="49" t="s">
        <v>10</v>
      </c>
      <c r="C98" s="8"/>
      <c r="D98" s="9"/>
      <c r="E98" s="9"/>
      <c r="F98" s="9"/>
      <c r="G98" s="9"/>
      <c r="H98" s="9"/>
      <c r="I98" s="9"/>
      <c r="J98" s="9"/>
      <c r="K98" s="9"/>
      <c r="L98" s="25"/>
      <c r="M98" s="50" t="s">
        <v>10</v>
      </c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25"/>
      <c r="AK98" s="50" t="s">
        <v>11</v>
      </c>
      <c r="AL98" s="8"/>
      <c r="AM98" s="8"/>
      <c r="AN98" s="8"/>
      <c r="AO98" s="8"/>
      <c r="AP98" s="8"/>
      <c r="AQ98" s="8"/>
      <c r="AS98" s="6" t="str">
        <f>SUM(N99:AI99)</f>
        <v>0</v>
      </c>
    </row>
    <row r="99" spans="1:45">
      <c r="A99" s="31"/>
      <c r="B99" s="49" t="s">
        <v>11</v>
      </c>
      <c r="C99" s="8"/>
      <c r="D99" s="9"/>
      <c r="E99" s="9"/>
      <c r="F99" s="9"/>
      <c r="G99" s="9"/>
      <c r="H99" s="9"/>
      <c r="I99" s="9"/>
      <c r="J99" s="9"/>
      <c r="K99" s="9"/>
      <c r="L99" s="25"/>
      <c r="M99" s="50" t="s">
        <v>11</v>
      </c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25"/>
      <c r="AK99" s="50" t="s">
        <v>12</v>
      </c>
      <c r="AL99" s="8"/>
      <c r="AM99" s="8"/>
      <c r="AN99" s="8"/>
      <c r="AO99" s="8"/>
      <c r="AP99" s="8"/>
      <c r="AQ99" s="8"/>
    </row>
    <row r="100" spans="1:45">
      <c r="A100" s="31"/>
      <c r="B100" s="49" t="s">
        <v>12</v>
      </c>
      <c r="C100" s="8"/>
      <c r="D100" s="9"/>
      <c r="E100" s="9"/>
      <c r="F100" s="9"/>
      <c r="G100" s="9"/>
      <c r="H100" s="9"/>
      <c r="I100" s="9"/>
      <c r="J100" s="9"/>
      <c r="K100" s="9"/>
      <c r="L100" s="25"/>
      <c r="M100" s="50" t="s">
        <v>12</v>
      </c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25"/>
      <c r="AK100" s="50" t="s">
        <v>13</v>
      </c>
      <c r="AL100" s="8"/>
      <c r="AM100" s="8"/>
      <c r="AN100" s="8"/>
      <c r="AO100" s="8"/>
      <c r="AP100" s="8"/>
      <c r="AQ100" s="8"/>
    </row>
    <row r="101" spans="1:45">
      <c r="A101" s="31"/>
      <c r="B101" s="49" t="s">
        <v>13</v>
      </c>
      <c r="C101" s="8"/>
      <c r="D101" s="9"/>
      <c r="E101" s="9"/>
      <c r="F101" s="9"/>
      <c r="G101" s="9"/>
      <c r="H101" s="9"/>
      <c r="I101" s="9"/>
      <c r="J101" s="9"/>
      <c r="K101" s="9"/>
      <c r="L101" s="25"/>
      <c r="M101" s="50" t="s">
        <v>13</v>
      </c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25"/>
      <c r="AK101" s="50" t="s">
        <v>14</v>
      </c>
      <c r="AL101" s="8"/>
      <c r="AM101" s="8"/>
      <c r="AN101" s="8"/>
      <c r="AO101" s="8"/>
      <c r="AP101" s="8"/>
      <c r="AQ101" s="8"/>
    </row>
    <row r="102" spans="1:45" customHeight="1" ht="15.75">
      <c r="A102" s="31"/>
      <c r="B102" s="49" t="s">
        <v>14</v>
      </c>
      <c r="C102" s="8"/>
      <c r="D102" s="9"/>
      <c r="E102" s="9"/>
      <c r="F102" s="9"/>
      <c r="G102" s="9"/>
      <c r="H102" s="9"/>
      <c r="I102" s="9"/>
      <c r="J102" s="9"/>
      <c r="K102" s="9"/>
      <c r="L102" s="25"/>
      <c r="M102" s="50" t="s">
        <v>14</v>
      </c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K102" s="49"/>
      <c r="AL102" s="8"/>
      <c r="AM102" s="8"/>
      <c r="AN102" s="8"/>
      <c r="AO102" s="8"/>
      <c r="AP102" s="8"/>
      <c r="AQ102" s="8"/>
    </row>
    <row r="103" spans="1:45">
      <c r="A103" s="42"/>
      <c r="B103" s="48" t="s">
        <v>1</v>
      </c>
      <c r="C103" s="65">
        <v>201</v>
      </c>
      <c r="D103" s="65" t="str">
        <f>+C103+1</f>
        <v>0</v>
      </c>
      <c r="E103" s="65" t="str">
        <f>+D103+1</f>
        <v>0</v>
      </c>
      <c r="F103" s="65" t="str">
        <f>+E103+1</f>
        <v>0</v>
      </c>
      <c r="G103" s="65" t="str">
        <f>+F103+1</f>
        <v>0</v>
      </c>
      <c r="H103" s="65" t="str">
        <f>+G103+1</f>
        <v>0</v>
      </c>
      <c r="I103" s="65">
        <v>213</v>
      </c>
      <c r="J103" s="65" t="str">
        <f>+I103+1</f>
        <v>0</v>
      </c>
      <c r="K103" s="65" t="str">
        <f>+J103+1</f>
        <v>0</v>
      </c>
      <c r="L103" s="43"/>
      <c r="M103" s="48" t="s">
        <v>1</v>
      </c>
      <c r="N103" s="65">
        <v>299</v>
      </c>
      <c r="O103" s="65" t="str">
        <f>+N103+1</f>
        <v>0</v>
      </c>
      <c r="P103" s="65" t="str">
        <f>+O103+1</f>
        <v>0</v>
      </c>
      <c r="Q103" s="65" t="str">
        <f>+P103+1</f>
        <v>0</v>
      </c>
      <c r="R103" s="65" t="str">
        <f>+Q103+1</f>
        <v>0</v>
      </c>
      <c r="S103" s="65" t="str">
        <f>+R103+1</f>
        <v>0</v>
      </c>
      <c r="T103" s="65" t="str">
        <f>+S103+1</f>
        <v>0</v>
      </c>
      <c r="U103" s="65" t="str">
        <f>+T103+1</f>
        <v>0</v>
      </c>
      <c r="V103" s="65" t="str">
        <f>+U103+1</f>
        <v>0</v>
      </c>
      <c r="W103" s="65" t="str">
        <f>+V103+1</f>
        <v>0</v>
      </c>
      <c r="X103" s="65" t="str">
        <f>+W103+1</f>
        <v>0</v>
      </c>
      <c r="Y103" s="65" t="str">
        <f>+X103+1</f>
        <v>0</v>
      </c>
      <c r="Z103" s="65" t="str">
        <f>+Y103+1</f>
        <v>0</v>
      </c>
      <c r="AA103" s="65" t="str">
        <f>+Z103+1</f>
        <v>0</v>
      </c>
      <c r="AB103" s="65" t="str">
        <f>+AA103+1</f>
        <v>0</v>
      </c>
      <c r="AC103" s="65" t="str">
        <f>+AB103+1</f>
        <v>0</v>
      </c>
      <c r="AD103" s="65" t="str">
        <f>+AC103+1</f>
        <v>0</v>
      </c>
      <c r="AE103" s="65" t="str">
        <f>+AD103+1</f>
        <v>0</v>
      </c>
      <c r="AF103" s="65" t="str">
        <f>+AE103+1</f>
        <v>0</v>
      </c>
      <c r="AG103" s="65" t="str">
        <f>+AF103+1</f>
        <v>0</v>
      </c>
      <c r="AH103" s="65" t="str">
        <f>+AG103+1</f>
        <v>0</v>
      </c>
      <c r="AI103" s="65" t="str">
        <f>+AH103+1</f>
        <v>0</v>
      </c>
      <c r="AJ103" s="43"/>
      <c r="AK103" s="57" t="s">
        <v>1</v>
      </c>
      <c r="AL103" s="65">
        <v>207</v>
      </c>
      <c r="AM103" s="65" t="str">
        <f>+AL103+1</f>
        <v>0</v>
      </c>
      <c r="AN103" s="65" t="str">
        <f>+AM103+1</f>
        <v>0</v>
      </c>
      <c r="AO103" s="65" t="str">
        <f>+AN103+1</f>
        <v>0</v>
      </c>
      <c r="AP103" s="65" t="str">
        <f>+AO103+1</f>
        <v>0</v>
      </c>
      <c r="AQ103" s="65" t="str">
        <f>+AP103+1</f>
        <v>0</v>
      </c>
    </row>
    <row r="104" spans="1:45" customHeight="1" ht="15">
      <c r="A104" s="34"/>
      <c r="B104" s="49" t="s">
        <v>2</v>
      </c>
      <c r="C104" s="11" t="str">
        <f>IF(OR(C113="",C114="",C114=0),"",IFERROR(ROUND((C113*100000)/(C114*60*8),0),""))</f>
        <v>0</v>
      </c>
      <c r="D104" s="11" t="str">
        <f>IF(OR(D113="",D114="",D114=0),"",IFERROR(ROUND((D113*100000)/(D114*60*8),0),""))</f>
        <v>0</v>
      </c>
      <c r="E104" s="11" t="str">
        <f>IF(OR(E113="",E114="",E114=0),"",IFERROR(ROUND((E113*100000)/(E114*60*8),0),""))</f>
        <v>0</v>
      </c>
      <c r="F104" s="11" t="str">
        <f>IF(OR(F113="",F114="",F114=0),"",IFERROR(ROUND((F113*100000)/(F114*60*8),0),""))</f>
        <v>0</v>
      </c>
      <c r="G104" s="11" t="str">
        <f>IF(OR(G113="",G114="",G114=0),"",IFERROR(ROUND((G113*100000)/(G114*60*8),0),""))</f>
        <v>0</v>
      </c>
      <c r="H104" s="11" t="str">
        <f>IF(OR(H113="",H114="",H114=0),"",IFERROR(ROUND((H113*100000)/(H114*60*8),0),""))</f>
        <v>0</v>
      </c>
      <c r="I104" s="11" t="str">
        <f>IF(OR(I113="",I114="",I114=0),"",IFERROR(ROUND((I113*100000)/(I114*60*8),0),""))</f>
        <v>0</v>
      </c>
      <c r="J104" s="11" t="str">
        <f>IF(OR(J113="",J114="",J114=0),"",IFERROR(ROUND((J113*100000)/(J114*60*8),0),""))</f>
        <v>0</v>
      </c>
      <c r="K104" s="11" t="str">
        <f>IF(OR(K113="",K114="",K114=0),"",IFERROR(ROUND((K113*100000)/(K114*60*8),0),""))</f>
        <v>0</v>
      </c>
      <c r="L104" s="36"/>
      <c r="M104" s="50" t="s">
        <v>2</v>
      </c>
      <c r="N104" s="11" t="str">
        <f>IF(OR(N113="",N114="",N114=0),"",IFERROR(ROUND((N113*100000)/(N114*60*8),0),""))</f>
        <v>0</v>
      </c>
      <c r="O104" s="11" t="str">
        <f>IF(OR(O113="",O114="",O114=0),"",IFERROR(ROUND((O113*100000)/(O114*60*8),0),""))</f>
        <v>0</v>
      </c>
      <c r="P104" s="11" t="str">
        <f>IF(OR(P113="",P114="",P114=0),"",IFERROR(ROUND((P113*100000)/(P114*60*8),0),""))</f>
        <v>0</v>
      </c>
      <c r="Q104" s="11" t="str">
        <f>IF(OR(Q113="",Q114="",Q114=0),"",IFERROR(ROUND((Q113*100000)/(Q114*60*8),0),""))</f>
        <v>0</v>
      </c>
      <c r="R104" s="11" t="str">
        <f>IF(OR(R113="",R114="",R114=0),"",IFERROR(ROUND((R113*100000)/(R114*60*8),0),""))</f>
        <v>0</v>
      </c>
      <c r="S104" s="11" t="str">
        <f>IF(OR(S113="",S114="",S114=0),"",IFERROR(ROUND((S113*100000)/(S114*60*8),0),""))</f>
        <v>0</v>
      </c>
      <c r="T104" s="11" t="str">
        <f>IF(OR(T113="",T114="",T114=0),"",IFERROR(ROUND((T113*100000)/(T114*60*8),0),""))</f>
        <v>0</v>
      </c>
      <c r="U104" s="11" t="str">
        <f>IF(OR(U113="",U114="",U114=0),"",IFERROR(ROUND((U113*100000)/(U114*60*8),0),""))</f>
        <v>0</v>
      </c>
      <c r="V104" s="11" t="str">
        <f>IF(OR(V113="",V114="",V114=0),"",IFERROR(ROUND((V113*100000)/(V114*60*8),0),""))</f>
        <v>0</v>
      </c>
      <c r="W104" s="11" t="str">
        <f>IF(OR(W113="",W114="",W114=0),"",IFERROR(ROUND((W113*100000)/(W114*60*8),0),""))</f>
        <v>0</v>
      </c>
      <c r="X104" s="11" t="str">
        <f>IF(OR(X113="",X114="",X114=0),"",IFERROR(ROUND((X113*100000)/(X114*60*8),0),""))</f>
        <v>0</v>
      </c>
      <c r="Y104" s="11" t="str">
        <f>IF(OR(Y113="",Y114="",Y114=0),"",IFERROR(ROUND((Y113*100000)/(Y114*60*8),0),""))</f>
        <v>0</v>
      </c>
      <c r="Z104" s="11" t="str">
        <f>IF(OR(Z113="",Z114="",Z114=0),"",IFERROR(ROUND((Z113*100000)/(Z114*60*8),0),""))</f>
        <v>0</v>
      </c>
      <c r="AA104" s="11" t="str">
        <f>IF(OR(AA113="",AA114="",AA114=0),"",IFERROR(ROUND((AA113*100000)/(AA114*60*8),0),""))</f>
        <v>0</v>
      </c>
      <c r="AB104" s="11" t="str">
        <f>IF(OR(AB113="",AB114="",AB114=0),"",IFERROR(ROUND((AB113*100000)/(AB114*60*8),0),""))</f>
        <v>0</v>
      </c>
      <c r="AC104" s="11" t="str">
        <f>IF(OR(AC113="",AC114="",AC114=0),"",IFERROR(ROUND((AC113*100000)/(AC114*60*8),0),""))</f>
        <v>0</v>
      </c>
      <c r="AD104" s="13" t="str">
        <f>IF(OR(AD113="",AD114="",AD114=0),"",IFERROR(ROUND((AD113*100000)/(AD114*60*8),0),""))</f>
        <v>0</v>
      </c>
      <c r="AE104" s="11" t="str">
        <f>IF(OR(AE113="",AE114="",AE114=0),"",IFERROR(ROUND((AE113*100000)/(AE114*60*8),0),""))</f>
        <v>0</v>
      </c>
      <c r="AF104" s="11" t="str">
        <f>IF(OR(AF113="",AF114="",AF114=0),"",IFERROR(ROUND((AF113*100000)/(AF114*60*8),0),""))</f>
        <v>0</v>
      </c>
      <c r="AG104" s="11" t="str">
        <f>IF(OR(AG113="",AG114="",AG114=0),"",IFERROR(ROUND((AG113*100000)/(AG114*60*8),0),""))</f>
        <v>0</v>
      </c>
      <c r="AH104" s="11" t="str">
        <f>IF(OR(AH113="",AH114="",AH114=0),"",IFERROR(ROUND((AH113*100000)/(AH114*60*8),0),""))</f>
        <v>0</v>
      </c>
      <c r="AI104" s="11" t="str">
        <f>IF(OR(AI113="",AI114="",AI114=0),"",IFERROR(ROUND((AI113*100000)/(AI114*60*8),0),""))</f>
        <v>0</v>
      </c>
      <c r="AJ104" s="36"/>
      <c r="AK104" s="50" t="s">
        <v>2</v>
      </c>
      <c r="AL104" s="11" t="str">
        <f>IF(OR(AL112="",AL113="",AL113=0),"",IFERROR(ROUND((AL112*100000)/(AL113*60*8),0),""))</f>
        <v>0</v>
      </c>
      <c r="AM104" s="11" t="str">
        <f>IF(OR(AM112="",AM113="",AM113=0),"",IFERROR(ROUND((AM112*100000)/(AM113*60*8),0),""))</f>
        <v>0</v>
      </c>
      <c r="AN104" s="11" t="str">
        <f>IF(OR(AN112="",AN113="",AN113=0),"",IFERROR(ROUND((AN112*100000)/(AN113*60*8),0),""))</f>
        <v>0</v>
      </c>
      <c r="AO104" s="11" t="str">
        <f>IF(OR(AO112="",AO113="",AO113=0),"",IFERROR(ROUND((AO112*100000)/(AO113*60*8),0),""))</f>
        <v>0</v>
      </c>
      <c r="AP104" s="11" t="str">
        <f>IF(OR(AP112="",AP113="",AP113=0),"",IFERROR(ROUND((AP112*100000)/(AP113*60*8),0),""))</f>
        <v>0</v>
      </c>
      <c r="AQ104" s="11" t="str">
        <f>IF(OR(AQ112="",AQ113="",AQ113=0),"",IFERROR(ROUND((AQ112*100000)/(AQ113*60*8),0),""))</f>
        <v>0</v>
      </c>
      <c r="AS104" s="6" t="str">
        <f>SUM(N105:AI105)</f>
        <v>0</v>
      </c>
    </row>
    <row r="105" spans="1:45">
      <c r="A105" s="34"/>
      <c r="B105" s="49" t="s">
        <v>3</v>
      </c>
      <c r="C105" s="8"/>
      <c r="D105" s="9"/>
      <c r="E105" s="9"/>
      <c r="F105" s="9"/>
      <c r="G105" s="9"/>
      <c r="H105" s="9"/>
      <c r="I105" s="9"/>
      <c r="J105" s="9"/>
      <c r="K105" s="9"/>
      <c r="L105" s="36"/>
      <c r="M105" s="50" t="s">
        <v>3</v>
      </c>
      <c r="N105" s="9"/>
      <c r="O105" s="9"/>
      <c r="P105" s="9"/>
      <c r="Q105" s="9"/>
      <c r="R105" s="9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13"/>
      <c r="AE105" s="8"/>
      <c r="AF105" s="8"/>
      <c r="AG105" s="8"/>
      <c r="AH105" s="8"/>
      <c r="AI105" s="8"/>
      <c r="AJ105" s="36"/>
      <c r="AK105" s="50" t="s">
        <v>3</v>
      </c>
      <c r="AL105" s="8"/>
      <c r="AM105" s="8"/>
      <c r="AN105" s="8"/>
      <c r="AO105" s="8"/>
      <c r="AP105" s="8"/>
      <c r="AQ105" s="8"/>
      <c r="AS105" s="6" t="str">
        <f>SUM(N106:AI106)</f>
        <v>0</v>
      </c>
    </row>
    <row r="106" spans="1:45">
      <c r="A106" s="34"/>
      <c r="B106" s="50" t="s">
        <v>4</v>
      </c>
      <c r="C106" s="8"/>
      <c r="D106" s="9"/>
      <c r="E106" s="9"/>
      <c r="F106" s="9"/>
      <c r="G106" s="9"/>
      <c r="H106" s="9"/>
      <c r="I106" s="9"/>
      <c r="J106" s="9"/>
      <c r="K106" s="9"/>
      <c r="L106" s="36"/>
      <c r="M106" s="50" t="s">
        <v>4</v>
      </c>
      <c r="N106" s="9"/>
      <c r="O106" s="9"/>
      <c r="P106" s="9"/>
      <c r="Q106" s="9"/>
      <c r="R106" s="9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13"/>
      <c r="AE106" s="8"/>
      <c r="AF106" s="8"/>
      <c r="AG106" s="8"/>
      <c r="AH106" s="8"/>
      <c r="AI106" s="8"/>
      <c r="AJ106" s="36"/>
      <c r="AK106" s="50" t="s">
        <v>4</v>
      </c>
      <c r="AL106" s="8"/>
      <c r="AM106" s="8"/>
      <c r="AN106" s="8"/>
      <c r="AO106" s="8"/>
      <c r="AP106" s="8"/>
      <c r="AQ106" s="8"/>
      <c r="AS106" s="6" t="str">
        <f>SUM(N107:AI107)</f>
        <v>0</v>
      </c>
    </row>
    <row r="107" spans="1:45">
      <c r="A107" s="34"/>
      <c r="B107" s="49" t="s">
        <v>5</v>
      </c>
      <c r="C107" s="8"/>
      <c r="D107" s="9"/>
      <c r="E107" s="9"/>
      <c r="F107" s="9"/>
      <c r="G107" s="9"/>
      <c r="H107" s="9"/>
      <c r="I107" s="9"/>
      <c r="J107" s="9"/>
      <c r="K107" s="9"/>
      <c r="L107" s="36"/>
      <c r="M107" s="50" t="s">
        <v>5</v>
      </c>
      <c r="N107" s="9"/>
      <c r="O107" s="9"/>
      <c r="P107" s="9"/>
      <c r="Q107" s="9"/>
      <c r="R107" s="9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13"/>
      <c r="AE107" s="8"/>
      <c r="AF107" s="8"/>
      <c r="AG107" s="8"/>
      <c r="AH107" s="8"/>
      <c r="AI107" s="8"/>
      <c r="AJ107" s="36"/>
      <c r="AK107" s="50" t="s">
        <v>5</v>
      </c>
      <c r="AL107" s="8"/>
      <c r="AM107" s="8"/>
      <c r="AN107" s="8"/>
      <c r="AO107" s="8"/>
      <c r="AP107" s="8"/>
      <c r="AQ107" s="8"/>
      <c r="AS107" s="6" t="str">
        <f>SUM(N108:AI108)</f>
        <v>0</v>
      </c>
    </row>
    <row r="108" spans="1:45">
      <c r="A108" s="34"/>
      <c r="B108" s="49" t="s">
        <v>6</v>
      </c>
      <c r="C108" s="8"/>
      <c r="D108" s="9"/>
      <c r="E108" s="9"/>
      <c r="F108" s="9"/>
      <c r="G108" s="9"/>
      <c r="H108" s="9"/>
      <c r="I108" s="9"/>
      <c r="J108" s="9"/>
      <c r="K108" s="9"/>
      <c r="L108" s="36"/>
      <c r="M108" s="50" t="s">
        <v>6</v>
      </c>
      <c r="N108" s="9"/>
      <c r="O108" s="9"/>
      <c r="P108" s="9"/>
      <c r="Q108" s="9"/>
      <c r="R108" s="9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13"/>
      <c r="AE108" s="8"/>
      <c r="AF108" s="8"/>
      <c r="AG108" s="8"/>
      <c r="AH108" s="8"/>
      <c r="AI108" s="8"/>
      <c r="AJ108" s="36"/>
      <c r="AK108" s="50" t="s">
        <v>7</v>
      </c>
      <c r="AL108" s="8"/>
      <c r="AM108" s="8"/>
      <c r="AN108" s="8"/>
      <c r="AO108" s="8"/>
      <c r="AP108" s="8"/>
      <c r="AQ108" s="8"/>
      <c r="AS108" s="6" t="str">
        <f>SUM(N109:AI109)</f>
        <v>0</v>
      </c>
    </row>
    <row r="109" spans="1:45">
      <c r="A109" s="34"/>
      <c r="B109" s="49" t="s">
        <v>7</v>
      </c>
      <c r="C109" s="8"/>
      <c r="D109" s="9"/>
      <c r="E109" s="9"/>
      <c r="F109" s="9"/>
      <c r="G109" s="9"/>
      <c r="H109" s="9"/>
      <c r="I109" s="9"/>
      <c r="J109" s="9"/>
      <c r="K109" s="9"/>
      <c r="L109" s="36"/>
      <c r="M109" s="50" t="s">
        <v>7</v>
      </c>
      <c r="N109" s="9"/>
      <c r="O109" s="9"/>
      <c r="P109" s="9"/>
      <c r="Q109" s="9"/>
      <c r="R109" s="9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13"/>
      <c r="AE109" s="8"/>
      <c r="AF109" s="8"/>
      <c r="AG109" s="8"/>
      <c r="AH109" s="8"/>
      <c r="AI109" s="8"/>
      <c r="AJ109" s="39" t="str">
        <f>L110</f>
        <v>0</v>
      </c>
      <c r="AK109" s="50" t="s">
        <v>8</v>
      </c>
      <c r="AL109" s="8"/>
      <c r="AM109" s="8"/>
      <c r="AN109" s="8"/>
      <c r="AO109" s="8"/>
      <c r="AP109" s="8"/>
      <c r="AQ109" s="8"/>
      <c r="AS109" s="6" t="str">
        <f>SUM(N110:AI110)</f>
        <v>0</v>
      </c>
    </row>
    <row r="110" spans="1:45">
      <c r="A110" s="37"/>
      <c r="B110" s="49" t="s">
        <v>10</v>
      </c>
      <c r="C110" s="8"/>
      <c r="D110" s="9"/>
      <c r="E110" s="9"/>
      <c r="F110" s="9"/>
      <c r="G110" s="9"/>
      <c r="H110" s="9"/>
      <c r="I110" s="9"/>
      <c r="J110" s="9"/>
      <c r="K110" s="9"/>
      <c r="L110" s="39"/>
      <c r="M110" s="50" t="s">
        <v>10</v>
      </c>
      <c r="N110" s="9"/>
      <c r="O110" s="9"/>
      <c r="P110" s="9"/>
      <c r="Q110" s="9"/>
      <c r="R110" s="9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13"/>
      <c r="AE110" s="8"/>
      <c r="AF110" s="8"/>
      <c r="AG110" s="8"/>
      <c r="AH110" s="8"/>
      <c r="AI110" s="8"/>
      <c r="AJ110" s="39"/>
      <c r="AK110" s="50" t="s">
        <v>11</v>
      </c>
      <c r="AL110" s="8"/>
      <c r="AM110" s="8"/>
      <c r="AN110" s="8"/>
      <c r="AO110" s="8"/>
      <c r="AP110" s="8"/>
      <c r="AQ110" s="8"/>
      <c r="AS110" s="6" t="str">
        <f>SUM(N111:AI111)</f>
        <v>0</v>
      </c>
    </row>
    <row r="111" spans="1:45">
      <c r="A111" s="37"/>
      <c r="B111" s="49" t="s">
        <v>11</v>
      </c>
      <c r="C111" s="8"/>
      <c r="D111" s="9"/>
      <c r="E111" s="9"/>
      <c r="F111" s="9"/>
      <c r="G111" s="9"/>
      <c r="H111" s="9"/>
      <c r="I111" s="9"/>
      <c r="J111" s="9"/>
      <c r="K111" s="9"/>
      <c r="L111" s="39"/>
      <c r="M111" s="50" t="s">
        <v>11</v>
      </c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13"/>
      <c r="AE111" s="8"/>
      <c r="AF111" s="8"/>
      <c r="AG111" s="8"/>
      <c r="AH111" s="8"/>
      <c r="AI111" s="8"/>
      <c r="AJ111" s="39"/>
      <c r="AK111" s="50" t="s">
        <v>12</v>
      </c>
      <c r="AL111" s="8"/>
      <c r="AM111" s="8"/>
      <c r="AN111" s="8"/>
      <c r="AO111" s="8"/>
      <c r="AP111" s="8"/>
      <c r="AQ111" s="8"/>
      <c r="AS111" s="6" t="str">
        <f>SUM(N112:AI112)</f>
        <v>0</v>
      </c>
    </row>
    <row r="112" spans="1:45">
      <c r="A112" s="37"/>
      <c r="B112" s="49" t="s">
        <v>12</v>
      </c>
      <c r="C112" s="8"/>
      <c r="D112" s="9"/>
      <c r="E112" s="9"/>
      <c r="F112" s="9"/>
      <c r="G112" s="9"/>
      <c r="H112" s="9"/>
      <c r="I112" s="9"/>
      <c r="J112" s="9"/>
      <c r="K112" s="9"/>
      <c r="L112" s="39"/>
      <c r="M112" s="50" t="s">
        <v>12</v>
      </c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13"/>
      <c r="AE112" s="8"/>
      <c r="AF112" s="8"/>
      <c r="AG112" s="8"/>
      <c r="AH112" s="8"/>
      <c r="AI112" s="8"/>
      <c r="AJ112" s="39"/>
      <c r="AK112" s="50" t="s">
        <v>13</v>
      </c>
      <c r="AL112" s="8"/>
      <c r="AM112" s="8"/>
      <c r="AN112" s="8"/>
      <c r="AO112" s="8"/>
      <c r="AP112" s="8"/>
      <c r="AQ112" s="8"/>
    </row>
    <row r="113" spans="1:45">
      <c r="A113" s="37"/>
      <c r="B113" s="49" t="s">
        <v>13</v>
      </c>
      <c r="C113" s="8"/>
      <c r="D113" s="9"/>
      <c r="E113" s="9"/>
      <c r="F113" s="9"/>
      <c r="G113" s="9"/>
      <c r="H113" s="9"/>
      <c r="I113" s="9"/>
      <c r="J113" s="9"/>
      <c r="K113" s="9"/>
      <c r="L113" s="39"/>
      <c r="M113" s="50" t="s">
        <v>13</v>
      </c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13"/>
      <c r="AE113" s="8"/>
      <c r="AF113" s="8"/>
      <c r="AG113" s="8"/>
      <c r="AH113" s="8"/>
      <c r="AI113" s="8"/>
      <c r="AJ113" s="39"/>
      <c r="AK113" s="50" t="s">
        <v>14</v>
      </c>
      <c r="AL113" s="8"/>
      <c r="AM113" s="8"/>
      <c r="AN113" s="8"/>
      <c r="AO113" s="8"/>
      <c r="AP113" s="8"/>
      <c r="AQ113" s="8"/>
    </row>
    <row r="114" spans="1:45">
      <c r="A114" s="37"/>
      <c r="B114" s="49" t="s">
        <v>14</v>
      </c>
      <c r="C114" s="8"/>
      <c r="D114" s="9"/>
      <c r="E114" s="9"/>
      <c r="F114" s="9"/>
      <c r="G114" s="9"/>
      <c r="H114" s="9"/>
      <c r="I114" s="9"/>
      <c r="J114" s="9"/>
      <c r="K114" s="9"/>
      <c r="L114" s="39"/>
      <c r="M114" s="50" t="s">
        <v>14</v>
      </c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13"/>
      <c r="AE114" s="8"/>
      <c r="AF114" s="8"/>
      <c r="AG114" s="8"/>
      <c r="AH114" s="8"/>
      <c r="AI114" s="8"/>
      <c r="AK114" s="49"/>
      <c r="AL114" s="8"/>
      <c r="AM114" s="8"/>
      <c r="AN114" s="8"/>
      <c r="AO114" s="8"/>
      <c r="AP114" s="8"/>
      <c r="AQ114" s="8"/>
    </row>
    <row r="115" spans="1:45">
      <c r="A115" s="34"/>
      <c r="B115" s="49" t="s">
        <v>2</v>
      </c>
      <c r="C115" s="11" t="str">
        <f>IF(OR(C124="",C125="",C125=0),"",IFERROR(ROUND((C124*100000)/(C125*60*8),0),""))</f>
        <v>0</v>
      </c>
      <c r="D115" s="11" t="str">
        <f>IF(OR(D124="",D125="",D125=0),"",IFERROR(ROUND((D124*100000)/(D125*60*8),0),""))</f>
        <v>0</v>
      </c>
      <c r="E115" s="11" t="str">
        <f>IF(OR(E124="",E125="",E125=0),"",IFERROR(ROUND((E124*100000)/(E125*60*8),0),""))</f>
        <v>0</v>
      </c>
      <c r="F115" s="11" t="str">
        <f>IF(OR(F124="",F125="",F125=0),"",IFERROR(ROUND((F124*100000)/(F125*60*8),0),""))</f>
        <v>0</v>
      </c>
      <c r="G115" s="11" t="str">
        <f>IF(OR(G124="",G125="",G125=0),"",IFERROR(ROUND((G124*100000)/(G125*60*8),0),""))</f>
        <v>0</v>
      </c>
      <c r="H115" s="11" t="str">
        <f>IF(OR(H124="",H125="",H125=0),"",IFERROR(ROUND((H124*100000)/(H125*60*8),0),""))</f>
        <v>0</v>
      </c>
      <c r="I115" s="11" t="str">
        <f>IF(OR(I124="",I125="",I125=0),"",IFERROR(ROUND((I124*100000)/(I125*60*8),0),""))</f>
        <v>0</v>
      </c>
      <c r="J115" s="11" t="str">
        <f>IF(OR(J124="",J125="",J125=0),"",IFERROR(ROUND((J124*100000)/(J125*60*8),0),""))</f>
        <v>0</v>
      </c>
      <c r="K115" s="11" t="str">
        <f>IF(OR(K124="",K125="",K125=0),"",IFERROR(ROUND((K124*100000)/(K125*60*8),0),""))</f>
        <v>0</v>
      </c>
      <c r="L115" s="36"/>
      <c r="M115" s="50" t="s">
        <v>2</v>
      </c>
      <c r="N115" s="11" t="str">
        <f>IF(OR(N124="",N125="",N125=0),"",IFERROR(ROUND((N124*100000)/(N125*60*8),0),""))</f>
        <v>0</v>
      </c>
      <c r="O115" s="11" t="str">
        <f>IF(OR(O124="",O125="",O125=0),"",IFERROR(ROUND((O124*100000)/(O125*60*8),0),""))</f>
        <v>0</v>
      </c>
      <c r="P115" s="11" t="str">
        <f>IF(OR(P124="",P125="",P125=0),"",IFERROR(ROUND((P124*100000)/(P125*60*8),0),""))</f>
        <v>0</v>
      </c>
      <c r="Q115" s="11" t="str">
        <f>IF(OR(Q124="",Q125="",Q125=0),"",IFERROR(ROUND((Q124*100000)/(Q125*60*8),0),""))</f>
        <v>0</v>
      </c>
      <c r="R115" s="11" t="str">
        <f>IF(OR(R124="",R125="",R125=0),"",IFERROR(ROUND((R124*100000)/(R125*60*8),0),""))</f>
        <v>0</v>
      </c>
      <c r="S115" s="11" t="str">
        <f>IF(OR(S124="",S125="",S125=0),"",IFERROR(ROUND((S124*100000)/(S125*60*8),0),""))</f>
        <v>0</v>
      </c>
      <c r="T115" s="11" t="str">
        <f>IF(OR(T124="",T125="",T125=0),"",IFERROR(ROUND((T124*100000)/(T125*60*8),0),""))</f>
        <v>0</v>
      </c>
      <c r="U115" s="11" t="str">
        <f>IF(OR(U124="",U125="",U125=0),"",IFERROR(ROUND((U124*100000)/(U125*60*8),0),""))</f>
        <v>0</v>
      </c>
      <c r="V115" s="11" t="str">
        <f>IF(OR(V124="",V125="",V125=0),"",IFERROR(ROUND((V124*100000)/(V125*60*8),0),""))</f>
        <v>0</v>
      </c>
      <c r="W115" s="11" t="str">
        <f>IF(OR(W124="",W125="",W125=0),"",IFERROR(ROUND((W124*100000)/(W125*60*8),0),""))</f>
        <v>0</v>
      </c>
      <c r="X115" s="11" t="str">
        <f>IF(OR(X124="",X125="",X125=0),"",IFERROR(ROUND((X124*100000)/(X125*60*8),0),""))</f>
        <v>0</v>
      </c>
      <c r="Y115" s="11" t="str">
        <f>IF(OR(Y124="",Y125="",Y125=0),"",IFERROR(ROUND((Y124*100000)/(Y125*60*8),0),""))</f>
        <v>0</v>
      </c>
      <c r="Z115" s="11" t="str">
        <f>IF(OR(Z124="",Z125="",Z125=0),"",IFERROR(ROUND((Z124*100000)/(Z125*60*8),0),""))</f>
        <v>0</v>
      </c>
      <c r="AA115" s="11" t="str">
        <f>IF(OR(AA124="",AA125="",AA125=0),"",IFERROR(ROUND((AA124*100000)/(AA125*60*8),0),""))</f>
        <v>0</v>
      </c>
      <c r="AB115" s="11" t="str">
        <f>IF(OR(AB124="",AB125="",AB125=0),"",IFERROR(ROUND((AB124*100000)/(AB125*60*8),0),""))</f>
        <v>0</v>
      </c>
      <c r="AC115" s="11" t="str">
        <f>IF(OR(AC124="",AC125="",AC125=0),"",IFERROR(ROUND((AC124*100000)/(AC125*60*8),0),""))</f>
        <v>0</v>
      </c>
      <c r="AD115" s="11" t="str">
        <f>IF(OR(AD124="",AD125="",AD125=0),"",IFERROR(ROUND((AD124*100000)/(AD125*60*8),0),""))</f>
        <v>0</v>
      </c>
      <c r="AE115" s="11" t="str">
        <f>IF(OR(AE124="",AE125="",AE125=0),"",IFERROR(ROUND((AE124*100000)/(AE125*60*8),0),""))</f>
        <v>0</v>
      </c>
      <c r="AF115" s="11" t="str">
        <f>IF(OR(AF124="",AF125="",AF125=0),"",IFERROR(ROUND((AF124*100000)/(AF125*60*8),0),""))</f>
        <v>0</v>
      </c>
      <c r="AG115" s="11" t="str">
        <f>IF(OR(AG124="",AG125="",AG125=0),"",IFERROR(ROUND((AG124*100000)/(AG125*60*8),0),""))</f>
        <v>0</v>
      </c>
      <c r="AH115" s="11" t="str">
        <f>IF(OR(AH124="",AH125="",AH125=0),"",IFERROR(ROUND((AH124*100000)/(AH125*60*8),0),""))</f>
        <v>0</v>
      </c>
      <c r="AI115" s="11" t="str">
        <f>IF(OR(AI124="",AI125="",AI125=0),"",IFERROR(ROUND((AI124*100000)/(AI125*60*8),0),""))</f>
        <v>0</v>
      </c>
      <c r="AJ115" s="36"/>
      <c r="AK115" s="50" t="s">
        <v>2</v>
      </c>
      <c r="AL115" s="11" t="str">
        <f>IF(OR(AL123="",AL124="",AL124=0),"",IFERROR(ROUND((AL123*100000)/(AL124*60*8),0),""))</f>
        <v>0</v>
      </c>
      <c r="AM115" s="11" t="str">
        <f>IF(OR(AM123="",AM124="",AM124=0),"",IFERROR(ROUND((AM123*100000)/(AM124*60*8),0),""))</f>
        <v>0</v>
      </c>
      <c r="AN115" s="11" t="str">
        <f>IF(OR(AN123="",AN124="",AN124=0),"",IFERROR(ROUND((AN123*100000)/(AN124*60*8),0),""))</f>
        <v>0</v>
      </c>
      <c r="AO115" s="11" t="str">
        <f>IF(OR(AO123="",AO124="",AO124=0),"",IFERROR(ROUND((AO123*100000)/(AO124*60*8),0),""))</f>
        <v>0</v>
      </c>
      <c r="AP115" s="11" t="str">
        <f>IF(OR(AP123="",AP124="",AP124=0),"",IFERROR(ROUND((AP123*100000)/(AP124*60*8),0),""))</f>
        <v>0</v>
      </c>
      <c r="AQ115" s="11" t="str">
        <f>IF(OR(AQ123="",AQ124="",AQ124=0),"",IFERROR(ROUND((AQ123*100000)/(AQ124*60*8),0),""))</f>
        <v>0</v>
      </c>
      <c r="AS115" s="1" t="str">
        <f>SUM(N124:AI124)</f>
        <v>0</v>
      </c>
    </row>
    <row r="116" spans="1:45">
      <c r="A116" s="34"/>
      <c r="B116" s="49" t="s">
        <v>3</v>
      </c>
      <c r="C116" s="8"/>
      <c r="D116" s="8"/>
      <c r="E116" s="8"/>
      <c r="F116" s="8"/>
      <c r="G116" s="8"/>
      <c r="H116" s="8"/>
      <c r="I116" s="8"/>
      <c r="J116" s="8"/>
      <c r="K116" s="8"/>
      <c r="L116" s="36"/>
      <c r="M116" s="50" t="s">
        <v>3</v>
      </c>
      <c r="N116" s="8"/>
      <c r="O116" s="8"/>
      <c r="P116" s="8"/>
      <c r="Q116" s="8"/>
      <c r="R116" s="8"/>
      <c r="S116" s="8"/>
      <c r="T116" s="8"/>
      <c r="U116" s="8"/>
      <c r="V116" s="8"/>
      <c r="W116" s="9"/>
      <c r="X116" s="9"/>
      <c r="Y116" s="9"/>
      <c r="Z116" s="9"/>
      <c r="AA116" s="9"/>
      <c r="AB116" s="9"/>
      <c r="AC116" s="9"/>
      <c r="AD116" s="9"/>
      <c r="AE116" s="8"/>
      <c r="AF116" s="8"/>
      <c r="AG116" s="8"/>
      <c r="AH116" s="8"/>
      <c r="AI116" s="8"/>
      <c r="AJ116" s="36"/>
      <c r="AK116" s="50" t="s">
        <v>3</v>
      </c>
      <c r="AL116" s="8"/>
      <c r="AM116" s="8"/>
      <c r="AN116" s="8"/>
      <c r="AO116" s="8"/>
      <c r="AP116" s="8"/>
      <c r="AQ116" s="8"/>
      <c r="AS116" s="1" t="str">
        <f>SUM(N117:AI117)</f>
        <v>0</v>
      </c>
    </row>
    <row r="117" spans="1:45">
      <c r="A117" s="34"/>
      <c r="B117" s="50" t="s">
        <v>4</v>
      </c>
      <c r="C117" s="9"/>
      <c r="D117" s="9"/>
      <c r="E117" s="9"/>
      <c r="F117" s="9"/>
      <c r="G117" s="9"/>
      <c r="H117" s="9"/>
      <c r="I117" s="9"/>
      <c r="J117" s="8"/>
      <c r="K117" s="8"/>
      <c r="L117" s="36"/>
      <c r="M117" s="50" t="s">
        <v>4</v>
      </c>
      <c r="N117" s="8"/>
      <c r="O117" s="8"/>
      <c r="P117" s="8"/>
      <c r="Q117" s="8"/>
      <c r="R117" s="8"/>
      <c r="S117" s="8"/>
      <c r="T117" s="8"/>
      <c r="U117" s="8"/>
      <c r="V117" s="8"/>
      <c r="W117" s="9"/>
      <c r="X117" s="9"/>
      <c r="Y117" s="9"/>
      <c r="Z117" s="9"/>
      <c r="AA117" s="9"/>
      <c r="AB117" s="9"/>
      <c r="AC117" s="9"/>
      <c r="AD117" s="9"/>
      <c r="AE117" s="8"/>
      <c r="AF117" s="8"/>
      <c r="AG117" s="8"/>
      <c r="AH117" s="8"/>
      <c r="AI117" s="8"/>
      <c r="AJ117" s="36"/>
      <c r="AK117" s="50" t="s">
        <v>4</v>
      </c>
      <c r="AL117" s="8"/>
      <c r="AM117" s="8"/>
      <c r="AN117" s="8"/>
      <c r="AO117" s="8"/>
      <c r="AP117" s="8"/>
      <c r="AQ117" s="8"/>
      <c r="AS117" s="1" t="str">
        <f>SUM(N118:AI118)</f>
        <v>0</v>
      </c>
    </row>
    <row r="118" spans="1:45">
      <c r="A118" s="34"/>
      <c r="B118" s="49" t="s">
        <v>5</v>
      </c>
      <c r="C118" s="9"/>
      <c r="D118" s="9"/>
      <c r="E118" s="9"/>
      <c r="F118" s="9"/>
      <c r="G118" s="9"/>
      <c r="H118" s="9"/>
      <c r="I118" s="9"/>
      <c r="J118" s="8"/>
      <c r="K118" s="8"/>
      <c r="L118" s="36"/>
      <c r="M118" s="50" t="s">
        <v>5</v>
      </c>
      <c r="N118" s="8"/>
      <c r="O118" s="8"/>
      <c r="P118" s="8"/>
      <c r="Q118" s="8"/>
      <c r="R118" s="8"/>
      <c r="S118" s="8"/>
      <c r="T118" s="8"/>
      <c r="U118" s="8"/>
      <c r="V118" s="8"/>
      <c r="W118" s="9"/>
      <c r="X118" s="9"/>
      <c r="Y118" s="9"/>
      <c r="Z118" s="9"/>
      <c r="AA118" s="9"/>
      <c r="AB118" s="9"/>
      <c r="AC118" s="9"/>
      <c r="AD118" s="9"/>
      <c r="AE118" s="8"/>
      <c r="AF118" s="8"/>
      <c r="AG118" s="8"/>
      <c r="AH118" s="8"/>
      <c r="AI118" s="8"/>
      <c r="AJ118" s="36"/>
      <c r="AK118" s="50" t="s">
        <v>5</v>
      </c>
      <c r="AL118" s="8"/>
      <c r="AM118" s="8"/>
      <c r="AN118" s="8"/>
      <c r="AO118" s="8"/>
      <c r="AP118" s="8"/>
      <c r="AQ118" s="8"/>
    </row>
    <row r="119" spans="1:45">
      <c r="A119" s="34"/>
      <c r="B119" s="49" t="s">
        <v>6</v>
      </c>
      <c r="C119" s="9"/>
      <c r="D119" s="9"/>
      <c r="E119" s="9"/>
      <c r="F119" s="9"/>
      <c r="G119" s="9"/>
      <c r="H119" s="9"/>
      <c r="I119" s="9"/>
      <c r="J119" s="8"/>
      <c r="K119" s="8"/>
      <c r="L119" s="36"/>
      <c r="M119" s="50" t="s">
        <v>6</v>
      </c>
      <c r="N119" s="8"/>
      <c r="O119" s="8"/>
      <c r="P119" s="8"/>
      <c r="Q119" s="8"/>
      <c r="R119" s="8"/>
      <c r="S119" s="8"/>
      <c r="T119" s="8"/>
      <c r="U119" s="8"/>
      <c r="V119" s="8"/>
      <c r="W119" s="9"/>
      <c r="X119" s="9"/>
      <c r="Y119" s="9"/>
      <c r="Z119" s="9"/>
      <c r="AA119" s="9"/>
      <c r="AB119" s="9"/>
      <c r="AC119" s="9"/>
      <c r="AD119" s="9"/>
      <c r="AE119" s="8"/>
      <c r="AF119" s="8"/>
      <c r="AG119" s="8"/>
      <c r="AH119" s="8"/>
      <c r="AI119" s="8"/>
      <c r="AJ119" s="36"/>
      <c r="AK119" s="50" t="s">
        <v>7</v>
      </c>
      <c r="AL119" s="8"/>
      <c r="AM119" s="8"/>
      <c r="AN119" s="8"/>
      <c r="AO119" s="8"/>
      <c r="AP119" s="8"/>
      <c r="AQ119" s="8"/>
      <c r="AS119" s="1" t="str">
        <f>SUM(N120:AI120)</f>
        <v>0</v>
      </c>
    </row>
    <row r="120" spans="1:45">
      <c r="A120" s="34"/>
      <c r="B120" s="49" t="s">
        <v>7</v>
      </c>
      <c r="C120" s="9"/>
      <c r="D120" s="9"/>
      <c r="E120" s="9"/>
      <c r="F120" s="9"/>
      <c r="G120" s="9"/>
      <c r="H120" s="9"/>
      <c r="I120" s="9"/>
      <c r="J120" s="8"/>
      <c r="K120" s="8"/>
      <c r="L120" s="36"/>
      <c r="M120" s="50" t="s">
        <v>7</v>
      </c>
      <c r="N120" s="8"/>
      <c r="O120" s="8"/>
      <c r="P120" s="8"/>
      <c r="Q120" s="8"/>
      <c r="R120" s="8"/>
      <c r="S120" s="8"/>
      <c r="T120" s="8"/>
      <c r="U120" s="8"/>
      <c r="V120" s="8"/>
      <c r="W120" s="9"/>
      <c r="X120" s="9"/>
      <c r="Y120" s="9"/>
      <c r="Z120" s="9"/>
      <c r="AA120" s="9"/>
      <c r="AB120" s="9"/>
      <c r="AC120" s="9"/>
      <c r="AD120" s="9"/>
      <c r="AE120" s="8"/>
      <c r="AF120" s="8"/>
      <c r="AG120" s="8"/>
      <c r="AH120" s="8"/>
      <c r="AI120" s="8"/>
      <c r="AJ120" s="36"/>
      <c r="AK120" s="50" t="s">
        <v>8</v>
      </c>
      <c r="AL120" s="8"/>
      <c r="AM120" s="8"/>
      <c r="AN120" s="8"/>
      <c r="AO120" s="8"/>
      <c r="AP120" s="8"/>
      <c r="AQ120" s="8"/>
      <c r="AS120" s="1" t="str">
        <f>SUM(N121:AI121)</f>
        <v>0</v>
      </c>
    </row>
    <row r="121" spans="1:45">
      <c r="A121" s="39"/>
      <c r="B121" s="49" t="s">
        <v>10</v>
      </c>
      <c r="C121" s="9"/>
      <c r="D121" s="9"/>
      <c r="E121" s="9"/>
      <c r="F121" s="9"/>
      <c r="G121" s="9"/>
      <c r="H121" s="9"/>
      <c r="I121" s="9"/>
      <c r="J121" s="8"/>
      <c r="K121" s="8"/>
      <c r="L121" s="39"/>
      <c r="M121" s="50" t="s">
        <v>10</v>
      </c>
      <c r="N121" s="8"/>
      <c r="O121" s="8"/>
      <c r="P121" s="8"/>
      <c r="Q121" s="8"/>
      <c r="R121" s="8"/>
      <c r="S121" s="8"/>
      <c r="T121" s="8"/>
      <c r="U121" s="8"/>
      <c r="V121" s="8"/>
      <c r="W121" s="9"/>
      <c r="X121" s="9"/>
      <c r="Y121" s="9"/>
      <c r="Z121" s="9"/>
      <c r="AA121" s="9"/>
      <c r="AB121" s="9"/>
      <c r="AC121" s="9"/>
      <c r="AD121" s="9"/>
      <c r="AE121" s="8"/>
      <c r="AF121" s="8"/>
      <c r="AG121" s="8"/>
      <c r="AH121" s="8"/>
      <c r="AI121" s="8"/>
      <c r="AJ121" s="39"/>
      <c r="AK121" s="50" t="s">
        <v>11</v>
      </c>
      <c r="AL121" s="8"/>
      <c r="AM121" s="8"/>
      <c r="AN121" s="8"/>
      <c r="AO121" s="8"/>
      <c r="AP121" s="8"/>
      <c r="AQ121" s="8"/>
      <c r="AS121" s="1" t="str">
        <f>SUM(N122:AI122)</f>
        <v>0</v>
      </c>
    </row>
    <row r="122" spans="1:45">
      <c r="A122" s="39"/>
      <c r="B122" s="49" t="s">
        <v>11</v>
      </c>
      <c r="C122" s="9"/>
      <c r="D122" s="9"/>
      <c r="E122" s="9"/>
      <c r="F122" s="9"/>
      <c r="G122" s="9"/>
      <c r="H122" s="9"/>
      <c r="I122" s="9"/>
      <c r="J122" s="8"/>
      <c r="K122" s="8"/>
      <c r="L122" s="39"/>
      <c r="M122" s="50" t="s">
        <v>11</v>
      </c>
      <c r="N122" s="8"/>
      <c r="O122" s="8"/>
      <c r="P122" s="8"/>
      <c r="Q122" s="8"/>
      <c r="R122" s="8"/>
      <c r="S122" s="8"/>
      <c r="T122" s="8"/>
      <c r="U122" s="8"/>
      <c r="V122" s="8"/>
      <c r="W122" s="9"/>
      <c r="X122" s="9"/>
      <c r="Y122" s="9"/>
      <c r="Z122" s="9"/>
      <c r="AA122" s="9"/>
      <c r="AB122" s="9"/>
      <c r="AC122" s="9"/>
      <c r="AD122" s="9"/>
      <c r="AE122" s="8"/>
      <c r="AF122" s="8"/>
      <c r="AG122" s="8"/>
      <c r="AH122" s="8"/>
      <c r="AI122" s="8"/>
      <c r="AJ122" s="39"/>
      <c r="AK122" s="50" t="s">
        <v>12</v>
      </c>
      <c r="AL122" s="8"/>
      <c r="AM122" s="8"/>
      <c r="AN122" s="8"/>
      <c r="AO122" s="8"/>
      <c r="AP122" s="8"/>
      <c r="AQ122" s="8"/>
    </row>
    <row r="123" spans="1:45">
      <c r="A123" s="39"/>
      <c r="B123" s="49" t="s">
        <v>12</v>
      </c>
      <c r="C123" s="9"/>
      <c r="D123" s="9"/>
      <c r="E123" s="9"/>
      <c r="F123" s="9"/>
      <c r="G123" s="9"/>
      <c r="H123" s="9"/>
      <c r="I123" s="9"/>
      <c r="J123" s="8"/>
      <c r="K123" s="8"/>
      <c r="L123" s="39"/>
      <c r="M123" s="50" t="s">
        <v>12</v>
      </c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39"/>
      <c r="AK123" s="50" t="s">
        <v>13</v>
      </c>
      <c r="AL123" s="8"/>
      <c r="AM123" s="8"/>
      <c r="AN123" s="8"/>
      <c r="AO123" s="8"/>
      <c r="AP123" s="8"/>
      <c r="AQ123" s="8"/>
    </row>
    <row r="124" spans="1:45">
      <c r="A124" s="39"/>
      <c r="B124" s="49" t="s">
        <v>13</v>
      </c>
      <c r="C124" s="9"/>
      <c r="D124" s="9"/>
      <c r="E124" s="9"/>
      <c r="F124" s="9"/>
      <c r="G124" s="9"/>
      <c r="H124" s="9"/>
      <c r="I124" s="9"/>
      <c r="J124" s="8"/>
      <c r="K124" s="8"/>
      <c r="L124" s="39"/>
      <c r="M124" s="50" t="s">
        <v>13</v>
      </c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39"/>
      <c r="AK124" s="50" t="s">
        <v>14</v>
      </c>
      <c r="AL124" s="8"/>
      <c r="AM124" s="8"/>
      <c r="AN124" s="8"/>
      <c r="AO124" s="8"/>
      <c r="AP124" s="8"/>
      <c r="AQ124" s="8"/>
    </row>
    <row r="125" spans="1:45">
      <c r="A125" s="39"/>
      <c r="B125" s="49" t="s">
        <v>14</v>
      </c>
      <c r="C125" s="9"/>
      <c r="D125" s="9"/>
      <c r="E125" s="9"/>
      <c r="F125" s="9"/>
      <c r="G125" s="9"/>
      <c r="H125" s="9"/>
      <c r="I125" s="9"/>
      <c r="J125" s="8"/>
      <c r="K125" s="8"/>
      <c r="L125" s="39"/>
      <c r="M125" s="50" t="s">
        <v>14</v>
      </c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K125" s="49"/>
      <c r="AL125" s="8"/>
      <c r="AM125" s="8"/>
      <c r="AN125" s="8"/>
      <c r="AO125" s="8"/>
      <c r="AP125" s="8"/>
      <c r="AQ125" s="8"/>
    </row>
    <row r="126" spans="1:45">
      <c r="A126" s="36"/>
      <c r="B126" s="49" t="s">
        <v>2</v>
      </c>
      <c r="C126" s="11" t="str">
        <f>IF(OR(C135="",C136="",C136=0),"",IFERROR(ROUND((C135*100000)/(C136*60*8),0),""))</f>
        <v>0</v>
      </c>
      <c r="D126" s="11" t="str">
        <f>IF(OR(D135="",D136="",D136=0),"",IFERROR(ROUND((D135*100000)/(D136*60*8),0),""))</f>
        <v>0</v>
      </c>
      <c r="E126" s="11" t="str">
        <f>IF(OR(E135="",E136="",E136=0),"",IFERROR(ROUND((E135*100000)/(E136*60*8),0),""))</f>
        <v>0</v>
      </c>
      <c r="F126" s="11" t="str">
        <f>IF(OR(F135="",F136="",F136=0),"",IFERROR(ROUND((F135*100000)/(F136*60*8),0),""))</f>
        <v>0</v>
      </c>
      <c r="G126" s="11" t="str">
        <f>IF(OR(G135="",G136="",G136=0),"",IFERROR(ROUND((G135*100000)/(G136*60*8),0),""))</f>
        <v>0</v>
      </c>
      <c r="H126" s="11" t="str">
        <f>IF(OR(H135="",H136="",H136=0),"",IFERROR(ROUND((H135*100000)/(H136*60*8),0),""))</f>
        <v>0</v>
      </c>
      <c r="I126" s="11" t="str">
        <f>IF(OR(I135="",I136="",I136=0),"",IFERROR(ROUND((I135*100000)/(I136*60*8),0),""))</f>
        <v>0</v>
      </c>
      <c r="J126" s="11" t="str">
        <f>IF(OR(J135="",J136="",J136=0),"",IFERROR(ROUND((J135*100000)/(J136*60*8),0),""))</f>
        <v>0</v>
      </c>
      <c r="K126" s="11" t="str">
        <f>IF(OR(K135="",K136="",K136=0),"",IFERROR(ROUND((K135*100000)/(K136*60*8),0),""))</f>
        <v>0</v>
      </c>
      <c r="L126" s="36"/>
      <c r="M126" s="50" t="s">
        <v>2</v>
      </c>
      <c r="N126" s="11" t="str">
        <f>IF(OR(N135="",N136="",N136=0),"",IFERROR(ROUND((N135*100000)/(N136*60*8),0),""))</f>
        <v>0</v>
      </c>
      <c r="O126" s="11" t="str">
        <f>IF(OR(O135="",O136="",O136=0),"",IFERROR(ROUND((O135*100000)/(O136*60*8),0),""))</f>
        <v>0</v>
      </c>
      <c r="P126" s="11" t="str">
        <f>IF(OR(P135="",P136="",P136=0),"",IFERROR(ROUND((P135*100000)/(P136*60*8),0),""))</f>
        <v>0</v>
      </c>
      <c r="Q126" s="11" t="str">
        <f>IF(OR(Q135="",Q136="",Q136=0),"",IFERROR(ROUND((Q135*100000)/(Q136*60*8),0),""))</f>
        <v>0</v>
      </c>
      <c r="R126" s="11" t="str">
        <f>IF(OR(R135="",R136="",R136=0),"",IFERROR(ROUND((R135*100000)/(R136*60*8),0),""))</f>
        <v>0</v>
      </c>
      <c r="S126" s="11" t="str">
        <f>IF(OR(S135="",S136="",S136=0),"",IFERROR(ROUND((S135*100000)/(S136*60*8),0),""))</f>
        <v>0</v>
      </c>
      <c r="T126" s="11" t="str">
        <f>IF(OR(T135="",T136="",T136=0),"",IFERROR(ROUND((T135*100000)/(T136*60*8),0),""))</f>
        <v>0</v>
      </c>
      <c r="U126" s="11" t="str">
        <f>IF(OR(U135="",U136="",U136=0),"",IFERROR(ROUND((U135*100000)/(U136*60*8),0),""))</f>
        <v>0</v>
      </c>
      <c r="V126" s="11" t="str">
        <f>IF(OR(V135="",V136="",V136=0),"",IFERROR(ROUND((V135*100000)/(V136*60*8),0),""))</f>
        <v>0</v>
      </c>
      <c r="W126" s="11" t="str">
        <f>IF(OR(W135="",W136="",W136=0),"",IFERROR(ROUND((W135*100000)/(W136*60*8),0),""))</f>
        <v>0</v>
      </c>
      <c r="X126" s="11" t="str">
        <f>IF(OR(X135="",X136="",X136=0),"",IFERROR(ROUND((X135*100000)/(X136*60*8),0),""))</f>
        <v>0</v>
      </c>
      <c r="Y126" s="11" t="str">
        <f>IF(OR(Y135="",Y136="",Y136=0),"",IFERROR(ROUND((Y135*100000)/(Y136*60*8),0),""))</f>
        <v>0</v>
      </c>
      <c r="Z126" s="11" t="str">
        <f>IF(OR(Z135="",Z136="",Z136=0),"",IFERROR(ROUND((Z135*100000)/(Z136*60*8),0),""))</f>
        <v>0</v>
      </c>
      <c r="AA126" s="11" t="str">
        <f>IF(OR(AA135="",AA136="",AA136=0),"",IFERROR(ROUND((AA135*100000)/(AA136*60*8),0),""))</f>
        <v>0</v>
      </c>
      <c r="AB126" s="11" t="str">
        <f>IF(OR(AB135="",AB136="",AB136=0),"",IFERROR(ROUND((AB135*100000)/(AB136*60*8),0),""))</f>
        <v>0</v>
      </c>
      <c r="AC126" s="11" t="str">
        <f>IF(OR(AC135="",AC136="",AC136=0),"",IFERROR(ROUND((AC135*100000)/(AC136*60*8),0),""))</f>
        <v>0</v>
      </c>
      <c r="AD126" s="11" t="str">
        <f>IF(OR(AD135="",AD136="",AD136=0),"",IFERROR(ROUND((AD135*100000)/(AD136*60*8),0),""))</f>
        <v>0</v>
      </c>
      <c r="AE126" s="11" t="str">
        <f>IF(OR(AE135="",AE136="",AE136=0),"",IFERROR(ROUND((AE135*100000)/(AE136*60*8),0),""))</f>
        <v>0</v>
      </c>
      <c r="AF126" s="11" t="str">
        <f>IF(OR(AF135="",AF136="",AF136=0),"",IFERROR(ROUND((AF135*100000)/(AF136*60*8),0),""))</f>
        <v>0</v>
      </c>
      <c r="AG126" s="11" t="str">
        <f>IF(OR(AG135="",AG136="",AG136=0),"",IFERROR(ROUND((AG135*100000)/(AG136*60*8),0),""))</f>
        <v>0</v>
      </c>
      <c r="AH126" s="11" t="str">
        <f>IF(OR(AH135="",AH136="",AH136=0),"",IFERROR(ROUND((AH135*100000)/(AH136*60*8),0),""))</f>
        <v>0</v>
      </c>
      <c r="AI126" s="11" t="str">
        <f>IF(OR(AI135="",AI136="",AI136=0),"",IFERROR(ROUND((AI135*100000)/(AI136*60*8),0),""))</f>
        <v>0</v>
      </c>
      <c r="AJ126" s="36"/>
      <c r="AK126" s="50" t="s">
        <v>2</v>
      </c>
      <c r="AL126" s="11" t="str">
        <f>IF(OR(AL134="",AL135="",AL135=0),"",IFERROR(ROUND((AL134*100000)/(AL135*60*8),0),""))</f>
        <v>0</v>
      </c>
      <c r="AM126" s="11" t="str">
        <f>IF(OR(AM134="",AM135="",AM135=0),"",IFERROR(ROUND((AM134*100000)/(AM135*60*8),0),""))</f>
        <v>0</v>
      </c>
      <c r="AN126" s="11" t="str">
        <f>IF(OR(AN134="",AN135="",AN135=0),"",IFERROR(ROUND((AN134*100000)/(AN135*60*8),0),""))</f>
        <v>0</v>
      </c>
      <c r="AO126" s="11" t="str">
        <f>IF(OR(AO134="",AO135="",AO135=0),"",IFERROR(ROUND((AO134*100000)/(AO135*60*8),0),""))</f>
        <v>0</v>
      </c>
      <c r="AP126" s="11" t="str">
        <f>IF(OR(AP134="",AP135="",AP135=0),"",IFERROR(ROUND((AP134*100000)/(AP135*60*8),0),""))</f>
        <v>0</v>
      </c>
      <c r="AQ126" s="11" t="str">
        <f>IF(OR(AQ134="",AQ135="",AQ135=0),"",IFERROR(ROUND((AQ134*100000)/(AQ135*60*8),0),""))</f>
        <v>0</v>
      </c>
      <c r="AS126" s="6" t="str">
        <f>SUM(N127:AI127)</f>
        <v>0</v>
      </c>
    </row>
    <row r="127" spans="1:45">
      <c r="A127" s="36"/>
      <c r="B127" s="50" t="s">
        <v>3</v>
      </c>
      <c r="C127" s="8"/>
      <c r="D127" s="9"/>
      <c r="E127" s="9"/>
      <c r="F127" s="9"/>
      <c r="G127" s="9"/>
      <c r="H127" s="9"/>
      <c r="I127" s="9"/>
      <c r="J127" s="9"/>
      <c r="K127" s="8"/>
      <c r="L127" s="36"/>
      <c r="M127" s="50" t="s">
        <v>3</v>
      </c>
      <c r="N127" s="8"/>
      <c r="O127" s="8"/>
      <c r="P127" s="8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8"/>
      <c r="AB127" s="8"/>
      <c r="AC127" s="8"/>
      <c r="AD127" s="8"/>
      <c r="AE127" s="8"/>
      <c r="AF127" s="8"/>
      <c r="AG127" s="8"/>
      <c r="AH127" s="8"/>
      <c r="AI127" s="8"/>
      <c r="AJ127" s="36"/>
      <c r="AK127" s="50" t="s">
        <v>3</v>
      </c>
      <c r="AL127" s="8"/>
      <c r="AM127" s="8"/>
      <c r="AN127" s="8"/>
      <c r="AO127" s="8"/>
      <c r="AP127" s="8"/>
      <c r="AQ127" s="8"/>
      <c r="AS127" s="6" t="str">
        <f>SUM(N128:AI128)</f>
        <v>0</v>
      </c>
    </row>
    <row r="128" spans="1:45">
      <c r="A128" s="36"/>
      <c r="B128" s="50" t="s">
        <v>4</v>
      </c>
      <c r="C128" s="8"/>
      <c r="D128" s="9"/>
      <c r="E128" s="9"/>
      <c r="F128" s="9"/>
      <c r="G128" s="9"/>
      <c r="H128" s="9"/>
      <c r="I128" s="9"/>
      <c r="J128" s="9"/>
      <c r="K128" s="8"/>
      <c r="L128" s="36"/>
      <c r="M128" s="50" t="s">
        <v>4</v>
      </c>
      <c r="N128" s="8"/>
      <c r="O128" s="8"/>
      <c r="P128" s="8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8"/>
      <c r="AB128" s="8"/>
      <c r="AC128" s="8"/>
      <c r="AD128" s="8"/>
      <c r="AE128" s="8"/>
      <c r="AF128" s="8"/>
      <c r="AG128" s="8"/>
      <c r="AH128" s="8"/>
      <c r="AI128" s="8"/>
      <c r="AJ128" s="36"/>
      <c r="AK128" s="50" t="s">
        <v>4</v>
      </c>
      <c r="AL128" s="8"/>
      <c r="AM128" s="8"/>
      <c r="AN128" s="8"/>
      <c r="AO128" s="8"/>
      <c r="AP128" s="8"/>
      <c r="AQ128" s="8"/>
      <c r="AS128" s="6" t="str">
        <f>SUM(N129:AI129)</f>
        <v>0</v>
      </c>
    </row>
    <row r="129" spans="1:45">
      <c r="A129" s="36"/>
      <c r="B129" s="50" t="s">
        <v>5</v>
      </c>
      <c r="C129" s="8"/>
      <c r="D129" s="9"/>
      <c r="E129" s="9"/>
      <c r="F129" s="9"/>
      <c r="G129" s="9"/>
      <c r="H129" s="9"/>
      <c r="I129" s="9"/>
      <c r="J129" s="9"/>
      <c r="K129" s="8"/>
      <c r="L129" s="36"/>
      <c r="M129" s="50" t="s">
        <v>5</v>
      </c>
      <c r="N129" s="8"/>
      <c r="O129" s="8"/>
      <c r="P129" s="8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8"/>
      <c r="AB129" s="8"/>
      <c r="AC129" s="8"/>
      <c r="AD129" s="8"/>
      <c r="AE129" s="8"/>
      <c r="AF129" s="8"/>
      <c r="AG129" s="8"/>
      <c r="AH129" s="8"/>
      <c r="AI129" s="8"/>
      <c r="AJ129" s="36"/>
      <c r="AK129" s="50" t="s">
        <v>5</v>
      </c>
      <c r="AL129" s="8"/>
      <c r="AM129" s="8"/>
      <c r="AN129" s="8"/>
      <c r="AO129" s="8"/>
      <c r="AP129" s="8"/>
      <c r="AQ129" s="8"/>
      <c r="AS129" s="6" t="str">
        <f>SUM(N130:AI130)</f>
        <v>0</v>
      </c>
    </row>
    <row r="130" spans="1:45">
      <c r="A130" s="36"/>
      <c r="B130" s="50" t="s">
        <v>6</v>
      </c>
      <c r="C130" s="8"/>
      <c r="D130" s="9"/>
      <c r="E130" s="9"/>
      <c r="F130" s="9"/>
      <c r="G130" s="9"/>
      <c r="H130" s="9"/>
      <c r="I130" s="9"/>
      <c r="J130" s="9"/>
      <c r="K130" s="8"/>
      <c r="L130" s="36"/>
      <c r="M130" s="50" t="s">
        <v>6</v>
      </c>
      <c r="N130" s="8"/>
      <c r="O130" s="8"/>
      <c r="P130" s="8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8"/>
      <c r="AB130" s="8"/>
      <c r="AC130" s="8"/>
      <c r="AD130" s="8"/>
      <c r="AE130" s="8"/>
      <c r="AF130" s="8"/>
      <c r="AG130" s="8"/>
      <c r="AH130" s="8"/>
      <c r="AI130" s="8"/>
      <c r="AJ130" s="36"/>
      <c r="AK130" s="50" t="s">
        <v>7</v>
      </c>
      <c r="AL130" s="8"/>
      <c r="AM130" s="8"/>
      <c r="AN130" s="8"/>
      <c r="AO130" s="8"/>
      <c r="AP130" s="8"/>
      <c r="AQ130" s="8"/>
      <c r="AS130" s="6" t="str">
        <f>SUM(N131:AI131)</f>
        <v>0</v>
      </c>
    </row>
    <row r="131" spans="1:45">
      <c r="A131" s="36"/>
      <c r="B131" s="50" t="s">
        <v>7</v>
      </c>
      <c r="C131" s="8"/>
      <c r="D131" s="9"/>
      <c r="E131" s="9"/>
      <c r="F131" s="9"/>
      <c r="G131" s="9"/>
      <c r="H131" s="9"/>
      <c r="I131" s="9"/>
      <c r="J131" s="9"/>
      <c r="K131" s="8"/>
      <c r="L131" s="36"/>
      <c r="M131" s="50" t="s">
        <v>7</v>
      </c>
      <c r="N131" s="8"/>
      <c r="O131" s="8"/>
      <c r="P131" s="8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8"/>
      <c r="AB131" s="8"/>
      <c r="AC131" s="8"/>
      <c r="AD131" s="8"/>
      <c r="AE131" s="8"/>
      <c r="AF131" s="8"/>
      <c r="AG131" s="8"/>
      <c r="AH131" s="8"/>
      <c r="AI131" s="8"/>
      <c r="AJ131" s="36"/>
      <c r="AK131" s="50" t="s">
        <v>8</v>
      </c>
      <c r="AL131" s="8"/>
      <c r="AM131" s="8"/>
      <c r="AN131" s="8"/>
      <c r="AO131" s="8"/>
      <c r="AP131" s="8"/>
      <c r="AQ131" s="8"/>
      <c r="AS131" s="6" t="str">
        <f>SUM(N132:AI132)</f>
        <v>0</v>
      </c>
    </row>
    <row r="132" spans="1:45">
      <c r="A132" s="37"/>
      <c r="B132" s="50" t="s">
        <v>10</v>
      </c>
      <c r="C132" s="8"/>
      <c r="D132" s="9"/>
      <c r="E132" s="9"/>
      <c r="F132" s="9"/>
      <c r="G132" s="9"/>
      <c r="H132" s="9"/>
      <c r="I132" s="9"/>
      <c r="J132" s="9"/>
      <c r="K132" s="8"/>
      <c r="L132" s="39"/>
      <c r="M132" s="50" t="s">
        <v>10</v>
      </c>
      <c r="N132" s="8"/>
      <c r="O132" s="8"/>
      <c r="P132" s="8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8"/>
      <c r="AB132" s="8"/>
      <c r="AC132" s="8"/>
      <c r="AD132" s="8"/>
      <c r="AE132" s="8"/>
      <c r="AF132" s="8"/>
      <c r="AG132" s="8"/>
      <c r="AH132" s="8"/>
      <c r="AI132" s="8"/>
      <c r="AJ132" s="39"/>
      <c r="AK132" s="50" t="s">
        <v>11</v>
      </c>
      <c r="AL132" s="8"/>
      <c r="AM132" s="8"/>
      <c r="AN132" s="8"/>
      <c r="AO132" s="8"/>
      <c r="AP132" s="8"/>
      <c r="AQ132" s="8"/>
      <c r="AS132" s="6" t="str">
        <f>SUM(N133:AI133)</f>
        <v>0</v>
      </c>
    </row>
    <row r="133" spans="1:45">
      <c r="A133" s="37"/>
      <c r="B133" s="50" t="s">
        <v>11</v>
      </c>
      <c r="C133" s="8"/>
      <c r="D133" s="9"/>
      <c r="E133" s="9"/>
      <c r="F133" s="9"/>
      <c r="G133" s="9"/>
      <c r="H133" s="9"/>
      <c r="I133" s="9"/>
      <c r="J133" s="9"/>
      <c r="K133" s="8"/>
      <c r="L133" s="39"/>
      <c r="M133" s="50" t="s">
        <v>11</v>
      </c>
      <c r="N133" s="8"/>
      <c r="O133" s="8"/>
      <c r="P133" s="8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8"/>
      <c r="AB133" s="8"/>
      <c r="AC133" s="8"/>
      <c r="AD133" s="8"/>
      <c r="AE133" s="8"/>
      <c r="AF133" s="8"/>
      <c r="AG133" s="8"/>
      <c r="AH133" s="8"/>
      <c r="AI133" s="8"/>
      <c r="AJ133" s="39"/>
      <c r="AK133" s="50" t="s">
        <v>12</v>
      </c>
      <c r="AL133" s="8"/>
      <c r="AM133" s="8"/>
      <c r="AN133" s="8"/>
      <c r="AO133" s="8"/>
      <c r="AP133" s="8"/>
      <c r="AQ133" s="8"/>
    </row>
    <row r="134" spans="1:45">
      <c r="A134" s="37"/>
      <c r="B134" s="50" t="s">
        <v>12</v>
      </c>
      <c r="C134" s="8"/>
      <c r="D134" s="9"/>
      <c r="E134" s="9"/>
      <c r="F134" s="9"/>
      <c r="G134" s="9"/>
      <c r="H134" s="9"/>
      <c r="I134" s="9"/>
      <c r="J134" s="9"/>
      <c r="K134" s="8"/>
      <c r="L134" s="39"/>
      <c r="M134" s="50" t="s">
        <v>12</v>
      </c>
      <c r="N134" s="8"/>
      <c r="O134" s="8"/>
      <c r="P134" s="8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8"/>
      <c r="AB134" s="8"/>
      <c r="AC134" s="8"/>
      <c r="AD134" s="8"/>
      <c r="AE134" s="8"/>
      <c r="AF134" s="8"/>
      <c r="AG134" s="8"/>
      <c r="AH134" s="8"/>
      <c r="AI134" s="8"/>
      <c r="AJ134" s="39"/>
      <c r="AK134" s="50" t="s">
        <v>13</v>
      </c>
      <c r="AL134" s="8"/>
      <c r="AM134" s="8"/>
      <c r="AN134" s="8"/>
      <c r="AO134" s="8"/>
      <c r="AP134" s="8"/>
      <c r="AQ134" s="8"/>
    </row>
    <row r="135" spans="1:45">
      <c r="A135" s="37"/>
      <c r="B135" s="50" t="s">
        <v>13</v>
      </c>
      <c r="C135" s="8"/>
      <c r="D135" s="9"/>
      <c r="E135" s="9"/>
      <c r="F135" s="9"/>
      <c r="G135" s="9"/>
      <c r="H135" s="9"/>
      <c r="I135" s="9"/>
      <c r="J135" s="9"/>
      <c r="K135" s="8"/>
      <c r="L135" s="39"/>
      <c r="M135" s="50" t="s">
        <v>13</v>
      </c>
      <c r="N135" s="8"/>
      <c r="O135" s="8"/>
      <c r="P135" s="8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8"/>
      <c r="AB135" s="8"/>
      <c r="AC135" s="8"/>
      <c r="AD135" s="8"/>
      <c r="AE135" s="8"/>
      <c r="AF135" s="8"/>
      <c r="AG135" s="8"/>
      <c r="AH135" s="8"/>
      <c r="AI135" s="8"/>
      <c r="AJ135" s="39"/>
      <c r="AK135" s="50" t="s">
        <v>14</v>
      </c>
      <c r="AL135" s="8"/>
      <c r="AM135" s="8"/>
      <c r="AN135" s="8"/>
      <c r="AO135" s="8"/>
      <c r="AP135" s="8"/>
      <c r="AQ135" s="8"/>
    </row>
    <row r="136" spans="1:45" customHeight="1" ht="15.75">
      <c r="A136" s="37"/>
      <c r="B136" s="49" t="s">
        <v>14</v>
      </c>
      <c r="C136" s="8"/>
      <c r="D136" s="8"/>
      <c r="E136" s="8"/>
      <c r="F136" s="8"/>
      <c r="G136" s="8"/>
      <c r="H136" s="8"/>
      <c r="I136" s="8"/>
      <c r="J136" s="8"/>
      <c r="K136" s="8"/>
      <c r="L136" s="39"/>
      <c r="M136" s="50" t="s">
        <v>14</v>
      </c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K136" s="49"/>
      <c r="AL136" s="8"/>
      <c r="AM136" s="8"/>
      <c r="AN136" s="8"/>
      <c r="AO136" s="8"/>
      <c r="AP136" s="8"/>
      <c r="AQ136" s="8"/>
    </row>
    <row r="137" spans="1:45">
      <c r="A137" s="24"/>
      <c r="B137" s="48" t="s">
        <v>1</v>
      </c>
      <c r="C137" s="65">
        <v>201</v>
      </c>
      <c r="D137" s="65" t="str">
        <f>+C137+1</f>
        <v>0</v>
      </c>
      <c r="E137" s="65" t="str">
        <f>+D137+1</f>
        <v>0</v>
      </c>
      <c r="F137" s="65" t="str">
        <f>+E137+1</f>
        <v>0</v>
      </c>
      <c r="G137" s="65" t="str">
        <f>+F137+1</f>
        <v>0</v>
      </c>
      <c r="H137" s="65" t="str">
        <f>+G137+1</f>
        <v>0</v>
      </c>
      <c r="I137" s="65">
        <v>213</v>
      </c>
      <c r="J137" s="65" t="str">
        <f>+I137+1</f>
        <v>0</v>
      </c>
      <c r="K137" s="65" t="str">
        <f>+J137+1</f>
        <v>0</v>
      </c>
      <c r="L137" s="44"/>
      <c r="M137" s="48" t="s">
        <v>1</v>
      </c>
      <c r="N137" s="65">
        <v>299</v>
      </c>
      <c r="O137" s="65" t="str">
        <f>+N137+1</f>
        <v>0</v>
      </c>
      <c r="P137" s="65" t="str">
        <f>+O137+1</f>
        <v>0</v>
      </c>
      <c r="Q137" s="65" t="str">
        <f>+P137+1</f>
        <v>0</v>
      </c>
      <c r="R137" s="65" t="str">
        <f>+Q137+1</f>
        <v>0</v>
      </c>
      <c r="S137" s="65" t="str">
        <f>+R137+1</f>
        <v>0</v>
      </c>
      <c r="T137" s="65" t="str">
        <f>+S137+1</f>
        <v>0</v>
      </c>
      <c r="U137" s="65" t="str">
        <f>+T137+1</f>
        <v>0</v>
      </c>
      <c r="V137" s="65" t="str">
        <f>+U137+1</f>
        <v>0</v>
      </c>
      <c r="W137" s="65" t="str">
        <f>+V137+1</f>
        <v>0</v>
      </c>
      <c r="X137" s="65" t="str">
        <f>+W137+1</f>
        <v>0</v>
      </c>
      <c r="Y137" s="65" t="str">
        <f>+X137+1</f>
        <v>0</v>
      </c>
      <c r="Z137" s="65" t="str">
        <f>+Y137+1</f>
        <v>0</v>
      </c>
      <c r="AA137" s="65" t="str">
        <f>+Z137+1</f>
        <v>0</v>
      </c>
      <c r="AB137" s="65" t="str">
        <f>+AA137+1</f>
        <v>0</v>
      </c>
      <c r="AC137" s="65" t="str">
        <f>+AB137+1</f>
        <v>0</v>
      </c>
      <c r="AD137" s="65" t="str">
        <f>+AC137+1</f>
        <v>0</v>
      </c>
      <c r="AE137" s="65" t="str">
        <f>+AD137+1</f>
        <v>0</v>
      </c>
      <c r="AF137" s="65" t="str">
        <f>+AE137+1</f>
        <v>0</v>
      </c>
      <c r="AG137" s="65" t="str">
        <f>+AF137+1</f>
        <v>0</v>
      </c>
      <c r="AH137" s="65" t="str">
        <f>+AG137+1</f>
        <v>0</v>
      </c>
      <c r="AI137" s="65" t="str">
        <f>+AH137+1</f>
        <v>0</v>
      </c>
      <c r="AJ137" s="44"/>
      <c r="AK137" s="57" t="s">
        <v>1</v>
      </c>
      <c r="AL137" s="65">
        <v>207</v>
      </c>
      <c r="AM137" s="65" t="str">
        <f>+AL137+1</f>
        <v>0</v>
      </c>
      <c r="AN137" s="65" t="str">
        <f>+AM137+1</f>
        <v>0</v>
      </c>
      <c r="AO137" s="65" t="str">
        <f>+AN137+1</f>
        <v>0</v>
      </c>
      <c r="AP137" s="65" t="str">
        <f>+AO137+1</f>
        <v>0</v>
      </c>
      <c r="AQ137" s="65" t="str">
        <f>+AP137+1</f>
        <v>0</v>
      </c>
    </row>
    <row r="138" spans="1:45">
      <c r="A138" s="18"/>
      <c r="B138" s="49" t="s">
        <v>2</v>
      </c>
      <c r="C138" s="11" t="str">
        <f>IF(OR(C147="",C148="",C148=0),"",IFERROR(ROUND((C147*100000)/(C148*60*8),0),""))</f>
        <v>0</v>
      </c>
      <c r="D138" s="11" t="str">
        <f>IF(OR(D147="",D148="",D148=0),"",IFERROR(ROUND((D147*100000)/(D148*60*8),0),""))</f>
        <v>0</v>
      </c>
      <c r="E138" s="11" t="str">
        <f>IF(OR(E147="",E148="",E148=0),"",IFERROR(ROUND((E147*100000)/(E148*60*8),0),""))</f>
        <v>0</v>
      </c>
      <c r="F138" s="11" t="str">
        <f>IF(OR(F147="",F148="",F148=0),"",IFERROR(ROUND((F147*100000)/(F148*60*8),0),""))</f>
        <v>0</v>
      </c>
      <c r="G138" s="11" t="str">
        <f>IF(OR(G147="",G148="",G148=0),"",IFERROR(ROUND((G147*100000)/(G148*60*8),0),""))</f>
        <v>0</v>
      </c>
      <c r="H138" s="11" t="str">
        <f>IF(OR(H147="",H148="",H148=0),"",IFERROR(ROUND((H147*100000)/(H148*60*8),0),""))</f>
        <v>0</v>
      </c>
      <c r="I138" s="11" t="str">
        <f>IF(OR(I147="",I148="",I148=0),"",IFERROR(ROUND((I147*100000)/(I148*60*8),0),""))</f>
        <v>0</v>
      </c>
      <c r="J138" s="11" t="str">
        <f>IF(OR(J147="",J148="",J148=0),"",IFERROR(ROUND((J147*100000)/(J148*60*8),0),""))</f>
        <v>0</v>
      </c>
      <c r="K138" s="11" t="str">
        <f>IF(OR(K147="",K148="",K148=0),"",IFERROR(ROUND((K147*100000)/(K148*60*8),0),""))</f>
        <v>0</v>
      </c>
      <c r="L138" s="19"/>
      <c r="M138" s="50" t="s">
        <v>2</v>
      </c>
      <c r="N138" s="11" t="str">
        <f>IF(OR(N147="",N148="",N148=0),"",IFERROR(ROUND((N147*100000)/(N148*60*8),0),""))</f>
        <v>0</v>
      </c>
      <c r="O138" s="11" t="str">
        <f>IF(OR(O147="",O148="",O148=0),"",IFERROR(ROUND((O147*100000)/(O148*60*8),0),""))</f>
        <v>0</v>
      </c>
      <c r="P138" s="11" t="str">
        <f>IF(OR(P147="",P148="",P148=0),"",IFERROR(ROUND((P147*100000)/(P148*60*8),0),""))</f>
        <v>0</v>
      </c>
      <c r="Q138" s="11" t="str">
        <f>IF(OR(Q147="",Q148="",Q148=0),"",IFERROR(ROUND((Q147*100000)/(Q148*60*8),0),""))</f>
        <v>0</v>
      </c>
      <c r="R138" s="11" t="str">
        <f>IF(OR(R147="",R148="",R148=0),"",IFERROR(ROUND((R147*100000)/(R148*60*8),0),""))</f>
        <v>0</v>
      </c>
      <c r="S138" s="11" t="str">
        <f>IF(OR(S147="",S148="",S148=0),"",IFERROR(ROUND((S147*100000)/(S148*60*8),0),""))</f>
        <v>0</v>
      </c>
      <c r="T138" s="11" t="str">
        <f>IF(OR(T147="",T148="",T148=0),"",IFERROR(ROUND((T147*100000)/(T148*60*8),0),""))</f>
        <v>0</v>
      </c>
      <c r="U138" s="11" t="str">
        <f>IF(OR(U147="",U148="",U148=0),"",IFERROR(ROUND((U147*100000)/(U148*60*8),0),""))</f>
        <v>0</v>
      </c>
      <c r="V138" s="11" t="str">
        <f>IF(OR(V147="",V148="",V148=0),"",IFERROR(ROUND((V147*100000)/(V148*60*8),0),""))</f>
        <v>0</v>
      </c>
      <c r="W138" s="11" t="str">
        <f>IF(OR(W147="",W148="",W148=0),"",IFERROR(ROUND((W147*100000)/(W148*60*8),0),""))</f>
        <v>0</v>
      </c>
      <c r="X138" s="11" t="str">
        <f>IF(OR(X147="",X148="",X148=0),"",IFERROR(ROUND((X147*100000)/(X148*60*8),0),""))</f>
        <v>0</v>
      </c>
      <c r="Y138" s="11" t="str">
        <f>IF(OR(Y147="",Y148="",Y148=0),"",IFERROR(ROUND((Y147*100000)/(Y148*60*8),0),""))</f>
        <v>0</v>
      </c>
      <c r="Z138" s="11" t="str">
        <f>IF(OR(Z147="",Z148="",Z148=0),"",IFERROR(ROUND((Z147*100000)/(Z148*60*8),0),""))</f>
        <v>0</v>
      </c>
      <c r="AA138" s="11" t="str">
        <f>IF(OR(AA147="",AA148="",AA148=0),"",IFERROR(ROUND((AA147*100000)/(AA148*60*8),0),""))</f>
        <v>0</v>
      </c>
      <c r="AB138" s="11" t="str">
        <f>IF(OR(AB147="",AB148="",AB148=0),"",IFERROR(ROUND((AB147*100000)/(AB148*60*8),0),""))</f>
        <v>0</v>
      </c>
      <c r="AC138" s="11" t="str">
        <f>IF(OR(AC147="",AC148="",AC148=0),"",IFERROR(ROUND((AC147*100000)/(AC148*60*8),0),""))</f>
        <v>0</v>
      </c>
      <c r="AD138" s="11" t="str">
        <f>IF(OR(AD147="",AD148="",AD148=0),"",IFERROR(ROUND((AD147*100000)/(AD148*60*8),0),""))</f>
        <v>0</v>
      </c>
      <c r="AE138" s="11" t="str">
        <f>IF(OR(AE147="",AE148="",AE148=0),"",IFERROR(ROUND((AE147*100000)/(AE148*60*8),0),""))</f>
        <v>0</v>
      </c>
      <c r="AF138" s="11" t="str">
        <f>IF(OR(AF147="",AF148="",AF148=0),"",IFERROR(ROUND((AF147*100000)/(AF148*60*8),0),""))</f>
        <v>0</v>
      </c>
      <c r="AG138" s="11" t="str">
        <f>IF(OR(AG147="",AG148="",AG148=0),"",IFERROR(ROUND((AG147*100000)/(AG148*60*8),0),""))</f>
        <v>0</v>
      </c>
      <c r="AH138" s="11" t="str">
        <f>IF(OR(AH147="",AH148="",AH148=0),"",IFERROR(ROUND((AH147*100000)/(AH148*60*8),0),""))</f>
        <v>0</v>
      </c>
      <c r="AI138" s="11" t="str">
        <f>IF(OR(AI147="",AI148="",AI148=0),"",IFERROR(ROUND((AI147*100000)/(AI148*60*8),0),""))</f>
        <v>0</v>
      </c>
      <c r="AJ138" s="19"/>
      <c r="AK138" s="50" t="s">
        <v>2</v>
      </c>
      <c r="AL138" s="11" t="str">
        <f>IF(OR(AL146="",AL147="",AL147=0),"",IFERROR(ROUND((AL146*100000)/(AL147*60*8),0),""))</f>
        <v>0</v>
      </c>
      <c r="AM138" s="11" t="str">
        <f>IF(OR(AM146="",AM147="",AM147=0),"",IFERROR(ROUND((AM146*100000)/(AM147*60*8),0),""))</f>
        <v>0</v>
      </c>
      <c r="AN138" s="11" t="str">
        <f>IF(OR(AN146="",AN147="",AN147=0),"",IFERROR(ROUND((AN146*100000)/(AN147*60*8),0),""))</f>
        <v>0</v>
      </c>
      <c r="AO138" s="11" t="str">
        <f>IF(OR(AO146="",AO147="",AO147=0),"",IFERROR(ROUND((AO146*100000)/(AO147*60*8),0),""))</f>
        <v>0</v>
      </c>
      <c r="AP138" s="11" t="str">
        <f>IF(OR(AP146="",AP147="",AP147=0),"",IFERROR(ROUND((AP146*100000)/(AP147*60*8),0),""))</f>
        <v>0</v>
      </c>
      <c r="AQ138" s="11" t="str">
        <f>IF(OR(AQ146="",AQ147="",AQ147=0),"",IFERROR(ROUND((AQ146*100000)/(AQ147*60*8),0),""))</f>
        <v>0</v>
      </c>
      <c r="AS138" s="1" t="str">
        <f>SUM(N139:AI139)</f>
        <v>0</v>
      </c>
    </row>
    <row r="139" spans="1:45">
      <c r="A139" s="18"/>
      <c r="B139" s="50" t="s">
        <v>3</v>
      </c>
      <c r="C139" s="9"/>
      <c r="D139" s="9"/>
      <c r="E139" s="9"/>
      <c r="F139" s="9"/>
      <c r="G139" s="9"/>
      <c r="H139" s="9"/>
      <c r="I139" s="9"/>
      <c r="J139" s="8"/>
      <c r="K139" s="8"/>
      <c r="L139" s="19"/>
      <c r="M139" s="50" t="s">
        <v>3</v>
      </c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19"/>
      <c r="AK139" s="50" t="s">
        <v>3</v>
      </c>
      <c r="AL139" s="8"/>
      <c r="AM139" s="8"/>
      <c r="AN139" s="8"/>
      <c r="AO139" s="8"/>
      <c r="AP139" s="8"/>
      <c r="AQ139" s="8"/>
      <c r="AS139" s="1" t="str">
        <f>SUM(N140:AI140)</f>
        <v>0</v>
      </c>
    </row>
    <row r="140" spans="1:45">
      <c r="A140" s="18"/>
      <c r="B140" s="50" t="s">
        <v>4</v>
      </c>
      <c r="C140" s="9"/>
      <c r="D140" s="9"/>
      <c r="E140" s="9"/>
      <c r="F140" s="9"/>
      <c r="G140" s="9"/>
      <c r="H140" s="9"/>
      <c r="I140" s="9"/>
      <c r="J140" s="8"/>
      <c r="K140" s="8"/>
      <c r="L140" s="19"/>
      <c r="M140" s="50" t="s">
        <v>4</v>
      </c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19"/>
      <c r="AK140" s="50" t="s">
        <v>4</v>
      </c>
      <c r="AL140" s="8"/>
      <c r="AM140" s="8"/>
      <c r="AN140" s="8"/>
      <c r="AO140" s="8"/>
      <c r="AP140" s="8"/>
      <c r="AQ140" s="8"/>
      <c r="AS140" s="1" t="str">
        <f>SUM(N141:AI141)</f>
        <v>0</v>
      </c>
    </row>
    <row r="141" spans="1:45">
      <c r="A141" s="18"/>
      <c r="B141" s="50" t="s">
        <v>5</v>
      </c>
      <c r="C141" s="9"/>
      <c r="D141" s="9"/>
      <c r="E141" s="9"/>
      <c r="F141" s="9"/>
      <c r="G141" s="9"/>
      <c r="H141" s="9"/>
      <c r="I141" s="9"/>
      <c r="J141" s="8"/>
      <c r="K141" s="8"/>
      <c r="L141" s="19"/>
      <c r="M141" s="50" t="s">
        <v>5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19"/>
      <c r="AK141" s="50" t="s">
        <v>5</v>
      </c>
      <c r="AL141" s="8"/>
      <c r="AM141" s="8"/>
      <c r="AN141" s="8"/>
      <c r="AO141" s="8"/>
      <c r="AP141" s="8"/>
      <c r="AQ141" s="8"/>
      <c r="AS141" s="1" t="str">
        <f>SUM(N142:AI142)</f>
        <v>0</v>
      </c>
    </row>
    <row r="142" spans="1:45">
      <c r="A142" s="18"/>
      <c r="B142" s="50" t="s">
        <v>6</v>
      </c>
      <c r="C142" s="9"/>
      <c r="D142" s="9"/>
      <c r="E142" s="9"/>
      <c r="F142" s="9"/>
      <c r="G142" s="9"/>
      <c r="H142" s="9"/>
      <c r="I142" s="9"/>
      <c r="J142" s="8"/>
      <c r="K142" s="8"/>
      <c r="L142" s="19"/>
      <c r="M142" s="50" t="s">
        <v>6</v>
      </c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19"/>
      <c r="AK142" s="50" t="s">
        <v>7</v>
      </c>
      <c r="AL142" s="8"/>
      <c r="AM142" s="8"/>
      <c r="AN142" s="8"/>
      <c r="AO142" s="8"/>
      <c r="AP142" s="8"/>
      <c r="AQ142" s="8"/>
      <c r="AS142" s="1" t="str">
        <f>SUM(N143:AI143)</f>
        <v>0</v>
      </c>
    </row>
    <row r="143" spans="1:45">
      <c r="A143" s="18"/>
      <c r="B143" s="50" t="s">
        <v>7</v>
      </c>
      <c r="C143" s="9"/>
      <c r="D143" s="9"/>
      <c r="E143" s="9"/>
      <c r="F143" s="9"/>
      <c r="G143" s="9"/>
      <c r="H143" s="9"/>
      <c r="I143" s="9"/>
      <c r="J143" s="8"/>
      <c r="K143" s="8"/>
      <c r="L143" s="19"/>
      <c r="M143" s="50" t="s">
        <v>7</v>
      </c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22" t="str">
        <f>+L144</f>
        <v>0</v>
      </c>
      <c r="AK143" s="50" t="s">
        <v>8</v>
      </c>
      <c r="AL143" s="8"/>
      <c r="AM143" s="8"/>
      <c r="AN143" s="8"/>
      <c r="AO143" s="8"/>
      <c r="AP143" s="8"/>
      <c r="AQ143" s="8"/>
      <c r="AS143" s="1" t="str">
        <f>SUM(N144:AI144)</f>
        <v>0</v>
      </c>
    </row>
    <row r="144" spans="1:45">
      <c r="A144" s="20"/>
      <c r="B144" s="50" t="s">
        <v>10</v>
      </c>
      <c r="C144" s="9"/>
      <c r="D144" s="9"/>
      <c r="E144" s="9"/>
      <c r="F144" s="9"/>
      <c r="G144" s="9"/>
      <c r="H144" s="9"/>
      <c r="I144" s="9"/>
      <c r="J144" s="8"/>
      <c r="K144" s="8"/>
      <c r="L144" s="22"/>
      <c r="M144" s="50" t="s">
        <v>10</v>
      </c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22"/>
      <c r="AK144" s="50" t="s">
        <v>11</v>
      </c>
      <c r="AL144" s="8"/>
      <c r="AM144" s="8"/>
      <c r="AN144" s="8"/>
      <c r="AO144" s="8"/>
      <c r="AP144" s="8"/>
      <c r="AQ144" s="8"/>
      <c r="AS144" s="1" t="str">
        <f>SUM(N145:AI145)</f>
        <v>0</v>
      </c>
    </row>
    <row r="145" spans="1:45">
      <c r="A145" s="20"/>
      <c r="B145" s="50" t="s">
        <v>11</v>
      </c>
      <c r="C145" s="9"/>
      <c r="D145" s="9"/>
      <c r="E145" s="9"/>
      <c r="F145" s="9"/>
      <c r="G145" s="9"/>
      <c r="H145" s="9"/>
      <c r="I145" s="9"/>
      <c r="J145" s="8"/>
      <c r="K145" s="8"/>
      <c r="L145" s="22"/>
      <c r="M145" s="50" t="s">
        <v>11</v>
      </c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22"/>
      <c r="AK145" s="50" t="s">
        <v>12</v>
      </c>
      <c r="AL145" s="8"/>
      <c r="AM145" s="8"/>
      <c r="AN145" s="8"/>
      <c r="AO145" s="8"/>
      <c r="AP145" s="8"/>
      <c r="AQ145" s="8"/>
      <c r="AS145" s="1" t="str">
        <f>SUM(N146:AI146)</f>
        <v>0</v>
      </c>
    </row>
    <row r="146" spans="1:45">
      <c r="A146" s="20"/>
      <c r="B146" s="50" t="s">
        <v>12</v>
      </c>
      <c r="C146" s="9"/>
      <c r="D146" s="9"/>
      <c r="E146" s="9"/>
      <c r="F146" s="9"/>
      <c r="G146" s="9"/>
      <c r="H146" s="9"/>
      <c r="I146" s="9"/>
      <c r="J146" s="8"/>
      <c r="K146" s="8"/>
      <c r="L146" s="22"/>
      <c r="M146" s="50" t="s">
        <v>12</v>
      </c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22"/>
      <c r="AK146" s="50" t="s">
        <v>13</v>
      </c>
      <c r="AL146" s="8"/>
      <c r="AM146" s="8"/>
      <c r="AN146" s="8"/>
      <c r="AO146" s="8"/>
      <c r="AP146" s="8"/>
      <c r="AQ146" s="8"/>
    </row>
    <row r="147" spans="1:45">
      <c r="A147" s="20"/>
      <c r="B147" s="50" t="s">
        <v>13</v>
      </c>
      <c r="C147" s="9"/>
      <c r="D147" s="9"/>
      <c r="E147" s="9"/>
      <c r="F147" s="9"/>
      <c r="G147" s="9"/>
      <c r="H147" s="9"/>
      <c r="I147" s="9"/>
      <c r="J147" s="8"/>
      <c r="K147" s="8"/>
      <c r="L147" s="22"/>
      <c r="M147" s="50" t="s">
        <v>13</v>
      </c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22"/>
      <c r="AK147" s="50" t="s">
        <v>14</v>
      </c>
      <c r="AL147" s="8"/>
      <c r="AM147" s="8"/>
      <c r="AN147" s="8"/>
      <c r="AO147" s="8"/>
      <c r="AP147" s="8"/>
      <c r="AQ147" s="8"/>
    </row>
    <row r="148" spans="1:45">
      <c r="A148" s="20"/>
      <c r="B148" s="49" t="s">
        <v>14</v>
      </c>
      <c r="C148" s="8"/>
      <c r="D148" s="8"/>
      <c r="E148" s="8"/>
      <c r="F148" s="8"/>
      <c r="G148" s="8"/>
      <c r="H148" s="8"/>
      <c r="I148" s="8"/>
      <c r="J148" s="8"/>
      <c r="K148" s="8"/>
      <c r="L148" s="22"/>
      <c r="M148" s="50" t="s">
        <v>14</v>
      </c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K148" s="49"/>
      <c r="AL148" s="8"/>
      <c r="AM148" s="8"/>
      <c r="AN148" s="8"/>
      <c r="AO148" s="8"/>
      <c r="AP148" s="8"/>
      <c r="AQ148" s="8"/>
    </row>
    <row r="149" spans="1:45" customHeight="1" ht="15">
      <c r="A149" s="18"/>
      <c r="B149" s="49" t="s">
        <v>2</v>
      </c>
      <c r="C149" s="11" t="str">
        <f>IF(OR(C158="",C159="",C159=0),"",IFERROR(ROUND((C158*100000)/(C159*60*8),0),""))</f>
        <v>0</v>
      </c>
      <c r="D149" s="11" t="str">
        <f>IF(OR(D158="",D159="",D159=0),"",IFERROR(ROUND((D158*100000)/(D159*60*8),0),""))</f>
        <v>0</v>
      </c>
      <c r="E149" s="11" t="str">
        <f>IF(OR(E158="",E159="",E159=0),"",IFERROR(ROUND((E158*100000)/(E159*60*8),0),""))</f>
        <v>0</v>
      </c>
      <c r="F149" s="11" t="str">
        <f>IF(OR(F158="",F159="",F159=0),"",IFERROR(ROUND((F158*100000)/(F159*60*8),0),""))</f>
        <v>0</v>
      </c>
      <c r="G149" s="11" t="str">
        <f>IF(OR(G158="",G159="",G159=0),"",IFERROR(ROUND((G158*100000)/(G159*60*8),0),""))</f>
        <v>0</v>
      </c>
      <c r="H149" s="11" t="str">
        <f>IF(OR(H158="",H159="",H159=0),"",IFERROR(ROUND((H158*100000)/(H159*60*8),0),""))</f>
        <v>0</v>
      </c>
      <c r="I149" s="11" t="str">
        <f>IF(OR(I158="",I159="",I159=0),"",IFERROR(ROUND((I158*100000)/(I159*60*8),0),""))</f>
        <v>0</v>
      </c>
      <c r="J149" s="11" t="str">
        <f>IF(OR(J158="",J159="",J159=0),"",IFERROR(ROUND((J158*100000)/(J159*60*8),0),""))</f>
        <v>0</v>
      </c>
      <c r="K149" s="11" t="str">
        <f>IF(OR(K158="",K159="",K159=0),"",IFERROR(ROUND((K158*100000)/(K159*60*8),0),""))</f>
        <v>0</v>
      </c>
      <c r="L149" s="19"/>
      <c r="M149" s="50" t="s">
        <v>2</v>
      </c>
      <c r="N149" s="11" t="str">
        <f>IF(OR(N158="",N159="",N159=0),"",IFERROR(ROUND((N158*100000)/(N159*60*8),0),""))</f>
        <v>0</v>
      </c>
      <c r="O149" s="11" t="str">
        <f>IF(OR(O158="",O159="",O159=0),"",IFERROR(ROUND((O158*100000)/(O159*60*8),0),""))</f>
        <v>0</v>
      </c>
      <c r="P149" s="11" t="str">
        <f>IF(OR(P158="",P159="",P159=0),"",IFERROR(ROUND((P158*100000)/(P159*60*8),0),""))</f>
        <v>0</v>
      </c>
      <c r="Q149" s="11" t="str">
        <f>IF(OR(Q158="",Q159="",Q159=0),"",IFERROR(ROUND((Q158*100000)/(Q159*60*8),0),""))</f>
        <v>0</v>
      </c>
      <c r="R149" s="11" t="str">
        <f>IF(OR(R158="",R159="",R159=0),"",IFERROR(ROUND((R158*100000)/(R159*60*8),0),""))</f>
        <v>0</v>
      </c>
      <c r="S149" s="11" t="str">
        <f>IF(OR(S158="",S159="",S159=0),"",IFERROR(ROUND((S158*100000)/(S159*60*8),0),""))</f>
        <v>0</v>
      </c>
      <c r="T149" s="11" t="str">
        <f>IF(OR(T158="",T159="",T159=0),"",IFERROR(ROUND((T158*100000)/(T159*60*8),0),""))</f>
        <v>0</v>
      </c>
      <c r="U149" s="11" t="str">
        <f>IF(OR(U158="",U159="",U159=0),"",IFERROR(ROUND((U158*100000)/(U159*60*8),0),""))</f>
        <v>0</v>
      </c>
      <c r="V149" s="11" t="str">
        <f>IF(OR(V158="",V159="",V159=0),"",IFERROR(ROUND((V158*100000)/(V159*60*8),0),""))</f>
        <v>0</v>
      </c>
      <c r="W149" s="13" t="str">
        <f>IF(OR(W158="",W159="",W159=0),"",IFERROR(ROUND((W158*100000)/(W159*60*8),0),""))</f>
        <v>0</v>
      </c>
      <c r="X149" s="11" t="str">
        <f>IF(OR(X158="",X159="",X159=0),"",IFERROR(ROUND((X158*100000)/(X159*60*8),0),""))</f>
        <v>0</v>
      </c>
      <c r="Y149" s="14" t="str">
        <f>IF(OR(Y158="",Y159="",Y159=0),"",IFERROR(ROUND((Y158*100000)/(Y159*60*8),0),""))</f>
        <v>0</v>
      </c>
      <c r="Z149" s="11" t="str">
        <f>IF(OR(Z158="",Z159="",Z159=0),"",IFERROR(ROUND((Z158*100000)/(Z159*60*8),0),""))</f>
        <v>0</v>
      </c>
      <c r="AA149" s="11" t="str">
        <f>IF(OR(AA158="",AA159="",AA159=0),"",IFERROR(ROUND((AA158*100000)/(AA159*60*8),0),""))</f>
        <v>0</v>
      </c>
      <c r="AB149" s="11" t="str">
        <f>IF(OR(AB158="",AB159="",AB159=0),"",IFERROR(ROUND((AB158*100000)/(AB159*60*8),0),""))</f>
        <v>0</v>
      </c>
      <c r="AC149" s="11" t="str">
        <f>IF(OR(AC158="",AC159="",AC159=0),"",IFERROR(ROUND((AC158*100000)/(AC159*60*8),0),""))</f>
        <v>0</v>
      </c>
      <c r="AD149" s="11" t="str">
        <f>IF(OR(AD158="",AD159="",AD159=0),"",IFERROR(ROUND((AD158*100000)/(AD159*60*8),0),""))</f>
        <v>0</v>
      </c>
      <c r="AE149" s="11" t="str">
        <f>IF(OR(AE158="",AE159="",AE159=0),"",IFERROR(ROUND((AE158*100000)/(AE159*60*8),0),""))</f>
        <v>0</v>
      </c>
      <c r="AF149" s="11" t="str">
        <f>IF(OR(AF158="",AF159="",AF159=0),"",IFERROR(ROUND((AF158*100000)/(AF159*60*8),0),""))</f>
        <v>0</v>
      </c>
      <c r="AG149" s="11" t="str">
        <f>IF(OR(AG158="",AG159="",AG159=0),"",IFERROR(ROUND((AG158*100000)/(AG159*60*8),0),""))</f>
        <v>0</v>
      </c>
      <c r="AH149" s="11" t="str">
        <f>IF(OR(AH158="",AH159="",AH159=0),"",IFERROR(ROUND((AH158*100000)/(AH159*60*8),0),""))</f>
        <v>0</v>
      </c>
      <c r="AI149" s="11" t="str">
        <f>IF(OR(AI158="",AI159="",AI159=0),"",IFERROR(ROUND((AI158*100000)/(AI159*60*8),0),""))</f>
        <v>0</v>
      </c>
      <c r="AJ149" s="19"/>
      <c r="AK149" s="50" t="s">
        <v>2</v>
      </c>
      <c r="AL149" s="11" t="str">
        <f>IF(OR(AL157="",AL158="",AL158=0),"",IFERROR(ROUND((AL157*100000)/(AL158*60*8),0),""))</f>
        <v>0</v>
      </c>
      <c r="AM149" s="11" t="str">
        <f>IF(OR(AM157="",AM158="",AM158=0),"",IFERROR(ROUND((AM157*100000)/(AM158*60*8),0),""))</f>
        <v>0</v>
      </c>
      <c r="AN149" s="11" t="str">
        <f>IF(OR(AN157="",AN158="",AN158=0),"",IFERROR(ROUND((AN157*100000)/(AN158*60*8),0),""))</f>
        <v>0</v>
      </c>
      <c r="AO149" s="11" t="str">
        <f>IF(OR(AO157="",AO158="",AO158=0),"",IFERROR(ROUND((AO157*100000)/(AO158*60*8),0),""))</f>
        <v>0</v>
      </c>
      <c r="AP149" s="13" t="str">
        <f>IF(OR(AP157="",AP158="",AP158=0),"",IFERROR(ROUND((AP157*100000)/(AP158*60*8),0),""))</f>
        <v>0</v>
      </c>
      <c r="AQ149" s="11" t="str">
        <f>IF(OR(AQ157="",AQ158="",AQ158=0),"",IFERROR(ROUND((AQ157*100000)/(AQ158*60*8),0),""))</f>
        <v>0</v>
      </c>
      <c r="AS149" s="1" t="str">
        <f>SUM(N150:AI150)</f>
        <v>0</v>
      </c>
    </row>
    <row r="150" spans="1:45">
      <c r="A150" s="18"/>
      <c r="B150" s="50" t="s">
        <v>3</v>
      </c>
      <c r="C150" s="9"/>
      <c r="D150" s="9"/>
      <c r="E150" s="9"/>
      <c r="F150" s="9"/>
      <c r="G150" s="9"/>
      <c r="H150" s="9"/>
      <c r="I150" s="9"/>
      <c r="J150" s="8"/>
      <c r="K150" s="8"/>
      <c r="L150" s="19"/>
      <c r="M150" s="50" t="s">
        <v>3</v>
      </c>
      <c r="N150" s="8"/>
      <c r="O150" s="8"/>
      <c r="P150" s="8"/>
      <c r="Q150" s="8"/>
      <c r="R150" s="8"/>
      <c r="S150" s="8"/>
      <c r="T150" s="8"/>
      <c r="U150" s="9"/>
      <c r="V150" s="9"/>
      <c r="W150" s="13"/>
      <c r="X150" s="8"/>
      <c r="Y150" s="14"/>
      <c r="Z150" s="9"/>
      <c r="AA150" s="9"/>
      <c r="AB150" s="9"/>
      <c r="AC150" s="8"/>
      <c r="AD150" s="8"/>
      <c r="AE150" s="8"/>
      <c r="AF150" s="8"/>
      <c r="AG150" s="8"/>
      <c r="AH150" s="8"/>
      <c r="AI150" s="8"/>
      <c r="AJ150" s="19"/>
      <c r="AK150" s="50" t="s">
        <v>3</v>
      </c>
      <c r="AL150" s="8"/>
      <c r="AM150" s="8"/>
      <c r="AN150" s="8"/>
      <c r="AO150" s="8"/>
      <c r="AP150" s="17"/>
      <c r="AQ150" s="8"/>
      <c r="AS150" s="1" t="str">
        <f>SUM(N151:AI151)</f>
        <v>0</v>
      </c>
    </row>
    <row r="151" spans="1:45">
      <c r="A151" s="18"/>
      <c r="B151" s="50" t="s">
        <v>4</v>
      </c>
      <c r="C151" s="9"/>
      <c r="D151" s="9"/>
      <c r="E151" s="9"/>
      <c r="F151" s="9"/>
      <c r="G151" s="9"/>
      <c r="H151" s="9"/>
      <c r="I151" s="9"/>
      <c r="J151" s="8"/>
      <c r="K151" s="8"/>
      <c r="L151" s="19"/>
      <c r="M151" s="50" t="s">
        <v>4</v>
      </c>
      <c r="N151" s="8"/>
      <c r="O151" s="8"/>
      <c r="P151" s="8"/>
      <c r="Q151" s="8"/>
      <c r="R151" s="8"/>
      <c r="S151" s="8"/>
      <c r="T151" s="8"/>
      <c r="U151" s="9"/>
      <c r="V151" s="9"/>
      <c r="W151" s="13"/>
      <c r="X151" s="8"/>
      <c r="Y151" s="14"/>
      <c r="Z151" s="9"/>
      <c r="AA151" s="9"/>
      <c r="AB151" s="9"/>
      <c r="AC151" s="8"/>
      <c r="AD151" s="8"/>
      <c r="AE151" s="8"/>
      <c r="AF151" s="8"/>
      <c r="AG151" s="8"/>
      <c r="AH151" s="8"/>
      <c r="AI151" s="8"/>
      <c r="AJ151" s="19"/>
      <c r="AK151" s="50" t="s">
        <v>4</v>
      </c>
      <c r="AL151" s="8"/>
      <c r="AM151" s="8"/>
      <c r="AN151" s="8"/>
      <c r="AO151" s="8"/>
      <c r="AP151" s="17"/>
      <c r="AQ151" s="8"/>
      <c r="AS151" s="1" t="str">
        <f>SUM(N152:AI152)</f>
        <v>0</v>
      </c>
    </row>
    <row r="152" spans="1:45">
      <c r="A152" s="18"/>
      <c r="B152" s="50" t="s">
        <v>5</v>
      </c>
      <c r="C152" s="9"/>
      <c r="D152" s="9"/>
      <c r="E152" s="9"/>
      <c r="F152" s="9"/>
      <c r="G152" s="9"/>
      <c r="H152" s="9"/>
      <c r="I152" s="9"/>
      <c r="J152" s="8"/>
      <c r="K152" s="8"/>
      <c r="L152" s="19"/>
      <c r="M152" s="50" t="s">
        <v>5</v>
      </c>
      <c r="N152" s="8"/>
      <c r="O152" s="8"/>
      <c r="P152" s="8"/>
      <c r="Q152" s="8"/>
      <c r="R152" s="8"/>
      <c r="S152" s="8"/>
      <c r="T152" s="8"/>
      <c r="U152" s="9"/>
      <c r="V152" s="9"/>
      <c r="W152" s="13"/>
      <c r="X152" s="8"/>
      <c r="Y152" s="14"/>
      <c r="Z152" s="9"/>
      <c r="AA152" s="9"/>
      <c r="AB152" s="9"/>
      <c r="AC152" s="8"/>
      <c r="AD152" s="8"/>
      <c r="AE152" s="8"/>
      <c r="AF152" s="8"/>
      <c r="AG152" s="8"/>
      <c r="AH152" s="8"/>
      <c r="AI152" s="8"/>
      <c r="AJ152" s="19"/>
      <c r="AK152" s="50" t="s">
        <v>5</v>
      </c>
      <c r="AL152" s="8"/>
      <c r="AM152" s="8"/>
      <c r="AN152" s="8"/>
      <c r="AO152" s="8"/>
      <c r="AP152" s="17"/>
      <c r="AQ152" s="8"/>
      <c r="AS152" s="1" t="str">
        <f>SUM(N153:AI153)</f>
        <v>0</v>
      </c>
    </row>
    <row r="153" spans="1:45">
      <c r="A153" s="18"/>
      <c r="B153" s="50" t="s">
        <v>6</v>
      </c>
      <c r="C153" s="9"/>
      <c r="D153" s="9"/>
      <c r="E153" s="9"/>
      <c r="F153" s="9"/>
      <c r="G153" s="9"/>
      <c r="H153" s="9"/>
      <c r="I153" s="9"/>
      <c r="J153" s="8"/>
      <c r="K153" s="8"/>
      <c r="L153" s="19"/>
      <c r="M153" s="50" t="s">
        <v>6</v>
      </c>
      <c r="N153" s="8"/>
      <c r="O153" s="8"/>
      <c r="P153" s="8"/>
      <c r="Q153" s="8"/>
      <c r="R153" s="8"/>
      <c r="S153" s="8"/>
      <c r="T153" s="8"/>
      <c r="U153" s="8"/>
      <c r="V153" s="8"/>
      <c r="W153" s="13"/>
      <c r="X153" s="8"/>
      <c r="Y153" s="14"/>
      <c r="Z153" s="9"/>
      <c r="AA153" s="9"/>
      <c r="AB153" s="9"/>
      <c r="AC153" s="8"/>
      <c r="AD153" s="8"/>
      <c r="AE153" s="8"/>
      <c r="AF153" s="8"/>
      <c r="AG153" s="8"/>
      <c r="AH153" s="8"/>
      <c r="AI153" s="8"/>
      <c r="AJ153" s="19"/>
      <c r="AK153" s="50" t="s">
        <v>7</v>
      </c>
      <c r="AL153" s="8"/>
      <c r="AM153" s="8"/>
      <c r="AN153" s="8"/>
      <c r="AO153" s="8"/>
      <c r="AP153" s="17"/>
      <c r="AQ153" s="8"/>
      <c r="AS153" s="1" t="str">
        <f>SUM(N154:AI154)</f>
        <v>0</v>
      </c>
    </row>
    <row r="154" spans="1:45">
      <c r="A154" s="18"/>
      <c r="B154" s="50" t="s">
        <v>7</v>
      </c>
      <c r="C154" s="9"/>
      <c r="D154" s="9"/>
      <c r="E154" s="9"/>
      <c r="F154" s="9"/>
      <c r="G154" s="9"/>
      <c r="H154" s="9"/>
      <c r="I154" s="9"/>
      <c r="J154" s="8"/>
      <c r="K154" s="8"/>
      <c r="L154" s="19"/>
      <c r="M154" s="50" t="s">
        <v>7</v>
      </c>
      <c r="N154" s="8"/>
      <c r="O154" s="8"/>
      <c r="P154" s="8"/>
      <c r="Q154" s="8"/>
      <c r="R154" s="8"/>
      <c r="S154" s="8"/>
      <c r="T154" s="8"/>
      <c r="U154" s="8"/>
      <c r="V154" s="8"/>
      <c r="W154" s="13"/>
      <c r="X154" s="8"/>
      <c r="Y154" s="14"/>
      <c r="Z154" s="9"/>
      <c r="AA154" s="9"/>
      <c r="AB154" s="9"/>
      <c r="AC154" s="8"/>
      <c r="AD154" s="8"/>
      <c r="AE154" s="8"/>
      <c r="AF154" s="8"/>
      <c r="AG154" s="8"/>
      <c r="AH154" s="8"/>
      <c r="AI154" s="8"/>
      <c r="AJ154" s="19"/>
      <c r="AK154" s="50" t="s">
        <v>8</v>
      </c>
      <c r="AL154" s="8"/>
      <c r="AM154" s="8"/>
      <c r="AN154" s="8"/>
      <c r="AO154" s="8"/>
      <c r="AP154" s="17"/>
      <c r="AQ154" s="8"/>
      <c r="AS154" s="1" t="str">
        <f>SUM(N155:AI155)</f>
        <v>0</v>
      </c>
    </row>
    <row r="155" spans="1:45">
      <c r="A155" s="20"/>
      <c r="B155" s="50" t="s">
        <v>10</v>
      </c>
      <c r="C155" s="9"/>
      <c r="D155" s="9"/>
      <c r="E155" s="9"/>
      <c r="F155" s="9"/>
      <c r="G155" s="9"/>
      <c r="H155" s="9"/>
      <c r="I155" s="9"/>
      <c r="J155" s="8"/>
      <c r="K155" s="8"/>
      <c r="L155" s="22"/>
      <c r="M155" s="50" t="s">
        <v>10</v>
      </c>
      <c r="N155" s="8"/>
      <c r="O155" s="8"/>
      <c r="P155" s="8"/>
      <c r="Q155" s="8"/>
      <c r="R155" s="8"/>
      <c r="S155" s="8"/>
      <c r="T155" s="8"/>
      <c r="U155" s="8"/>
      <c r="V155" s="8"/>
      <c r="W155" s="13"/>
      <c r="X155" s="8"/>
      <c r="Y155" s="14"/>
      <c r="Z155" s="9"/>
      <c r="AA155" s="9"/>
      <c r="AB155" s="9"/>
      <c r="AC155" s="8"/>
      <c r="AD155" s="8"/>
      <c r="AE155" s="8"/>
      <c r="AF155" s="8"/>
      <c r="AG155" s="8"/>
      <c r="AH155" s="8"/>
      <c r="AI155" s="8"/>
      <c r="AJ155" s="22"/>
      <c r="AK155" s="50" t="s">
        <v>11</v>
      </c>
      <c r="AL155" s="8"/>
      <c r="AM155" s="8"/>
      <c r="AN155" s="8"/>
      <c r="AO155" s="8"/>
      <c r="AP155" s="17"/>
      <c r="AQ155" s="8"/>
      <c r="AS155" s="1" t="str">
        <f>SUM(N156:AI156)</f>
        <v>0</v>
      </c>
    </row>
    <row r="156" spans="1:45">
      <c r="A156" s="20"/>
      <c r="B156" s="50" t="s">
        <v>11</v>
      </c>
      <c r="C156" s="9"/>
      <c r="D156" s="9"/>
      <c r="E156" s="9"/>
      <c r="F156" s="9"/>
      <c r="G156" s="9"/>
      <c r="H156" s="9"/>
      <c r="I156" s="9"/>
      <c r="J156" s="8"/>
      <c r="K156" s="8"/>
      <c r="L156" s="22"/>
      <c r="M156" s="50" t="s">
        <v>11</v>
      </c>
      <c r="N156" s="8"/>
      <c r="O156" s="8"/>
      <c r="P156" s="8"/>
      <c r="Q156" s="8"/>
      <c r="R156" s="8"/>
      <c r="S156" s="8"/>
      <c r="T156" s="8"/>
      <c r="U156" s="8"/>
      <c r="V156" s="8"/>
      <c r="W156" s="13"/>
      <c r="X156" s="8"/>
      <c r="Y156" s="14"/>
      <c r="Z156" s="9"/>
      <c r="AA156" s="9"/>
      <c r="AB156" s="9"/>
      <c r="AC156" s="8"/>
      <c r="AD156" s="8"/>
      <c r="AE156" s="8"/>
      <c r="AF156" s="8"/>
      <c r="AG156" s="8"/>
      <c r="AH156" s="8"/>
      <c r="AI156" s="8"/>
      <c r="AJ156" s="22"/>
      <c r="AK156" s="50" t="s">
        <v>12</v>
      </c>
      <c r="AL156" s="8"/>
      <c r="AM156" s="8"/>
      <c r="AN156" s="8"/>
      <c r="AO156" s="8"/>
      <c r="AP156" s="17"/>
      <c r="AQ156" s="8"/>
    </row>
    <row r="157" spans="1:45">
      <c r="A157" s="20"/>
      <c r="B157" s="50" t="s">
        <v>12</v>
      </c>
      <c r="C157" s="9"/>
      <c r="D157" s="9"/>
      <c r="E157" s="9"/>
      <c r="F157" s="9"/>
      <c r="G157" s="9"/>
      <c r="H157" s="9"/>
      <c r="I157" s="9"/>
      <c r="J157" s="8"/>
      <c r="K157" s="8"/>
      <c r="L157" s="22"/>
      <c r="M157" s="50" t="s">
        <v>12</v>
      </c>
      <c r="N157" s="8"/>
      <c r="O157" s="8"/>
      <c r="P157" s="8"/>
      <c r="Q157" s="8"/>
      <c r="R157" s="8"/>
      <c r="S157" s="8"/>
      <c r="T157" s="8"/>
      <c r="U157" s="8"/>
      <c r="V157" s="8"/>
      <c r="W157" s="13"/>
      <c r="X157" s="8"/>
      <c r="Y157" s="14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22"/>
      <c r="AK157" s="50" t="s">
        <v>13</v>
      </c>
      <c r="AL157" s="8"/>
      <c r="AM157" s="8"/>
      <c r="AN157" s="8"/>
      <c r="AO157" s="8"/>
      <c r="AP157" s="17"/>
      <c r="AQ157" s="8"/>
    </row>
    <row r="158" spans="1:45">
      <c r="A158" s="20"/>
      <c r="B158" s="50" t="s">
        <v>13</v>
      </c>
      <c r="C158" s="9"/>
      <c r="D158" s="9"/>
      <c r="E158" s="9"/>
      <c r="F158" s="9"/>
      <c r="G158" s="9"/>
      <c r="H158" s="9"/>
      <c r="I158" s="9"/>
      <c r="J158" s="8"/>
      <c r="K158" s="8"/>
      <c r="L158" s="22"/>
      <c r="M158" s="50" t="s">
        <v>13</v>
      </c>
      <c r="N158" s="8"/>
      <c r="O158" s="8"/>
      <c r="P158" s="8"/>
      <c r="Q158" s="8"/>
      <c r="R158" s="8"/>
      <c r="S158" s="8"/>
      <c r="T158" s="8"/>
      <c r="U158" s="8"/>
      <c r="V158" s="8"/>
      <c r="W158" s="13"/>
      <c r="X158" s="8"/>
      <c r="Y158" s="14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22"/>
      <c r="AK158" s="50" t="s">
        <v>14</v>
      </c>
      <c r="AL158" s="8"/>
      <c r="AM158" s="8"/>
      <c r="AN158" s="8"/>
      <c r="AO158" s="8"/>
      <c r="AP158" s="17"/>
      <c r="AQ158" s="8"/>
    </row>
    <row r="159" spans="1:45">
      <c r="A159" s="20"/>
      <c r="B159" s="49" t="s">
        <v>14</v>
      </c>
      <c r="C159" s="8"/>
      <c r="D159" s="8"/>
      <c r="E159" s="8"/>
      <c r="F159" s="8"/>
      <c r="G159" s="8"/>
      <c r="H159" s="8"/>
      <c r="I159" s="8"/>
      <c r="J159" s="8"/>
      <c r="K159" s="8"/>
      <c r="L159" s="22"/>
      <c r="M159" s="50" t="s">
        <v>14</v>
      </c>
      <c r="N159" s="8"/>
      <c r="O159" s="8"/>
      <c r="P159" s="8"/>
      <c r="Q159" s="8"/>
      <c r="R159" s="8"/>
      <c r="S159" s="8"/>
      <c r="T159" s="8"/>
      <c r="U159" s="8"/>
      <c r="V159" s="8"/>
      <c r="W159" s="13"/>
      <c r="X159" s="8"/>
      <c r="Y159" s="14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K159" s="49"/>
      <c r="AL159" s="8"/>
      <c r="AM159" s="8"/>
      <c r="AN159" s="8"/>
      <c r="AO159" s="8"/>
      <c r="AP159" s="8"/>
      <c r="AQ159" s="8"/>
    </row>
    <row r="160" spans="1:45">
      <c r="A160" s="18"/>
      <c r="B160" s="49" t="s">
        <v>2</v>
      </c>
      <c r="C160" s="11" t="str">
        <f>IF(OR(C169="",C170="",C170=0),"",IFERROR(ROUND((C169*100000)/(C170*60*8),0),""))</f>
        <v>0</v>
      </c>
      <c r="D160" s="11" t="str">
        <f>IF(OR(D169="",D170="",D170=0),"",IFERROR(ROUND((D169*100000)/(D170*60*8),0),""))</f>
        <v>0</v>
      </c>
      <c r="E160" s="11" t="str">
        <f>IF(OR(E169="",E170="",E170=0),"",IFERROR(ROUND((E169*100000)/(E170*60*8),0),""))</f>
        <v>0</v>
      </c>
      <c r="F160" s="11" t="str">
        <f>IF(OR(F169="",F170="",F170=0),"",IFERROR(ROUND((F169*100000)/(F170*60*8),0),""))</f>
        <v>0</v>
      </c>
      <c r="G160" s="11" t="str">
        <f>IF(OR(G169="",G170="",G170=0),"",IFERROR(ROUND((G169*100000)/(G170*60*8),0),""))</f>
        <v>0</v>
      </c>
      <c r="H160" s="11" t="str">
        <f>IF(OR(H169="",H170="",H170=0),"",IFERROR(ROUND((H169*100000)/(H170*60*8),0),""))</f>
        <v>0</v>
      </c>
      <c r="I160" s="11" t="str">
        <f>IF(OR(I169="",I170="",I170=0),"",IFERROR(ROUND((I169*100000)/(I170*60*8),0),""))</f>
        <v>0</v>
      </c>
      <c r="J160" s="11" t="str">
        <f>IF(OR(J169="",J170="",J170=0),"",IFERROR(ROUND((J169*100000)/(J170*60*8),0),""))</f>
        <v>0</v>
      </c>
      <c r="K160" s="11" t="str">
        <f>IF(OR(K169="",K170="",K170=0),"",IFERROR(ROUND((K169*100000)/(K170*60*8),0),""))</f>
        <v>0</v>
      </c>
      <c r="L160" s="19"/>
      <c r="M160" s="50" t="s">
        <v>2</v>
      </c>
      <c r="N160" s="11" t="str">
        <f>IF(OR(N169="",N170="",N170=0),"",IFERROR(ROUND((N169*100000)/(N170*60*8),0),""))</f>
        <v>0</v>
      </c>
      <c r="O160" s="11" t="str">
        <f>IF(OR(O169="",O170="",O170=0),"",IFERROR(ROUND((O169*100000)/(O170*60*8),0),""))</f>
        <v>0</v>
      </c>
      <c r="P160" s="11" t="str">
        <f>IF(OR(P169="",P170="",P170=0),"",IFERROR(ROUND((P169*100000)/(P170*60*8),0),""))</f>
        <v>0</v>
      </c>
      <c r="Q160" s="11" t="str">
        <f>IF(OR(Q169="",Q170="",Q170=0),"",IFERROR(ROUND((Q169*100000)/(Q170*60*8),0),""))</f>
        <v>0</v>
      </c>
      <c r="R160" s="11" t="str">
        <f>IF(OR(R169="",R170="",R170=0),"",IFERROR(ROUND((R169*100000)/(R170*60*8),0),""))</f>
        <v>0</v>
      </c>
      <c r="S160" s="11" t="str">
        <f>IF(OR(S169="",S170="",S170=0),"",IFERROR(ROUND((S169*100000)/(S170*60*8),0),""))</f>
        <v>0</v>
      </c>
      <c r="T160" s="11" t="str">
        <f>IF(OR(T169="",T170="",T170=0),"",IFERROR(ROUND((T169*100000)/(T170*60*8),0),""))</f>
        <v>0</v>
      </c>
      <c r="U160" s="11" t="str">
        <f>IF(OR(U169="",U170="",U170=0),"",IFERROR(ROUND((U169*100000)/(U170*60*8),0),""))</f>
        <v>0</v>
      </c>
      <c r="V160" s="11" t="str">
        <f>IF(OR(V169="",V170="",V170=0),"",IFERROR(ROUND((V169*100000)/(V170*60*8),0),""))</f>
        <v>0</v>
      </c>
      <c r="W160" s="13" t="str">
        <f>IF(OR(W169="",W170="",W170=0),"",IFERROR(ROUND((W169*100000)/(W170*60*8),0),""))</f>
        <v>0</v>
      </c>
      <c r="X160" s="11" t="str">
        <f>IF(OR(X169="",X170="",X170=0),"",IFERROR(ROUND((X169*100000)/(X170*60*8),0),""))</f>
        <v>0</v>
      </c>
      <c r="Y160" s="11" t="str">
        <f>IF(OR(Y169="",Y170="",Y170=0),"",IFERROR(ROUND((Y169*100000)/(Y170*60*8),0),""))</f>
        <v>0</v>
      </c>
      <c r="Z160" s="11" t="str">
        <f>IF(OR(Z169="",Z170="",Z170=0),"",IFERROR(ROUND((Z169*100000)/(Z170*60*8),0),""))</f>
        <v>0</v>
      </c>
      <c r="AA160" s="11" t="str">
        <f>IF(OR(AA169="",AA170="",AA170=0),"",IFERROR(ROUND((AA169*100000)/(AA170*60*8),0),""))</f>
        <v>0</v>
      </c>
      <c r="AB160" s="11" t="str">
        <f>IF(OR(AB169="",AB170="",AB170=0),"",IFERROR(ROUND((AB169*100000)/(AB170*60*8),0),""))</f>
        <v>0</v>
      </c>
      <c r="AC160" s="11" t="str">
        <f>IF(OR(AC169="",AC170="",AC170=0),"",IFERROR(ROUND((AC169*100000)/(AC170*60*8),0),""))</f>
        <v>0</v>
      </c>
      <c r="AD160" s="11" t="str">
        <f>IF(OR(AD169="",AD170="",AD170=0),"",IFERROR(ROUND((AD169*100000)/(AD170*60*8),0),""))</f>
        <v>0</v>
      </c>
      <c r="AE160" s="11" t="str">
        <f>IF(OR(AE169="",AE170="",AE170=0),"",IFERROR(ROUND((AE169*100000)/(AE170*60*8),0),""))</f>
        <v>0</v>
      </c>
      <c r="AF160" s="11" t="str">
        <f>IF(OR(AF169="",AF170="",AF170=0),"",IFERROR(ROUND((AF169*100000)/(AF170*60*8),0),""))</f>
        <v>0</v>
      </c>
      <c r="AG160" s="11" t="str">
        <f>IF(OR(AG169="",AG170="",AG170=0),"",IFERROR(ROUND((AG169*100000)/(AG170*60*8),0),""))</f>
        <v>0</v>
      </c>
      <c r="AH160" s="11" t="str">
        <f>IF(OR(AH169="",AH170="",AH170=0),"",IFERROR(ROUND((AH169*100000)/(AH170*60*8),0),""))</f>
        <v>0</v>
      </c>
      <c r="AI160" s="11" t="str">
        <f>IF(OR(AI169="",AI170="",AI170=0),"",IFERROR(ROUND((AI169*100000)/(AI170*60*8),0),""))</f>
        <v>0</v>
      </c>
      <c r="AJ160" s="19"/>
      <c r="AK160" s="50" t="s">
        <v>2</v>
      </c>
      <c r="AL160" s="11" t="str">
        <f>IF(OR(AL168="",AL169="",AL169=0),"",IFERROR(ROUND((AL168*100000)/(AL169*60*8),0),""))</f>
        <v>0</v>
      </c>
      <c r="AM160" s="11" t="str">
        <f>IF(OR(AM168="",AM169="",AM169=0),"",IFERROR(ROUND((AM168*100000)/(AM169*60*8),0),""))</f>
        <v>0</v>
      </c>
      <c r="AN160" s="11" t="str">
        <f>IF(OR(AN168="",AN169="",AN169=0),"",IFERROR(ROUND((AN168*100000)/(AN169*60*8),0),""))</f>
        <v>0</v>
      </c>
      <c r="AO160" s="11" t="str">
        <f>IF(OR(AO168="",AO169="",AO169=0),"",IFERROR(ROUND((AO168*100000)/(AO169*60*8),0),""))</f>
        <v>0</v>
      </c>
      <c r="AP160" s="11" t="str">
        <f>IF(OR(AP168="",AP169="",AP169=0),"",IFERROR(ROUND((AP168*100000)/(AP169*60*8),0),""))</f>
        <v>0</v>
      </c>
      <c r="AQ160" s="11" t="str">
        <f>IF(OR(AQ168="",AQ169="",AQ169=0),"",IFERROR(ROUND((AQ168*100000)/(AQ169*60*8),0),""))</f>
        <v>0</v>
      </c>
      <c r="AS160" s="1" t="str">
        <f>SUM(N161:AI161)</f>
        <v>0</v>
      </c>
    </row>
    <row r="161" spans="1:45">
      <c r="A161" s="18"/>
      <c r="B161" s="50" t="s">
        <v>3</v>
      </c>
      <c r="C161" s="8"/>
      <c r="D161" s="9"/>
      <c r="E161" s="9"/>
      <c r="F161" s="9"/>
      <c r="G161" s="9"/>
      <c r="H161" s="9"/>
      <c r="I161" s="9"/>
      <c r="J161" s="8"/>
      <c r="K161" s="8"/>
      <c r="L161" s="19"/>
      <c r="M161" s="50" t="s">
        <v>3</v>
      </c>
      <c r="N161" s="8"/>
      <c r="O161" s="8"/>
      <c r="P161" s="8"/>
      <c r="Q161" s="8"/>
      <c r="R161" s="8"/>
      <c r="S161" s="8"/>
      <c r="T161" s="9"/>
      <c r="U161" s="9"/>
      <c r="V161" s="8"/>
      <c r="W161" s="13"/>
      <c r="X161" s="9"/>
      <c r="Y161" s="9"/>
      <c r="Z161" s="9"/>
      <c r="AA161" s="9"/>
      <c r="AB161" s="9"/>
      <c r="AC161" s="9"/>
      <c r="AD161" s="9"/>
      <c r="AE161" s="9"/>
      <c r="AF161" s="8"/>
      <c r="AG161" s="8"/>
      <c r="AH161" s="8"/>
      <c r="AI161" s="8"/>
      <c r="AJ161" s="19"/>
      <c r="AK161" s="50" t="s">
        <v>3</v>
      </c>
      <c r="AL161" s="8"/>
      <c r="AM161" s="8"/>
      <c r="AN161" s="8"/>
      <c r="AO161" s="8"/>
      <c r="AP161" s="8"/>
      <c r="AQ161" s="8"/>
      <c r="AS161" s="1" t="str">
        <f>SUM(N162:AI162)</f>
        <v>0</v>
      </c>
    </row>
    <row r="162" spans="1:45">
      <c r="A162" s="18"/>
      <c r="B162" s="50" t="s">
        <v>4</v>
      </c>
      <c r="C162" s="8"/>
      <c r="D162" s="9"/>
      <c r="E162" s="9"/>
      <c r="F162" s="9"/>
      <c r="G162" s="9"/>
      <c r="H162" s="9"/>
      <c r="I162" s="9"/>
      <c r="J162" s="8"/>
      <c r="K162" s="8"/>
      <c r="L162" s="19"/>
      <c r="M162" s="50" t="s">
        <v>4</v>
      </c>
      <c r="N162" s="8"/>
      <c r="O162" s="8"/>
      <c r="P162" s="8"/>
      <c r="Q162" s="8"/>
      <c r="R162" s="8"/>
      <c r="S162" s="8"/>
      <c r="T162" s="9"/>
      <c r="U162" s="9"/>
      <c r="V162" s="8"/>
      <c r="W162" s="13"/>
      <c r="X162" s="9"/>
      <c r="Y162" s="9"/>
      <c r="Z162" s="9"/>
      <c r="AA162" s="9"/>
      <c r="AB162" s="9"/>
      <c r="AC162" s="9"/>
      <c r="AD162" s="9"/>
      <c r="AE162" s="9"/>
      <c r="AF162" s="8"/>
      <c r="AG162" s="8"/>
      <c r="AH162" s="8"/>
      <c r="AI162" s="8"/>
      <c r="AJ162" s="19"/>
      <c r="AK162" s="50" t="s">
        <v>4</v>
      </c>
      <c r="AL162" s="8"/>
      <c r="AM162" s="8"/>
      <c r="AN162" s="8"/>
      <c r="AO162" s="8"/>
      <c r="AP162" s="8"/>
      <c r="AQ162" s="8"/>
      <c r="AS162" s="1" t="str">
        <f>SUM(N163:AI163)</f>
        <v>0</v>
      </c>
    </row>
    <row r="163" spans="1:45">
      <c r="A163" s="18"/>
      <c r="B163" s="50" t="s">
        <v>5</v>
      </c>
      <c r="C163" s="8"/>
      <c r="D163" s="9"/>
      <c r="E163" s="9"/>
      <c r="F163" s="9"/>
      <c r="G163" s="9"/>
      <c r="H163" s="9"/>
      <c r="I163" s="9"/>
      <c r="J163" s="8"/>
      <c r="K163" s="8"/>
      <c r="L163" s="19"/>
      <c r="M163" s="50" t="s">
        <v>5</v>
      </c>
      <c r="N163" s="8"/>
      <c r="O163" s="8"/>
      <c r="P163" s="8"/>
      <c r="Q163" s="8"/>
      <c r="R163" s="8"/>
      <c r="S163" s="8"/>
      <c r="T163" s="9"/>
      <c r="U163" s="9"/>
      <c r="V163" s="8"/>
      <c r="W163" s="13"/>
      <c r="X163" s="9"/>
      <c r="Y163" s="9"/>
      <c r="Z163" s="9"/>
      <c r="AA163" s="9"/>
      <c r="AB163" s="9"/>
      <c r="AC163" s="9"/>
      <c r="AD163" s="9"/>
      <c r="AE163" s="9"/>
      <c r="AF163" s="8"/>
      <c r="AG163" s="8"/>
      <c r="AH163" s="8"/>
      <c r="AI163" s="8"/>
      <c r="AJ163" s="19"/>
      <c r="AK163" s="50" t="s">
        <v>5</v>
      </c>
      <c r="AL163" s="8"/>
      <c r="AM163" s="8"/>
      <c r="AN163" s="8"/>
      <c r="AO163" s="8"/>
      <c r="AP163" s="8"/>
      <c r="AQ163" s="8"/>
      <c r="AS163" s="1" t="str">
        <f>SUM(N164:AI164)</f>
        <v>0</v>
      </c>
    </row>
    <row r="164" spans="1:45">
      <c r="A164" s="18"/>
      <c r="B164" s="50" t="s">
        <v>6</v>
      </c>
      <c r="C164" s="8"/>
      <c r="D164" s="9"/>
      <c r="E164" s="9"/>
      <c r="F164" s="9"/>
      <c r="G164" s="9"/>
      <c r="H164" s="9"/>
      <c r="I164" s="9"/>
      <c r="J164" s="8"/>
      <c r="K164" s="8"/>
      <c r="L164" s="19"/>
      <c r="M164" s="50" t="s">
        <v>6</v>
      </c>
      <c r="N164" s="8"/>
      <c r="O164" s="8"/>
      <c r="P164" s="8"/>
      <c r="Q164" s="8"/>
      <c r="R164" s="8"/>
      <c r="S164" s="8"/>
      <c r="T164" s="9"/>
      <c r="U164" s="9"/>
      <c r="V164" s="8"/>
      <c r="W164" s="13"/>
      <c r="X164" s="9"/>
      <c r="Y164" s="9"/>
      <c r="Z164" s="9"/>
      <c r="AA164" s="9"/>
      <c r="AB164" s="9"/>
      <c r="AC164" s="9"/>
      <c r="AD164" s="9"/>
      <c r="AE164" s="9"/>
      <c r="AF164" s="8"/>
      <c r="AG164" s="8"/>
      <c r="AH164" s="8"/>
      <c r="AI164" s="8"/>
      <c r="AJ164" s="19"/>
      <c r="AK164" s="50" t="s">
        <v>7</v>
      </c>
      <c r="AL164" s="8"/>
      <c r="AM164" s="8"/>
      <c r="AN164" s="8"/>
      <c r="AO164" s="8"/>
      <c r="AP164" s="8"/>
      <c r="AQ164" s="8"/>
      <c r="AS164" s="1" t="str">
        <f>SUM(N165:AI165)</f>
        <v>0</v>
      </c>
    </row>
    <row r="165" spans="1:45">
      <c r="A165" s="18"/>
      <c r="B165" s="50" t="s">
        <v>7</v>
      </c>
      <c r="C165" s="8"/>
      <c r="D165" s="9"/>
      <c r="E165" s="9"/>
      <c r="F165" s="9"/>
      <c r="G165" s="9"/>
      <c r="H165" s="9"/>
      <c r="I165" s="9"/>
      <c r="J165" s="8"/>
      <c r="K165" s="8"/>
      <c r="L165" s="19"/>
      <c r="M165" s="50" t="s">
        <v>7</v>
      </c>
      <c r="N165" s="8"/>
      <c r="O165" s="8"/>
      <c r="P165" s="8"/>
      <c r="Q165" s="8"/>
      <c r="R165" s="8"/>
      <c r="S165" s="8"/>
      <c r="T165" s="9"/>
      <c r="U165" s="9"/>
      <c r="V165" s="8"/>
      <c r="W165" s="13"/>
      <c r="X165" s="9"/>
      <c r="Y165" s="9"/>
      <c r="Z165" s="9"/>
      <c r="AA165" s="9"/>
      <c r="AB165" s="9"/>
      <c r="AC165" s="9"/>
      <c r="AD165" s="9"/>
      <c r="AE165" s="9"/>
      <c r="AF165" s="8"/>
      <c r="AG165" s="8"/>
      <c r="AH165" s="8"/>
      <c r="AI165" s="8"/>
      <c r="AJ165" s="19"/>
      <c r="AK165" s="50" t="s">
        <v>8</v>
      </c>
      <c r="AL165" s="8"/>
      <c r="AM165" s="8"/>
      <c r="AN165" s="8"/>
      <c r="AO165" s="8"/>
      <c r="AP165" s="8"/>
      <c r="AQ165" s="8"/>
      <c r="AS165" s="1" t="str">
        <f>SUM(N166:AI166)</f>
        <v>0</v>
      </c>
    </row>
    <row r="166" spans="1:45">
      <c r="A166" s="20"/>
      <c r="B166" s="50" t="s">
        <v>10</v>
      </c>
      <c r="C166" s="8"/>
      <c r="D166" s="9"/>
      <c r="E166" s="9"/>
      <c r="F166" s="9"/>
      <c r="G166" s="9"/>
      <c r="H166" s="9"/>
      <c r="I166" s="9"/>
      <c r="J166" s="8"/>
      <c r="K166" s="8"/>
      <c r="L166" s="22"/>
      <c r="M166" s="50" t="s">
        <v>10</v>
      </c>
      <c r="N166" s="8"/>
      <c r="O166" s="8"/>
      <c r="P166" s="8"/>
      <c r="Q166" s="8"/>
      <c r="R166" s="8"/>
      <c r="S166" s="8"/>
      <c r="T166" s="8"/>
      <c r="U166" s="8"/>
      <c r="V166" s="8"/>
      <c r="W166" s="13"/>
      <c r="X166" s="9"/>
      <c r="Y166" s="9"/>
      <c r="Z166" s="9"/>
      <c r="AA166" s="9"/>
      <c r="AB166" s="9"/>
      <c r="AC166" s="9"/>
      <c r="AD166" s="9"/>
      <c r="AE166" s="9"/>
      <c r="AF166" s="8"/>
      <c r="AG166" s="8"/>
      <c r="AH166" s="8"/>
      <c r="AI166" s="8"/>
      <c r="AJ166" s="22"/>
      <c r="AK166" s="50" t="s">
        <v>11</v>
      </c>
      <c r="AL166" s="8"/>
      <c r="AM166" s="8"/>
      <c r="AN166" s="8"/>
      <c r="AO166" s="8"/>
      <c r="AP166" s="8"/>
      <c r="AQ166" s="8"/>
      <c r="AS166" s="1" t="str">
        <f>SUM(N167:AI167)</f>
        <v>0</v>
      </c>
    </row>
    <row r="167" spans="1:45">
      <c r="A167" s="20"/>
      <c r="B167" s="50" t="s">
        <v>11</v>
      </c>
      <c r="C167" s="8"/>
      <c r="D167" s="9"/>
      <c r="E167" s="9"/>
      <c r="F167" s="9"/>
      <c r="G167" s="9"/>
      <c r="H167" s="9"/>
      <c r="I167" s="9"/>
      <c r="J167" s="8"/>
      <c r="K167" s="8"/>
      <c r="L167" s="22"/>
      <c r="M167" s="50" t="s">
        <v>11</v>
      </c>
      <c r="N167" s="8"/>
      <c r="O167" s="8"/>
      <c r="P167" s="8"/>
      <c r="Q167" s="8"/>
      <c r="R167" s="8"/>
      <c r="S167" s="8"/>
      <c r="T167" s="8"/>
      <c r="U167" s="8"/>
      <c r="V167" s="8"/>
      <c r="W167" s="13"/>
      <c r="X167" s="9"/>
      <c r="Y167" s="9"/>
      <c r="Z167" s="9"/>
      <c r="AA167" s="9"/>
      <c r="AB167" s="9"/>
      <c r="AC167" s="9"/>
      <c r="AD167" s="9"/>
      <c r="AE167" s="9"/>
      <c r="AF167" s="8"/>
      <c r="AG167" s="8"/>
      <c r="AH167" s="8"/>
      <c r="AI167" s="8"/>
      <c r="AJ167" s="22"/>
      <c r="AK167" s="50" t="s">
        <v>12</v>
      </c>
      <c r="AL167" s="8"/>
      <c r="AM167" s="8"/>
      <c r="AN167" s="8"/>
      <c r="AO167" s="8"/>
      <c r="AP167" s="8"/>
      <c r="AQ167" s="8"/>
    </row>
    <row r="168" spans="1:45">
      <c r="A168" s="20"/>
      <c r="B168" s="50" t="s">
        <v>12</v>
      </c>
      <c r="C168" s="8"/>
      <c r="D168" s="9"/>
      <c r="E168" s="9"/>
      <c r="F168" s="9"/>
      <c r="G168" s="9"/>
      <c r="H168" s="9"/>
      <c r="I168" s="9"/>
      <c r="J168" s="8"/>
      <c r="K168" s="8"/>
      <c r="L168" s="22"/>
      <c r="M168" s="50" t="s">
        <v>18</v>
      </c>
      <c r="N168" s="8"/>
      <c r="O168" s="8"/>
      <c r="P168" s="8"/>
      <c r="Q168" s="8"/>
      <c r="R168" s="8"/>
      <c r="S168" s="8"/>
      <c r="T168" s="8"/>
      <c r="U168" s="8"/>
      <c r="V168" s="8"/>
      <c r="W168" s="13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22"/>
      <c r="AK168" s="50" t="s">
        <v>13</v>
      </c>
      <c r="AL168" s="8"/>
      <c r="AM168" s="8"/>
      <c r="AN168" s="8"/>
      <c r="AO168" s="8"/>
      <c r="AP168" s="8"/>
      <c r="AQ168" s="8"/>
    </row>
    <row r="169" spans="1:45">
      <c r="A169" s="20"/>
      <c r="B169" s="50" t="s">
        <v>13</v>
      </c>
      <c r="C169" s="8"/>
      <c r="D169" s="9"/>
      <c r="E169" s="9"/>
      <c r="F169" s="9"/>
      <c r="G169" s="9"/>
      <c r="H169" s="9"/>
      <c r="I169" s="9"/>
      <c r="J169" s="8"/>
      <c r="K169" s="8"/>
      <c r="L169" s="22"/>
      <c r="M169" s="50" t="s">
        <v>13</v>
      </c>
      <c r="N169" s="8"/>
      <c r="O169" s="8"/>
      <c r="P169" s="8"/>
      <c r="Q169" s="8"/>
      <c r="R169" s="8"/>
      <c r="S169" s="8"/>
      <c r="T169" s="8"/>
      <c r="U169" s="8"/>
      <c r="V169" s="8"/>
      <c r="W169" s="13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22"/>
      <c r="AK169" s="50" t="s">
        <v>14</v>
      </c>
      <c r="AL169" s="8"/>
      <c r="AM169" s="8"/>
      <c r="AN169" s="8"/>
      <c r="AO169" s="8"/>
      <c r="AP169" s="8"/>
      <c r="AQ169" s="8"/>
    </row>
    <row r="170" spans="1:45" customHeight="1" ht="15.75">
      <c r="A170" s="20"/>
      <c r="B170" s="49" t="s">
        <v>14</v>
      </c>
      <c r="C170" s="8"/>
      <c r="D170" s="8"/>
      <c r="E170" s="8"/>
      <c r="F170" s="8"/>
      <c r="G170" s="8"/>
      <c r="H170" s="8"/>
      <c r="I170" s="8"/>
      <c r="J170" s="8"/>
      <c r="K170" s="8"/>
      <c r="L170" s="23"/>
      <c r="M170" s="58" t="s">
        <v>14</v>
      </c>
      <c r="N170" s="8"/>
      <c r="O170" s="8"/>
      <c r="P170" s="8"/>
      <c r="Q170" s="8"/>
      <c r="R170" s="8"/>
      <c r="S170" s="8"/>
      <c r="T170" s="8"/>
      <c r="U170" s="8"/>
      <c r="V170" s="8"/>
      <c r="W170" s="13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12"/>
      <c r="AK170" s="52"/>
      <c r="AL170" s="8"/>
      <c r="AM170" s="8"/>
      <c r="AN170" s="8"/>
      <c r="AO170" s="8"/>
      <c r="AP170" s="8"/>
      <c r="AQ170" s="8"/>
    </row>
    <row r="171" spans="1:45">
      <c r="A171" s="42"/>
      <c r="B171" s="48" t="s">
        <v>1</v>
      </c>
      <c r="C171" s="65">
        <v>201</v>
      </c>
      <c r="D171" s="65" t="str">
        <f>+C171+1</f>
        <v>0</v>
      </c>
      <c r="E171" s="65" t="str">
        <f>+D171+1</f>
        <v>0</v>
      </c>
      <c r="F171" s="65" t="str">
        <f>+E171+1</f>
        <v>0</v>
      </c>
      <c r="G171" s="65" t="str">
        <f>+F171+1</f>
        <v>0</v>
      </c>
      <c r="H171" s="65" t="str">
        <f>+G171+1</f>
        <v>0</v>
      </c>
      <c r="I171" s="65">
        <v>213</v>
      </c>
      <c r="J171" s="65" t="str">
        <f>+I171+1</f>
        <v>0</v>
      </c>
      <c r="K171" s="65" t="str">
        <f>+J171+1</f>
        <v>0</v>
      </c>
      <c r="L171" s="36"/>
      <c r="M171" s="49" t="s">
        <v>1</v>
      </c>
      <c r="N171" s="65">
        <v>299</v>
      </c>
      <c r="O171" s="65" t="str">
        <f>+N171+1</f>
        <v>0</v>
      </c>
      <c r="P171" s="65" t="str">
        <f>+O171+1</f>
        <v>0</v>
      </c>
      <c r="Q171" s="65" t="str">
        <f>+P171+1</f>
        <v>0</v>
      </c>
      <c r="R171" s="65" t="str">
        <f>+Q171+1</f>
        <v>0</v>
      </c>
      <c r="S171" s="65" t="str">
        <f>+R171+1</f>
        <v>0</v>
      </c>
      <c r="T171" s="65" t="str">
        <f>+S171+1</f>
        <v>0</v>
      </c>
      <c r="U171" s="65" t="str">
        <f>+T171+1</f>
        <v>0</v>
      </c>
      <c r="V171" s="65" t="str">
        <f>+U171+1</f>
        <v>0</v>
      </c>
      <c r="W171" s="65" t="str">
        <f>+V171+1</f>
        <v>0</v>
      </c>
      <c r="X171" s="65" t="str">
        <f>+W171+1</f>
        <v>0</v>
      </c>
      <c r="Y171" s="65" t="str">
        <f>+X171+1</f>
        <v>0</v>
      </c>
      <c r="Z171" s="65" t="str">
        <f>+Y171+1</f>
        <v>0</v>
      </c>
      <c r="AA171" s="65" t="str">
        <f>+Z171+1</f>
        <v>0</v>
      </c>
      <c r="AB171" s="65" t="str">
        <f>+AA171+1</f>
        <v>0</v>
      </c>
      <c r="AC171" s="65" t="str">
        <f>+AB171+1</f>
        <v>0</v>
      </c>
      <c r="AD171" s="65" t="str">
        <f>+AC171+1</f>
        <v>0</v>
      </c>
      <c r="AE171" s="65" t="str">
        <f>+AD171+1</f>
        <v>0</v>
      </c>
      <c r="AF171" s="65" t="str">
        <f>+AE171+1</f>
        <v>0</v>
      </c>
      <c r="AG171" s="65" t="str">
        <f>+AF171+1</f>
        <v>0</v>
      </c>
      <c r="AH171" s="65" t="str">
        <f>+AG171+1</f>
        <v>0</v>
      </c>
      <c r="AI171" s="65" t="str">
        <f>+AH171+1</f>
        <v>0</v>
      </c>
      <c r="AJ171" s="43"/>
      <c r="AK171" s="57" t="s">
        <v>1</v>
      </c>
      <c r="AL171" s="65">
        <v>207</v>
      </c>
      <c r="AM171" s="65" t="str">
        <f>+AL171+1</f>
        <v>0</v>
      </c>
      <c r="AN171" s="65" t="str">
        <f>+AM171+1</f>
        <v>0</v>
      </c>
      <c r="AO171" s="65" t="str">
        <f>+AN171+1</f>
        <v>0</v>
      </c>
      <c r="AP171" s="65" t="str">
        <f>+AO171+1</f>
        <v>0</v>
      </c>
      <c r="AQ171" s="65" t="str">
        <f>+AP171+1</f>
        <v>0</v>
      </c>
    </row>
    <row r="172" spans="1:45" customHeight="1" ht="15">
      <c r="A172" s="34"/>
      <c r="B172" s="49" t="s">
        <v>2</v>
      </c>
      <c r="C172" s="11" t="str">
        <f>IF(OR(C181="",C182="",C182=0),"",IFERROR(ROUND((C181*100000)/(C182*60*8),0),""))</f>
        <v>0</v>
      </c>
      <c r="D172" s="11" t="str">
        <f>IF(OR(D181="",D182="",D182=0),"",IFERROR(ROUND((D181*100000)/(D182*60*8),0),""))</f>
        <v>0</v>
      </c>
      <c r="E172" s="11" t="str">
        <f>IF(OR(E181="",E182="",E182=0),"",IFERROR(ROUND((E181*100000)/(E182*60*8),0),""))</f>
        <v>0</v>
      </c>
      <c r="F172" s="11" t="str">
        <f>IF(OR(F181="",F182="",F182=0),"",IFERROR(ROUND((F181*100000)/(F182*60*8),0),""))</f>
        <v>0</v>
      </c>
      <c r="G172" s="11" t="str">
        <f>IF(OR(G181="",G182="",G182=0),"",IFERROR(ROUND((G181*100000)/(G182*60*8),0),""))</f>
        <v>0</v>
      </c>
      <c r="H172" s="11" t="str">
        <f>IF(OR(H181="",H182="",H182=0),"",IFERROR(ROUND((H181*100000)/(H182*60*8),0),""))</f>
        <v>0</v>
      </c>
      <c r="I172" s="11" t="str">
        <f>IF(OR(I181="",I182="",I182=0),"",IFERROR(ROUND((I181*100000)/(I182*60*8),0),""))</f>
        <v>0</v>
      </c>
      <c r="J172" s="11" t="str">
        <f>IF(OR(J181="",J182="",J182=0),"",IFERROR(ROUND((J181*100000)/(J182*60*8),0),""))</f>
        <v>0</v>
      </c>
      <c r="K172" s="11" t="str">
        <f>IF(OR(K181="",K182="",K182=0),"",IFERROR(ROUND((K181*100000)/(K182*60*8),0),""))</f>
        <v>0</v>
      </c>
      <c r="L172" s="36"/>
      <c r="M172" s="50" t="s">
        <v>2</v>
      </c>
      <c r="N172" s="11" t="str">
        <f>IF(OR(N181="",N182="",N182=0),"",IFERROR(ROUND((N181*100000)/(N182*60*8),0),""))</f>
        <v>0</v>
      </c>
      <c r="O172" s="11" t="str">
        <f>IF(OR(O181="",O182="",O182=0),"",IFERROR(ROUND((O181*100000)/(O182*60*8),0),""))</f>
        <v>0</v>
      </c>
      <c r="P172" s="11" t="str">
        <f>IF(OR(P181="",P182="",P182=0),"",IFERROR(ROUND((P181*100000)/(P182*60*8),0),""))</f>
        <v>0</v>
      </c>
      <c r="Q172" s="11" t="str">
        <f>IF(OR(Q181="",Q182="",Q182=0),"",IFERROR(ROUND((Q181*100000)/(Q182*60*8),0),""))</f>
        <v>0</v>
      </c>
      <c r="R172" s="11" t="str">
        <f>IF(OR(R181="",R182="",R182=0),"",IFERROR(ROUND((R181*100000)/(R182*60*8),0),""))</f>
        <v>0</v>
      </c>
      <c r="S172" s="11" t="str">
        <f>IF(OR(S181="",S182="",S182=0),"",IFERROR(ROUND((S181*100000)/(S182*60*8),0),""))</f>
        <v>0</v>
      </c>
      <c r="T172" s="11" t="str">
        <f>IF(OR(T181="",T182="",T182=0),"",IFERROR(ROUND((T181*100000)/(T182*60*8),0),""))</f>
        <v>0</v>
      </c>
      <c r="U172" s="11" t="str">
        <f>IF(OR(U181="",U182="",U182=0),"",IFERROR(ROUND((U181*100000)/(U182*60*8),0),""))</f>
        <v>0</v>
      </c>
      <c r="V172" s="11" t="str">
        <f>IF(OR(V181="",V182="",V182=0),"",IFERROR(ROUND((V181*100000)/(V182*60*8),0),""))</f>
        <v>0</v>
      </c>
      <c r="W172" s="13" t="str">
        <f>IF(OR(W181="",W182="",W182=0),"",IFERROR(ROUND((W181*100000)/(W182*60*8),0),""))</f>
        <v>0</v>
      </c>
      <c r="X172" s="11" t="str">
        <f>IF(OR(X181="",X182="",X182=0),"",IFERROR(ROUND((X181*100000)/(X182*60*8),0),""))</f>
        <v>0</v>
      </c>
      <c r="Y172" s="11" t="str">
        <f>IF(OR(Y181="",Y182="",Y182=0),"",IFERROR(ROUND((Y181*100000)/(Y182*60*8),0),""))</f>
        <v>0</v>
      </c>
      <c r="Z172" s="11" t="str">
        <f>IF(OR(Z181="",Z182="",Z182=0),"",IFERROR(ROUND((Z181*100000)/(Z182*60*8),0),""))</f>
        <v>0</v>
      </c>
      <c r="AA172" s="11" t="str">
        <f>IF(OR(AA181="",AA182="",AA182=0),"",IFERROR(ROUND((AA181*100000)/(AA182*60*8),0),""))</f>
        <v>0</v>
      </c>
      <c r="AB172" s="11" t="str">
        <f>IF(OR(AB181="",AB182="",AB182=0),"",IFERROR(ROUND((AB181*100000)/(AB182*60*8),0),""))</f>
        <v>0</v>
      </c>
      <c r="AC172" s="11" t="str">
        <f>IF(OR(AC181="",AC182="",AC182=0),"",IFERROR(ROUND((AC181*100000)/(AC182*60*8),0),""))</f>
        <v>0</v>
      </c>
      <c r="AD172" s="11" t="str">
        <f>IF(OR(AD181="",AD182="",AD182=0),"",IFERROR(ROUND((AD181*100000)/(AD182*60*8),0),""))</f>
        <v>0</v>
      </c>
      <c r="AE172" s="11" t="str">
        <f>IF(OR(AE181="",AE182="",AE182=0),"",IFERROR(ROUND((AE181*100000)/(AE182*60*8),0),""))</f>
        <v>0</v>
      </c>
      <c r="AF172" s="11" t="str">
        <f>IF(OR(AF181="",AF182="",AF182=0),"",IFERROR(ROUND((AF181*100000)/(AF182*60*8),0),""))</f>
        <v>0</v>
      </c>
      <c r="AG172" s="11" t="str">
        <f>IF(OR(AG181="",AG182="",AG182=0),"",IFERROR(ROUND((AG181*100000)/(AG182*60*8),0),""))</f>
        <v>0</v>
      </c>
      <c r="AH172" s="11" t="str">
        <f>IF(OR(AH181="",AH182="",AH182=0),"",IFERROR(ROUND((AH181*100000)/(AH182*60*8),0),""))</f>
        <v>0</v>
      </c>
      <c r="AI172" s="11" t="str">
        <f>IF(OR(AI181="",AI182="",AI182=0),"",IFERROR(ROUND((AI181*100000)/(AI182*60*8),0),""))</f>
        <v>0</v>
      </c>
      <c r="AJ172" s="36"/>
      <c r="AK172" s="50" t="s">
        <v>2</v>
      </c>
      <c r="AL172" s="11" t="str">
        <f>IF(OR(AL180="",AL181="",AL181=0),"",IFERROR(ROUND((AL180*100000)/(AL181*60*8),0),""))</f>
        <v>0</v>
      </c>
      <c r="AM172" s="11" t="str">
        <f>IF(OR(AM180="",AM181="",AM181=0),"",IFERROR(ROUND((AM180*100000)/(AM181*60*8),0),""))</f>
        <v>0</v>
      </c>
      <c r="AN172" s="11" t="str">
        <f>IF(OR(AN180="",AN181="",AN181=0),"",IFERROR(ROUND((AN180*100000)/(AN181*60*8),0),""))</f>
        <v>0</v>
      </c>
      <c r="AO172" s="11" t="str">
        <f>IF(OR(AO180="",AO181="",AO181=0),"",IFERROR(ROUND((AO180*100000)/(AO181*60*8),0),""))</f>
        <v>0</v>
      </c>
      <c r="AP172" s="11" t="str">
        <f>IF(OR(AP180="",AP181="",AP181=0),"",IFERROR(ROUND((AP180*100000)/(AP181*60*8),0),""))</f>
        <v>0</v>
      </c>
      <c r="AQ172" s="11" t="str">
        <f>IF(OR(AQ180="",AQ181="",AQ181=0),"",IFERROR(ROUND((AQ180*100000)/(AQ181*60*8),0),""))</f>
        <v>0</v>
      </c>
      <c r="AS172" s="1" t="str">
        <f>SUM(N173:AI173)</f>
        <v>0</v>
      </c>
    </row>
    <row r="173" spans="1:45">
      <c r="A173" s="34"/>
      <c r="B173" s="50" t="s">
        <v>3</v>
      </c>
      <c r="C173" s="8"/>
      <c r="D173" s="9"/>
      <c r="E173" s="9"/>
      <c r="F173" s="9"/>
      <c r="G173" s="9"/>
      <c r="H173" s="9"/>
      <c r="I173" s="9"/>
      <c r="J173" s="8"/>
      <c r="K173" s="8"/>
      <c r="L173" s="36"/>
      <c r="M173" s="50" t="s">
        <v>3</v>
      </c>
      <c r="N173" s="8"/>
      <c r="O173" s="9"/>
      <c r="P173" s="8"/>
      <c r="Q173" s="8"/>
      <c r="R173" s="8"/>
      <c r="S173" s="8"/>
      <c r="T173" s="8"/>
      <c r="U173" s="8"/>
      <c r="V173" s="8"/>
      <c r="W173" s="13"/>
      <c r="X173" s="8"/>
      <c r="Y173" s="8"/>
      <c r="Z173" s="9"/>
      <c r="AA173" s="9"/>
      <c r="AB173" s="9"/>
      <c r="AC173" s="9"/>
      <c r="AD173" s="9"/>
      <c r="AE173" s="9"/>
      <c r="AF173" s="9"/>
      <c r="AG173" s="9"/>
      <c r="AH173" s="9"/>
      <c r="AI173" s="8"/>
      <c r="AJ173" s="36"/>
      <c r="AK173" s="50" t="s">
        <v>3</v>
      </c>
      <c r="AL173" s="8"/>
      <c r="AM173" s="8"/>
      <c r="AN173" s="8"/>
      <c r="AO173" s="8"/>
      <c r="AP173" s="8"/>
      <c r="AQ173" s="8"/>
      <c r="AS173" s="1" t="str">
        <f>SUM(N174:AI174)</f>
        <v>0</v>
      </c>
    </row>
    <row r="174" spans="1:45">
      <c r="A174" s="34"/>
      <c r="B174" s="50" t="s">
        <v>4</v>
      </c>
      <c r="C174" s="8"/>
      <c r="D174" s="9"/>
      <c r="E174" s="9"/>
      <c r="F174" s="9"/>
      <c r="G174" s="9"/>
      <c r="H174" s="9"/>
      <c r="I174" s="9"/>
      <c r="J174" s="8"/>
      <c r="K174" s="8"/>
      <c r="L174" s="36"/>
      <c r="M174" s="50" t="s">
        <v>4</v>
      </c>
      <c r="N174" s="8"/>
      <c r="O174" s="8"/>
      <c r="P174" s="8"/>
      <c r="Q174" s="8"/>
      <c r="R174" s="8"/>
      <c r="S174" s="8"/>
      <c r="T174" s="9"/>
      <c r="U174" s="9"/>
      <c r="V174" s="9"/>
      <c r="W174" s="13"/>
      <c r="X174" s="8"/>
      <c r="Y174" s="8"/>
      <c r="Z174" s="9"/>
      <c r="AA174" s="9"/>
      <c r="AB174" s="9"/>
      <c r="AC174" s="9"/>
      <c r="AD174" s="9"/>
      <c r="AE174" s="9"/>
      <c r="AF174" s="9"/>
      <c r="AG174" s="9"/>
      <c r="AH174" s="9"/>
      <c r="AI174" s="8"/>
      <c r="AJ174" s="36"/>
      <c r="AK174" s="50" t="s">
        <v>4</v>
      </c>
      <c r="AL174" s="8"/>
      <c r="AM174" s="8"/>
      <c r="AN174" s="8"/>
      <c r="AO174" s="8"/>
      <c r="AP174" s="8"/>
      <c r="AQ174" s="8"/>
      <c r="AS174" s="1" t="str">
        <f>SUM(N175:AI175)</f>
        <v>0</v>
      </c>
    </row>
    <row r="175" spans="1:45">
      <c r="A175" s="34"/>
      <c r="B175" s="50" t="s">
        <v>5</v>
      </c>
      <c r="C175" s="8"/>
      <c r="D175" s="9"/>
      <c r="E175" s="9"/>
      <c r="F175" s="9"/>
      <c r="G175" s="9"/>
      <c r="H175" s="9"/>
      <c r="I175" s="9"/>
      <c r="J175" s="8"/>
      <c r="K175" s="8"/>
      <c r="L175" s="36"/>
      <c r="M175" s="50" t="s">
        <v>5</v>
      </c>
      <c r="N175" s="8"/>
      <c r="O175" s="8"/>
      <c r="P175" s="8"/>
      <c r="Q175" s="8"/>
      <c r="R175" s="8"/>
      <c r="S175" s="8"/>
      <c r="T175" s="9"/>
      <c r="U175" s="9"/>
      <c r="V175" s="9"/>
      <c r="W175" s="13"/>
      <c r="X175" s="8"/>
      <c r="Y175" s="8"/>
      <c r="Z175" s="9"/>
      <c r="AA175" s="9"/>
      <c r="AB175" s="9"/>
      <c r="AC175" s="9"/>
      <c r="AD175" s="9"/>
      <c r="AE175" s="9"/>
      <c r="AF175" s="9"/>
      <c r="AG175" s="9"/>
      <c r="AH175" s="9"/>
      <c r="AI175" s="8"/>
      <c r="AJ175" s="36"/>
      <c r="AK175" s="50" t="s">
        <v>5</v>
      </c>
      <c r="AL175" s="8"/>
      <c r="AM175" s="8"/>
      <c r="AN175" s="8"/>
      <c r="AO175" s="8"/>
      <c r="AP175" s="8"/>
      <c r="AQ175" s="8"/>
      <c r="AS175" s="1" t="str">
        <f>SUM(N176:AI176)</f>
        <v>0</v>
      </c>
    </row>
    <row r="176" spans="1:45">
      <c r="A176" s="34"/>
      <c r="B176" s="50" t="s">
        <v>6</v>
      </c>
      <c r="C176" s="8"/>
      <c r="D176" s="9"/>
      <c r="E176" s="9"/>
      <c r="F176" s="9"/>
      <c r="G176" s="9"/>
      <c r="H176" s="9"/>
      <c r="I176" s="9"/>
      <c r="J176" s="8"/>
      <c r="K176" s="8"/>
      <c r="L176" s="36"/>
      <c r="M176" s="50" t="s">
        <v>6</v>
      </c>
      <c r="N176" s="8"/>
      <c r="O176" s="8"/>
      <c r="P176" s="8"/>
      <c r="Q176" s="8"/>
      <c r="R176" s="8"/>
      <c r="S176" s="8"/>
      <c r="T176" s="9"/>
      <c r="U176" s="9"/>
      <c r="V176" s="9"/>
      <c r="W176" s="13"/>
      <c r="X176" s="8"/>
      <c r="Y176" s="8"/>
      <c r="Z176" s="9"/>
      <c r="AA176" s="9"/>
      <c r="AB176" s="9"/>
      <c r="AC176" s="9"/>
      <c r="AD176" s="9"/>
      <c r="AE176" s="9"/>
      <c r="AF176" s="9"/>
      <c r="AG176" s="9"/>
      <c r="AH176" s="9"/>
      <c r="AI176" s="8"/>
      <c r="AJ176" s="36"/>
      <c r="AK176" s="50" t="s">
        <v>7</v>
      </c>
      <c r="AL176" s="8"/>
      <c r="AM176" s="8"/>
      <c r="AN176" s="8"/>
      <c r="AO176" s="8"/>
      <c r="AP176" s="8"/>
      <c r="AQ176" s="8"/>
      <c r="AS176" s="1" t="str">
        <f>SUM(N177:AI177)</f>
        <v>0</v>
      </c>
    </row>
    <row r="177" spans="1:45">
      <c r="A177" s="34"/>
      <c r="B177" s="50" t="s">
        <v>7</v>
      </c>
      <c r="C177" s="8"/>
      <c r="D177" s="9"/>
      <c r="E177" s="9"/>
      <c r="F177" s="9"/>
      <c r="G177" s="9"/>
      <c r="H177" s="9"/>
      <c r="I177" s="9"/>
      <c r="J177" s="8"/>
      <c r="K177" s="8"/>
      <c r="L177" s="36"/>
      <c r="M177" s="50" t="s">
        <v>7</v>
      </c>
      <c r="N177" s="8"/>
      <c r="O177" s="8"/>
      <c r="P177" s="8"/>
      <c r="Q177" s="8"/>
      <c r="R177" s="8"/>
      <c r="S177" s="8"/>
      <c r="T177" s="9"/>
      <c r="U177" s="9"/>
      <c r="V177" s="9"/>
      <c r="W177" s="13"/>
      <c r="X177" s="8"/>
      <c r="Y177" s="8"/>
      <c r="Z177" s="9"/>
      <c r="AA177" s="9"/>
      <c r="AB177" s="9"/>
      <c r="AC177" s="9"/>
      <c r="AD177" s="9"/>
      <c r="AE177" s="9"/>
      <c r="AF177" s="9"/>
      <c r="AG177" s="9"/>
      <c r="AH177" s="9"/>
      <c r="AI177" s="8"/>
      <c r="AJ177" s="39" t="str">
        <f>+L178</f>
        <v>0</v>
      </c>
      <c r="AK177" s="50" t="s">
        <v>8</v>
      </c>
      <c r="AL177" s="8"/>
      <c r="AM177" s="8"/>
      <c r="AN177" s="8"/>
      <c r="AO177" s="8"/>
      <c r="AP177" s="8"/>
      <c r="AQ177" s="8"/>
      <c r="AS177" s="1" t="str">
        <f>SUM(N178:AI178)</f>
        <v>0</v>
      </c>
    </row>
    <row r="178" spans="1:45">
      <c r="A178" s="37"/>
      <c r="B178" s="50" t="s">
        <v>10</v>
      </c>
      <c r="C178" s="8"/>
      <c r="D178" s="9"/>
      <c r="E178" s="9"/>
      <c r="F178" s="9"/>
      <c r="G178" s="9"/>
      <c r="H178" s="9"/>
      <c r="I178" s="9"/>
      <c r="J178" s="8"/>
      <c r="K178" s="8"/>
      <c r="L178" s="39"/>
      <c r="M178" s="50" t="s">
        <v>10</v>
      </c>
      <c r="N178" s="8"/>
      <c r="O178" s="8"/>
      <c r="P178" s="8"/>
      <c r="Q178" s="8"/>
      <c r="R178" s="8"/>
      <c r="S178" s="8"/>
      <c r="T178" s="9"/>
      <c r="U178" s="9"/>
      <c r="V178" s="9"/>
      <c r="W178" s="13"/>
      <c r="X178" s="8"/>
      <c r="Y178" s="8"/>
      <c r="Z178" s="9"/>
      <c r="AA178" s="9"/>
      <c r="AB178" s="9"/>
      <c r="AC178" s="9"/>
      <c r="AD178" s="9"/>
      <c r="AE178" s="9"/>
      <c r="AF178" s="9"/>
      <c r="AG178" s="9"/>
      <c r="AH178" s="9"/>
      <c r="AI178" s="8"/>
      <c r="AJ178" s="39"/>
      <c r="AK178" s="50" t="s">
        <v>11</v>
      </c>
      <c r="AL178" s="8"/>
      <c r="AM178" s="8"/>
      <c r="AN178" s="8"/>
      <c r="AO178" s="8"/>
      <c r="AP178" s="8"/>
      <c r="AQ178" s="8"/>
      <c r="AS178" s="1" t="str">
        <f>SUM(N179:AI179)</f>
        <v>0</v>
      </c>
    </row>
    <row r="179" spans="1:45">
      <c r="A179" s="37"/>
      <c r="B179" s="50" t="s">
        <v>11</v>
      </c>
      <c r="C179" s="8"/>
      <c r="D179" s="9"/>
      <c r="E179" s="9"/>
      <c r="F179" s="9"/>
      <c r="G179" s="9"/>
      <c r="H179" s="9"/>
      <c r="I179" s="9"/>
      <c r="J179" s="8"/>
      <c r="K179" s="8"/>
      <c r="L179" s="39"/>
      <c r="M179" s="50" t="s">
        <v>11</v>
      </c>
      <c r="N179" s="8"/>
      <c r="O179" s="8"/>
      <c r="P179" s="8"/>
      <c r="Q179" s="8"/>
      <c r="R179" s="8"/>
      <c r="S179" s="8"/>
      <c r="T179" s="8"/>
      <c r="U179" s="8"/>
      <c r="V179" s="8"/>
      <c r="W179" s="13"/>
      <c r="X179" s="8"/>
      <c r="Y179" s="8"/>
      <c r="Z179" s="9"/>
      <c r="AA179" s="9"/>
      <c r="AB179" s="9"/>
      <c r="AC179" s="9"/>
      <c r="AD179" s="9"/>
      <c r="AE179" s="9"/>
      <c r="AF179" s="9"/>
      <c r="AG179" s="9"/>
      <c r="AH179" s="9"/>
      <c r="AI179" s="8"/>
      <c r="AJ179" s="39"/>
      <c r="AK179" s="50" t="s">
        <v>12</v>
      </c>
      <c r="AL179" s="8"/>
      <c r="AM179" s="8"/>
      <c r="AN179" s="8"/>
      <c r="AO179" s="8"/>
      <c r="AP179" s="8"/>
      <c r="AQ179" s="8"/>
    </row>
    <row r="180" spans="1:45">
      <c r="A180" s="37"/>
      <c r="B180" s="50" t="s">
        <v>12</v>
      </c>
      <c r="C180" s="8"/>
      <c r="D180" s="9"/>
      <c r="E180" s="9"/>
      <c r="F180" s="9"/>
      <c r="G180" s="9"/>
      <c r="H180" s="9"/>
      <c r="I180" s="9"/>
      <c r="J180" s="8"/>
      <c r="K180" s="8"/>
      <c r="L180" s="39"/>
      <c r="M180" s="50" t="s">
        <v>12</v>
      </c>
      <c r="N180" s="8"/>
      <c r="O180" s="8"/>
      <c r="P180" s="8"/>
      <c r="Q180" s="8"/>
      <c r="R180" s="8"/>
      <c r="S180" s="8"/>
      <c r="T180" s="8"/>
      <c r="U180" s="8"/>
      <c r="V180" s="8"/>
      <c r="W180" s="13"/>
      <c r="X180" s="8"/>
      <c r="Y180" s="8"/>
      <c r="Z180" s="9"/>
      <c r="AA180" s="9"/>
      <c r="AB180" s="9"/>
      <c r="AC180" s="9"/>
      <c r="AD180" s="9"/>
      <c r="AE180" s="9"/>
      <c r="AF180" s="9"/>
      <c r="AG180" s="9"/>
      <c r="AH180" s="9"/>
      <c r="AI180" s="8"/>
      <c r="AJ180" s="39"/>
      <c r="AK180" s="50" t="s">
        <v>13</v>
      </c>
      <c r="AL180" s="8"/>
      <c r="AM180" s="8"/>
      <c r="AN180" s="8"/>
      <c r="AO180" s="8"/>
      <c r="AP180" s="8"/>
      <c r="AQ180" s="8"/>
    </row>
    <row r="181" spans="1:45">
      <c r="A181" s="37"/>
      <c r="B181" s="50" t="s">
        <v>13</v>
      </c>
      <c r="C181" s="8"/>
      <c r="D181" s="9"/>
      <c r="E181" s="9"/>
      <c r="F181" s="9"/>
      <c r="G181" s="9"/>
      <c r="H181" s="9"/>
      <c r="I181" s="9"/>
      <c r="J181" s="8"/>
      <c r="K181" s="8"/>
      <c r="L181" s="39"/>
      <c r="M181" s="50" t="s">
        <v>13</v>
      </c>
      <c r="N181" s="8"/>
      <c r="O181" s="8"/>
      <c r="P181" s="8"/>
      <c r="Q181" s="8"/>
      <c r="R181" s="8"/>
      <c r="S181" s="8"/>
      <c r="T181" s="8"/>
      <c r="U181" s="8"/>
      <c r="V181" s="8"/>
      <c r="W181" s="13"/>
      <c r="X181" s="8"/>
      <c r="Y181" s="8"/>
      <c r="Z181" s="9"/>
      <c r="AA181" s="9"/>
      <c r="AB181" s="9"/>
      <c r="AC181" s="9"/>
      <c r="AD181" s="9"/>
      <c r="AE181" s="9"/>
      <c r="AF181" s="9"/>
      <c r="AG181" s="9"/>
      <c r="AH181" s="9"/>
      <c r="AI181" s="8"/>
      <c r="AJ181" s="39"/>
      <c r="AK181" s="50" t="s">
        <v>14</v>
      </c>
      <c r="AL181" s="8"/>
      <c r="AM181" s="8"/>
      <c r="AN181" s="8"/>
      <c r="AO181" s="8"/>
      <c r="AP181" s="8"/>
      <c r="AQ181" s="8"/>
    </row>
    <row r="182" spans="1:45">
      <c r="A182" s="40"/>
      <c r="B182" s="53" t="s">
        <v>14</v>
      </c>
      <c r="C182" s="8"/>
      <c r="D182" s="8"/>
      <c r="E182" s="8"/>
      <c r="F182" s="8"/>
      <c r="G182" s="8"/>
      <c r="H182" s="8"/>
      <c r="I182" s="8"/>
      <c r="J182" s="8"/>
      <c r="K182" s="8"/>
      <c r="L182" s="41"/>
      <c r="M182" s="59" t="s">
        <v>14</v>
      </c>
      <c r="N182" s="8"/>
      <c r="O182" s="8"/>
      <c r="P182" s="8"/>
      <c r="Q182" s="8"/>
      <c r="R182" s="8"/>
      <c r="S182" s="8"/>
      <c r="T182" s="8"/>
      <c r="U182" s="8"/>
      <c r="V182" s="8"/>
      <c r="W182" s="13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K182" s="49"/>
      <c r="AL182" s="8"/>
      <c r="AM182" s="8"/>
      <c r="AN182" s="8"/>
      <c r="AO182" s="8"/>
      <c r="AP182" s="8"/>
      <c r="AQ182" s="8"/>
    </row>
    <row r="183" spans="1:45" customHeight="1" ht="15">
      <c r="A183" s="33"/>
      <c r="B183" s="49" t="s">
        <v>2</v>
      </c>
      <c r="C183" s="11" t="str">
        <f>IF(OR(C192="",C193="",C193=0),"",IFERROR(ROUND((C192*100000)/(C193*60*8),0),""))</f>
        <v>0</v>
      </c>
      <c r="D183" s="11" t="str">
        <f>IF(OR(D192="",D193="",D193=0),"",IFERROR(ROUND((D192*100000)/(D193*60*8),0),""))</f>
        <v>0</v>
      </c>
      <c r="E183" s="11" t="str">
        <f>IF(OR(E192="",E193="",E193=0),"",IFERROR(ROUND((E192*100000)/(E193*60*8),0),""))</f>
        <v>0</v>
      </c>
      <c r="F183" s="11" t="str">
        <f>IF(OR(F192="",F193="",F193=0),"",IFERROR(ROUND((F192*100000)/(F193*60*8),0),""))</f>
        <v>0</v>
      </c>
      <c r="G183" s="11" t="str">
        <f>IF(OR(G192="",G193="",G193=0),"",IFERROR(ROUND((G192*100000)/(G193*60*8),0),""))</f>
        <v>0</v>
      </c>
      <c r="H183" s="11" t="str">
        <f>IF(OR(H192="",H193="",H193=0),"",IFERROR(ROUND((H192*100000)/(H193*60*8),0),""))</f>
        <v>0</v>
      </c>
      <c r="I183" s="11" t="str">
        <f>IF(OR(I192="",I193="",I193=0),"",IFERROR(ROUND((I192*100000)/(I193*60*8),0),""))</f>
        <v>0</v>
      </c>
      <c r="J183" s="11" t="str">
        <f>IF(OR(J192="",J193="",J193=0),"",IFERROR(ROUND((J192*100000)/(J193*60*8),0),""))</f>
        <v>0</v>
      </c>
      <c r="K183" s="11" t="str">
        <f>IF(OR(K192="",K193="",K193=0),"",IFERROR(ROUND((K192*100000)/(K193*60*8),0),""))</f>
        <v>0</v>
      </c>
      <c r="L183" s="35"/>
      <c r="M183" s="50" t="s">
        <v>2</v>
      </c>
      <c r="N183" s="11" t="str">
        <f>IF(OR(N192="",N193="",N193=0),"",IFERROR(ROUND((N192*100000)/(N193*60*8),0),""))</f>
        <v>0</v>
      </c>
      <c r="O183" s="11" t="str">
        <f>IF(OR(O192="",O193="",O193=0),"",IFERROR(ROUND((O192*100000)/(O193*60*8),0),""))</f>
        <v>0</v>
      </c>
      <c r="P183" s="11" t="str">
        <f>IF(OR(P192="",P193="",P193=0),"",IFERROR(ROUND((P192*100000)/(P193*60*8),0),""))</f>
        <v>0</v>
      </c>
      <c r="Q183" s="11" t="str">
        <f>IF(OR(Q192="",Q193="",Q193=0),"",IFERROR(ROUND((Q192*100000)/(Q193*60*8),0),""))</f>
        <v>0</v>
      </c>
      <c r="R183" s="11" t="str">
        <f>IF(OR(R192="",R193="",R193=0),"",IFERROR(ROUND((R192*100000)/(R193*60*8),0),""))</f>
        <v>0</v>
      </c>
      <c r="S183" s="11" t="str">
        <f>IF(OR(S192="",S193="",S193=0),"",IFERROR(ROUND((S192*100000)/(S193*60*8),0),""))</f>
        <v>0</v>
      </c>
      <c r="T183" s="11" t="str">
        <f>IF(OR(T192="",T193="",T193=0),"",IFERROR(ROUND((T192*100000)/(T193*60*8),0),""))</f>
        <v>0</v>
      </c>
      <c r="U183" s="11" t="str">
        <f>IF(OR(U192="",U193="",U193=0),"",IFERROR(ROUND((U192*100000)/(U193*60*8),0),""))</f>
        <v>0</v>
      </c>
      <c r="V183" s="11" t="str">
        <f>IF(OR(V192="",V193="",V193=0),"",IFERROR(ROUND((V192*100000)/(V193*60*8),0),""))</f>
        <v>0</v>
      </c>
      <c r="W183" s="13" t="str">
        <f>IF(OR(W192="",W193="",W193=0),"",IFERROR(ROUND((W192*100000)/(W193*60*8),0),""))</f>
        <v>0</v>
      </c>
      <c r="X183" s="11" t="str">
        <f>IF(OR(X192="",X193="",X193=0),"",IFERROR(ROUND((X192*100000)/(X193*60*8),0),""))</f>
        <v>0</v>
      </c>
      <c r="Y183" s="11" t="str">
        <f>IF(OR(Y192="",Y193="",Y193=0),"",IFERROR(ROUND((Y192*100000)/(Y193*60*8),0),""))</f>
        <v>0</v>
      </c>
      <c r="Z183" s="11" t="str">
        <f>IF(OR(Z192="",Z193="",Z193=0),"",IFERROR(ROUND((Z192*100000)/(Z193*60*8),0),""))</f>
        <v>0</v>
      </c>
      <c r="AA183" s="11" t="str">
        <f>IF(OR(AA192="",AA193="",AA193=0),"",IFERROR(ROUND((AA192*100000)/(AA193*60*8),0),""))</f>
        <v>0</v>
      </c>
      <c r="AB183" s="11" t="str">
        <f>IF(OR(AB192="",AB193="",AB193=0),"",IFERROR(ROUND((AB192*100000)/(AB193*60*8),0),""))</f>
        <v>0</v>
      </c>
      <c r="AC183" s="11" t="str">
        <f>IF(OR(AC192="",AC193="",AC193=0),"",IFERROR(ROUND((AC192*100000)/(AC193*60*8),0),""))</f>
        <v>0</v>
      </c>
      <c r="AD183" s="11" t="str">
        <f>IF(OR(AD192="",AD193="",AD193=0),"",IFERROR(ROUND((AD192*100000)/(AD193*60*8),0),""))</f>
        <v>0</v>
      </c>
      <c r="AE183" s="11" t="str">
        <f>IF(OR(AE192="",AE193="",AE193=0),"",IFERROR(ROUND((AE192*100000)/(AE193*60*8),0),""))</f>
        <v>0</v>
      </c>
      <c r="AF183" s="11" t="str">
        <f>IF(OR(AF192="",AF193="",AF193=0),"",IFERROR(ROUND((AF192*100000)/(AF193*60*8),0),""))</f>
        <v>0</v>
      </c>
      <c r="AG183" s="11" t="str">
        <f>IF(OR(AG192="",AG193="",AG193=0),"",IFERROR(ROUND((AG192*100000)/(AG193*60*8),0),""))</f>
        <v>0</v>
      </c>
      <c r="AH183" s="11" t="str">
        <f>IF(OR(AH192="",AH193="",AH193=0),"",IFERROR(ROUND((AH192*100000)/(AH193*60*8),0),""))</f>
        <v>0</v>
      </c>
      <c r="AI183" s="11" t="str">
        <f>IF(OR(AI192="",AI193="",AI193=0),"",IFERROR(ROUND((AI192*100000)/(AI193*60*8),0),""))</f>
        <v>0</v>
      </c>
      <c r="AJ183" s="36"/>
      <c r="AK183" s="50" t="s">
        <v>2</v>
      </c>
      <c r="AL183" s="11" t="str">
        <f>IF(OR(AL191="",AL192="",AL192=0),"",IFERROR(ROUND((AL191*100000)/(AL192*60*8),0),""))</f>
        <v>0</v>
      </c>
      <c r="AM183" s="11" t="str">
        <f>IF(OR(AM191="",AM192="",AM192=0),"",IFERROR(ROUND((AM191*100000)/(AM192*60*8),0),""))</f>
        <v>0</v>
      </c>
      <c r="AN183" s="11" t="str">
        <f>IF(OR(AN191="",AN192="",AN192=0),"",IFERROR(ROUND((AN191*100000)/(AN192*60*8),0),""))</f>
        <v>0</v>
      </c>
      <c r="AO183" s="11" t="str">
        <f>IF(OR(AO191="",AO192="",AO192=0),"",IFERROR(ROUND((AO191*100000)/(AO192*60*8),0),""))</f>
        <v>0</v>
      </c>
      <c r="AP183" s="11" t="str">
        <f>IF(OR(AP191="",AP192="",AP192=0),"",IFERROR(ROUND((AP191*100000)/(AP192*60*8),0),""))</f>
        <v>0</v>
      </c>
      <c r="AQ183" s="11" t="str">
        <f>IF(OR(AQ191="",AQ192="",AQ192=0),"",IFERROR(ROUND((AQ191*100000)/(AQ192*60*8),0),""))</f>
        <v>0</v>
      </c>
      <c r="AS183" s="1" t="str">
        <f>SUM(N184:AI184)</f>
        <v>0</v>
      </c>
    </row>
    <row r="184" spans="1:45">
      <c r="A184" s="34"/>
      <c r="B184" s="50" t="s">
        <v>3</v>
      </c>
      <c r="C184" s="8"/>
      <c r="D184" s="9"/>
      <c r="E184" s="9"/>
      <c r="F184" s="9"/>
      <c r="G184" s="9"/>
      <c r="H184" s="9"/>
      <c r="I184" s="9"/>
      <c r="J184" s="9"/>
      <c r="K184" s="9"/>
      <c r="L184" s="36"/>
      <c r="M184" s="50" t="s">
        <v>3</v>
      </c>
      <c r="N184" s="9"/>
      <c r="O184" s="9"/>
      <c r="P184" s="9"/>
      <c r="Q184" s="8"/>
      <c r="R184" s="8"/>
      <c r="S184" s="8"/>
      <c r="T184" s="8"/>
      <c r="U184" s="8"/>
      <c r="V184" s="8"/>
      <c r="W184" s="13"/>
      <c r="X184" s="8"/>
      <c r="Y184" s="9"/>
      <c r="Z184" s="9"/>
      <c r="AA184" s="9"/>
      <c r="AB184" s="9"/>
      <c r="AC184" s="9"/>
      <c r="AD184" s="9"/>
      <c r="AE184" s="9"/>
      <c r="AF184" s="8"/>
      <c r="AG184" s="8"/>
      <c r="AH184" s="8"/>
      <c r="AI184" s="8"/>
      <c r="AJ184" s="36"/>
      <c r="AK184" s="50" t="s">
        <v>3</v>
      </c>
      <c r="AL184" s="8"/>
      <c r="AM184" s="8"/>
      <c r="AN184" s="8"/>
      <c r="AO184" s="8"/>
      <c r="AP184" s="8"/>
      <c r="AQ184" s="8"/>
      <c r="AS184" s="1" t="str">
        <f>SUM(N185:AI185)</f>
        <v>0</v>
      </c>
    </row>
    <row r="185" spans="1:45">
      <c r="A185" s="34"/>
      <c r="B185" s="50" t="s">
        <v>4</v>
      </c>
      <c r="C185" s="8"/>
      <c r="D185" s="9"/>
      <c r="E185" s="9"/>
      <c r="F185" s="9"/>
      <c r="G185" s="9"/>
      <c r="H185" s="9"/>
      <c r="I185" s="9"/>
      <c r="J185" s="9"/>
      <c r="K185" s="9"/>
      <c r="L185" s="36"/>
      <c r="M185" s="50" t="s">
        <v>4</v>
      </c>
      <c r="N185" s="9"/>
      <c r="O185" s="9"/>
      <c r="P185" s="9"/>
      <c r="Q185" s="8"/>
      <c r="R185" s="8"/>
      <c r="S185" s="8"/>
      <c r="T185" s="8"/>
      <c r="U185" s="8"/>
      <c r="V185" s="8"/>
      <c r="W185" s="13"/>
      <c r="X185" s="8"/>
      <c r="Y185" s="9"/>
      <c r="Z185" s="9"/>
      <c r="AA185" s="9"/>
      <c r="AB185" s="9"/>
      <c r="AC185" s="9"/>
      <c r="AD185" s="9"/>
      <c r="AE185" s="9"/>
      <c r="AF185" s="8"/>
      <c r="AG185" s="8"/>
      <c r="AH185" s="8"/>
      <c r="AI185" s="8"/>
      <c r="AJ185" s="36"/>
      <c r="AK185" s="50" t="s">
        <v>4</v>
      </c>
      <c r="AL185" s="8"/>
      <c r="AM185" s="8"/>
      <c r="AN185" s="8"/>
      <c r="AO185" s="8"/>
      <c r="AP185" s="8"/>
      <c r="AQ185" s="8"/>
      <c r="AS185" s="1" t="str">
        <f>SUM(N186:AI186)</f>
        <v>0</v>
      </c>
    </row>
    <row r="186" spans="1:45">
      <c r="A186" s="34"/>
      <c r="B186" s="50" t="s">
        <v>5</v>
      </c>
      <c r="C186" s="8"/>
      <c r="D186" s="9"/>
      <c r="E186" s="9"/>
      <c r="F186" s="9"/>
      <c r="G186" s="9"/>
      <c r="H186" s="9"/>
      <c r="I186" s="9"/>
      <c r="J186" s="9"/>
      <c r="K186" s="9"/>
      <c r="L186" s="36"/>
      <c r="M186" s="50" t="s">
        <v>5</v>
      </c>
      <c r="N186" s="8"/>
      <c r="O186" s="8"/>
      <c r="P186" s="8"/>
      <c r="Q186" s="8"/>
      <c r="R186" s="8"/>
      <c r="S186" s="8"/>
      <c r="T186" s="8"/>
      <c r="U186" s="8"/>
      <c r="V186" s="8"/>
      <c r="W186" s="13"/>
      <c r="X186" s="8"/>
      <c r="Y186" s="9"/>
      <c r="Z186" s="9"/>
      <c r="AA186" s="9"/>
      <c r="AB186" s="9"/>
      <c r="AC186" s="9"/>
      <c r="AD186" s="9"/>
      <c r="AE186" s="9"/>
      <c r="AF186" s="8"/>
      <c r="AG186" s="8"/>
      <c r="AH186" s="8"/>
      <c r="AI186" s="8"/>
      <c r="AJ186" s="36"/>
      <c r="AK186" s="50" t="s">
        <v>5</v>
      </c>
      <c r="AL186" s="8"/>
      <c r="AM186" s="8"/>
      <c r="AN186" s="8"/>
      <c r="AO186" s="8"/>
      <c r="AP186" s="8"/>
      <c r="AQ186" s="8"/>
      <c r="AS186" s="1" t="str">
        <f>SUM(N187:AI187)</f>
        <v>0</v>
      </c>
    </row>
    <row r="187" spans="1:45">
      <c r="A187" s="34"/>
      <c r="B187" s="50" t="s">
        <v>6</v>
      </c>
      <c r="C187" s="8"/>
      <c r="D187" s="8"/>
      <c r="E187" s="8"/>
      <c r="F187" s="8"/>
      <c r="G187" s="8"/>
      <c r="H187" s="8"/>
      <c r="I187" s="8"/>
      <c r="J187" s="8"/>
      <c r="K187" s="8"/>
      <c r="L187" s="36"/>
      <c r="M187" s="50" t="s">
        <v>6</v>
      </c>
      <c r="N187" s="8"/>
      <c r="O187" s="8"/>
      <c r="P187" s="8"/>
      <c r="Q187" s="8"/>
      <c r="R187" s="8"/>
      <c r="S187" s="8"/>
      <c r="T187" s="8"/>
      <c r="U187" s="8"/>
      <c r="V187" s="8"/>
      <c r="W187" s="13"/>
      <c r="X187" s="8"/>
      <c r="Y187" s="9"/>
      <c r="Z187" s="9"/>
      <c r="AA187" s="9"/>
      <c r="AB187" s="9"/>
      <c r="AC187" s="9"/>
      <c r="AD187" s="9"/>
      <c r="AE187" s="9"/>
      <c r="AF187" s="8"/>
      <c r="AG187" s="8"/>
      <c r="AH187" s="8"/>
      <c r="AI187" s="8"/>
      <c r="AJ187" s="36"/>
      <c r="AK187" s="50" t="s">
        <v>7</v>
      </c>
      <c r="AL187" s="8"/>
      <c r="AM187" s="8"/>
      <c r="AN187" s="8"/>
      <c r="AO187" s="8"/>
      <c r="AP187" s="8"/>
      <c r="AQ187" s="8"/>
      <c r="AS187" s="1" t="str">
        <f>SUM(N188:AI188)</f>
        <v>0</v>
      </c>
    </row>
    <row r="188" spans="1:45">
      <c r="A188" s="34"/>
      <c r="B188" s="50" t="s">
        <v>7</v>
      </c>
      <c r="C188" s="8"/>
      <c r="D188" s="8"/>
      <c r="E188" s="8"/>
      <c r="F188" s="8"/>
      <c r="G188" s="8"/>
      <c r="H188" s="8"/>
      <c r="I188" s="8"/>
      <c r="J188" s="8"/>
      <c r="K188" s="8"/>
      <c r="L188" s="36"/>
      <c r="M188" s="50" t="s">
        <v>7</v>
      </c>
      <c r="N188" s="8"/>
      <c r="O188" s="8"/>
      <c r="P188" s="8"/>
      <c r="Q188" s="8"/>
      <c r="R188" s="8"/>
      <c r="S188" s="8"/>
      <c r="T188" s="8"/>
      <c r="U188" s="8"/>
      <c r="V188" s="8"/>
      <c r="W188" s="13"/>
      <c r="X188" s="8"/>
      <c r="Y188" s="9"/>
      <c r="Z188" s="9"/>
      <c r="AA188" s="9"/>
      <c r="AB188" s="9"/>
      <c r="AC188" s="9"/>
      <c r="AD188" s="9"/>
      <c r="AE188" s="9"/>
      <c r="AF188" s="8"/>
      <c r="AG188" s="8"/>
      <c r="AH188" s="8"/>
      <c r="AI188" s="8"/>
      <c r="AJ188" s="36"/>
      <c r="AK188" s="50" t="s">
        <v>8</v>
      </c>
      <c r="AL188" s="8"/>
      <c r="AM188" s="8"/>
      <c r="AN188" s="8"/>
      <c r="AO188" s="8"/>
      <c r="AP188" s="8"/>
      <c r="AQ188" s="8"/>
      <c r="AS188" s="1" t="str">
        <f>SUM(N189:AI189)</f>
        <v>0</v>
      </c>
    </row>
    <row r="189" spans="1:45">
      <c r="A189" s="37"/>
      <c r="B189" s="50" t="s">
        <v>10</v>
      </c>
      <c r="C189" s="8"/>
      <c r="D189" s="8"/>
      <c r="E189" s="8"/>
      <c r="F189" s="8"/>
      <c r="G189" s="8"/>
      <c r="H189" s="8"/>
      <c r="I189" s="8"/>
      <c r="J189" s="8"/>
      <c r="K189" s="8"/>
      <c r="L189" s="39"/>
      <c r="M189" s="50" t="s">
        <v>10</v>
      </c>
      <c r="N189" s="8"/>
      <c r="O189" s="8"/>
      <c r="P189" s="8"/>
      <c r="Q189" s="8"/>
      <c r="R189" s="8"/>
      <c r="S189" s="8"/>
      <c r="T189" s="8"/>
      <c r="U189" s="8"/>
      <c r="V189" s="8"/>
      <c r="W189" s="13"/>
      <c r="X189" s="8"/>
      <c r="Y189" s="9"/>
      <c r="Z189" s="9"/>
      <c r="AA189" s="9"/>
      <c r="AB189" s="9"/>
      <c r="AC189" s="9"/>
      <c r="AD189" s="9"/>
      <c r="AE189" s="9"/>
      <c r="AF189" s="8"/>
      <c r="AG189" s="8"/>
      <c r="AH189" s="8"/>
      <c r="AI189" s="8"/>
      <c r="AJ189" s="39"/>
      <c r="AK189" s="50" t="s">
        <v>11</v>
      </c>
      <c r="AL189" s="8"/>
      <c r="AM189" s="8"/>
      <c r="AN189" s="8"/>
      <c r="AO189" s="8"/>
      <c r="AP189" s="8"/>
      <c r="AQ189" s="8"/>
      <c r="AS189" s="1" t="str">
        <f>SUM(N190:AI190)</f>
        <v>0</v>
      </c>
    </row>
    <row r="190" spans="1:45">
      <c r="A190" s="37"/>
      <c r="B190" s="50" t="s">
        <v>11</v>
      </c>
      <c r="C190" s="8"/>
      <c r="D190" s="8"/>
      <c r="E190" s="8"/>
      <c r="F190" s="8"/>
      <c r="G190" s="8"/>
      <c r="H190" s="8"/>
      <c r="I190" s="8"/>
      <c r="J190" s="8"/>
      <c r="K190" s="8"/>
      <c r="L190" s="39"/>
      <c r="M190" s="50" t="s">
        <v>11</v>
      </c>
      <c r="N190" s="8"/>
      <c r="O190" s="8"/>
      <c r="P190" s="8"/>
      <c r="Q190" s="8"/>
      <c r="R190" s="8"/>
      <c r="S190" s="8"/>
      <c r="T190" s="8"/>
      <c r="U190" s="8"/>
      <c r="V190" s="8"/>
      <c r="W190" s="13"/>
      <c r="X190" s="8"/>
      <c r="Y190" s="9"/>
      <c r="Z190" s="9"/>
      <c r="AA190" s="9"/>
      <c r="AB190" s="9"/>
      <c r="AC190" s="9"/>
      <c r="AD190" s="9"/>
      <c r="AE190" s="9"/>
      <c r="AF190" s="8"/>
      <c r="AG190" s="8"/>
      <c r="AH190" s="8"/>
      <c r="AI190" s="8"/>
      <c r="AJ190" s="39"/>
      <c r="AK190" s="50" t="s">
        <v>12</v>
      </c>
      <c r="AL190" s="8"/>
      <c r="AM190" s="8"/>
      <c r="AN190" s="8"/>
      <c r="AO190" s="8"/>
      <c r="AP190" s="8"/>
      <c r="AQ190" s="8"/>
    </row>
    <row r="191" spans="1:45">
      <c r="A191" s="37"/>
      <c r="B191" s="50" t="s">
        <v>12</v>
      </c>
      <c r="C191" s="8"/>
      <c r="D191" s="8"/>
      <c r="E191" s="8"/>
      <c r="F191" s="8"/>
      <c r="G191" s="8"/>
      <c r="H191" s="8"/>
      <c r="I191" s="8"/>
      <c r="J191" s="8"/>
      <c r="K191" s="8"/>
      <c r="L191" s="39"/>
      <c r="M191" s="50" t="s">
        <v>12</v>
      </c>
      <c r="N191" s="8"/>
      <c r="O191" s="8"/>
      <c r="P191" s="8"/>
      <c r="Q191" s="8"/>
      <c r="R191" s="8"/>
      <c r="S191" s="8"/>
      <c r="T191" s="8"/>
      <c r="U191" s="8"/>
      <c r="V191" s="8"/>
      <c r="W191" s="13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39"/>
      <c r="AK191" s="50" t="s">
        <v>13</v>
      </c>
      <c r="AL191" s="8"/>
      <c r="AM191" s="8"/>
      <c r="AN191" s="8"/>
      <c r="AO191" s="8"/>
      <c r="AP191" s="8"/>
      <c r="AQ191" s="8"/>
    </row>
    <row r="192" spans="1:45">
      <c r="A192" s="37"/>
      <c r="B192" s="50" t="s">
        <v>13</v>
      </c>
      <c r="C192" s="8"/>
      <c r="D192" s="8"/>
      <c r="E192" s="8"/>
      <c r="F192" s="8"/>
      <c r="G192" s="8"/>
      <c r="H192" s="8"/>
      <c r="I192" s="8"/>
      <c r="J192" s="8"/>
      <c r="K192" s="8"/>
      <c r="L192" s="39"/>
      <c r="M192" s="50" t="s">
        <v>13</v>
      </c>
      <c r="N192" s="8"/>
      <c r="O192" s="8"/>
      <c r="P192" s="8"/>
      <c r="Q192" s="8"/>
      <c r="R192" s="8"/>
      <c r="S192" s="8"/>
      <c r="T192" s="8"/>
      <c r="U192" s="8"/>
      <c r="V192" s="8"/>
      <c r="W192" s="13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39"/>
      <c r="AK192" s="50" t="s">
        <v>14</v>
      </c>
      <c r="AL192" s="8"/>
      <c r="AM192" s="8"/>
      <c r="AN192" s="8"/>
      <c r="AO192" s="8"/>
      <c r="AP192" s="8"/>
      <c r="AQ192" s="8"/>
    </row>
    <row r="193" spans="1:45">
      <c r="A193" s="40"/>
      <c r="B193" s="53" t="s">
        <v>14</v>
      </c>
      <c r="C193" s="8"/>
      <c r="D193" s="8"/>
      <c r="E193" s="8"/>
      <c r="F193" s="8"/>
      <c r="G193" s="8"/>
      <c r="H193" s="8"/>
      <c r="I193" s="8"/>
      <c r="J193" s="8"/>
      <c r="K193" s="8"/>
      <c r="L193" s="41"/>
      <c r="M193" s="59" t="s">
        <v>14</v>
      </c>
      <c r="N193" s="8"/>
      <c r="O193" s="8"/>
      <c r="P193" s="8"/>
      <c r="Q193" s="8"/>
      <c r="R193" s="8"/>
      <c r="S193" s="8"/>
      <c r="T193" s="8"/>
      <c r="U193" s="8"/>
      <c r="V193" s="8"/>
      <c r="W193" s="13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K193" s="49"/>
      <c r="AL193" s="8"/>
      <c r="AM193" s="8"/>
      <c r="AN193" s="8"/>
      <c r="AO193" s="8"/>
      <c r="AP193" s="8"/>
      <c r="AQ193" s="8"/>
    </row>
    <row r="194" spans="1:45" customHeight="1" ht="15">
      <c r="A194" s="33"/>
      <c r="B194" s="54" t="s">
        <v>2</v>
      </c>
      <c r="C194" s="11" t="str">
        <f>IF(OR(C203="",C204="",C204=0),"",IFERROR(ROUND((C203*100000)/(C204*60*8),0),""))</f>
        <v>0</v>
      </c>
      <c r="D194" s="11" t="str">
        <f>IF(OR(D203="",D204="",D204=0),"",IFERROR(ROUND((D203*100000)/(D204*60*8),0),""))</f>
        <v>0</v>
      </c>
      <c r="E194" s="11" t="str">
        <f>IF(OR(E203="",E204="",E204=0),"",IFERROR(ROUND((E203*100000)/(E204*60*8),0),""))</f>
        <v>0</v>
      </c>
      <c r="F194" s="11" t="str">
        <f>IF(OR(F203="",F204="",F204=0),"",IFERROR(ROUND((F203*100000)/(F204*60*8),0),""))</f>
        <v>0</v>
      </c>
      <c r="G194" s="11" t="str">
        <f>IF(OR(G203="",G204="",G204=0),"",IFERROR(ROUND((G203*100000)/(G204*60*8),0),""))</f>
        <v>0</v>
      </c>
      <c r="H194" s="11" t="str">
        <f>IF(OR(H203="",H204="",H204=0),"",IFERROR(ROUND((H203*100000)/(H204*60*8),0),""))</f>
        <v>0</v>
      </c>
      <c r="I194" s="11" t="str">
        <f>IF(OR(I203="",I204="",I204=0),"",IFERROR(ROUND((I203*100000)/(I204*60*8),0),""))</f>
        <v>0</v>
      </c>
      <c r="J194" s="11" t="str">
        <f>IF(OR(J203="",J204="",J204=0),"",IFERROR(ROUND((J203*100000)/(J204*60*8),0),""))</f>
        <v>0</v>
      </c>
      <c r="K194" s="11" t="str">
        <f>IF(OR(K203="",K204="",K204=0),"",IFERROR(ROUND((K203*100000)/(K204*60*8),0),""))</f>
        <v>0</v>
      </c>
      <c r="L194" s="35"/>
      <c r="M194" s="60" t="s">
        <v>2</v>
      </c>
      <c r="N194" s="11" t="str">
        <f>IF(OR(N203="",N204="",N204=0),"",IFERROR(ROUND((N203*100000)/(N204*60*8),0),""))</f>
        <v>0</v>
      </c>
      <c r="O194" s="11" t="str">
        <f>IF(OR(O203="",O204="",O204=0),"",IFERROR(ROUND((O203*100000)/(O204*60*8),0),""))</f>
        <v>0</v>
      </c>
      <c r="P194" s="11" t="str">
        <f>IF(OR(P203="",P204="",P204=0),"",IFERROR(ROUND((P203*100000)/(P204*60*8),0),""))</f>
        <v>0</v>
      </c>
      <c r="Q194" s="11" t="str">
        <f>IF(OR(Q203="",Q204="",Q204=0),"",IFERROR(ROUND((Q203*100000)/(Q204*60*8),0),""))</f>
        <v>0</v>
      </c>
      <c r="R194" s="11" t="str">
        <f>IF(OR(R203="",R204="",R204=0),"",IFERROR(ROUND((R203*100000)/(R204*60*8),0),""))</f>
        <v>0</v>
      </c>
      <c r="S194" s="11" t="str">
        <f>IF(OR(S203="",S204="",S204=0),"",IFERROR(ROUND((S203*100000)/(S204*60*8),0),""))</f>
        <v>0</v>
      </c>
      <c r="T194" s="11" t="str">
        <f>IF(OR(T203="",T204="",T204=0),"",IFERROR(ROUND((T203*100000)/(T204*60*8),0),""))</f>
        <v>0</v>
      </c>
      <c r="U194" s="11" t="str">
        <f>IF(OR(U203="",U204="",U204=0),"",IFERROR(ROUND((U203*100000)/(U204*60*8),0),""))</f>
        <v>0</v>
      </c>
      <c r="V194" s="11" t="str">
        <f>IF(OR(V203="",V204="",V204=0),"",IFERROR(ROUND((V203*100000)/(V204*60*8),0),""))</f>
        <v>0</v>
      </c>
      <c r="W194" s="13" t="str">
        <f>IF(OR(W203="",W204="",W204=0),"",IFERROR(ROUND((W203*100000)/(W204*60*8),0),""))</f>
        <v>0</v>
      </c>
      <c r="X194" s="11" t="str">
        <f>IF(OR(X203="",X204="",X204=0),"",IFERROR(ROUND((X203*100000)/(X204*60*8),0),""))</f>
        <v>0</v>
      </c>
      <c r="Y194" s="11" t="str">
        <f>IF(OR(Y203="",Y204="",Y204=0),"",IFERROR(ROUND((Y203*100000)/(Y204*60*8),0),""))</f>
        <v>0</v>
      </c>
      <c r="Z194" s="11" t="str">
        <f>IF(OR(Z203="",Z204="",Z204=0),"",IFERROR(ROUND((Z203*100000)/(Z204*60*8),0),""))</f>
        <v>0</v>
      </c>
      <c r="AA194" s="11" t="str">
        <f>IF(OR(AA203="",AA204="",AA204=0),"",IFERROR(ROUND((AA203*100000)/(AA204*60*8),0),""))</f>
        <v>0</v>
      </c>
      <c r="AB194" s="11" t="str">
        <f>IF(OR(AB203="",AB204="",AB204=0),"",IFERROR(ROUND((AB203*100000)/(AB204*60*8),0),""))</f>
        <v>0</v>
      </c>
      <c r="AC194" s="11" t="str">
        <f>IF(OR(AC203="",AC204="",AC204=0),"",IFERROR(ROUND((AC203*100000)/(AC204*60*8),0),""))</f>
        <v>0</v>
      </c>
      <c r="AD194" s="11" t="str">
        <f>IF(OR(AD203="",AD204="",AD204=0),"",IFERROR(ROUND((AD203*100000)/(AD204*60*8),0),""))</f>
        <v>0</v>
      </c>
      <c r="AE194" s="11" t="str">
        <f>IF(OR(AE203="",AE204="",AE204=0),"",IFERROR(ROUND((AE203*100000)/(AE204*60*8),0),""))</f>
        <v>0</v>
      </c>
      <c r="AF194" s="11" t="str">
        <f>IF(OR(AF203="",AF204="",AF204=0),"",IFERROR(ROUND((AF203*100000)/(AF204*60*8),0),""))</f>
        <v>0</v>
      </c>
      <c r="AG194" s="11" t="str">
        <f>IF(OR(AG203="",AG204="",AG204=0),"",IFERROR(ROUND((AG203*100000)/(AG204*60*8),0),""))</f>
        <v>0</v>
      </c>
      <c r="AH194" s="11" t="str">
        <f>IF(OR(AH203="",AH204="",AH204=0),"",IFERROR(ROUND((AH203*100000)/(AH204*60*8),0),""))</f>
        <v>0</v>
      </c>
      <c r="AI194" s="11" t="str">
        <f>IF(OR(AI203="",AI204="",AI204=0),"",IFERROR(ROUND((AI203*100000)/(AI204*60*8),0),""))</f>
        <v>0</v>
      </c>
      <c r="AJ194" s="36"/>
      <c r="AK194" s="50" t="s">
        <v>2</v>
      </c>
      <c r="AL194" s="11" t="str">
        <f>IF(OR(AL202="",AL203="",AL203=0),"",IFERROR(ROUND((AL202*100000)/(AL203*60*8),0),""))</f>
        <v>0</v>
      </c>
      <c r="AM194" s="11" t="str">
        <f>IF(OR(AM202="",AM203="",AM203=0),"",IFERROR(ROUND((AM202*100000)/(AM203*60*8),0),""))</f>
        <v>0</v>
      </c>
      <c r="AN194" s="11" t="str">
        <f>IF(OR(AN202="",AN203="",AN203=0),"",IFERROR(ROUND((AN202*100000)/(AN203*60*8),0),""))</f>
        <v>0</v>
      </c>
      <c r="AO194" s="11" t="str">
        <f>IF(OR(AO202="",AO203="",AO203=0),"",IFERROR(ROUND((AO202*100000)/(AO203*60*8),0),""))</f>
        <v>0</v>
      </c>
      <c r="AP194" s="11" t="str">
        <f>IF(OR(AP202="",AP203="",AP203=0),"",IFERROR(ROUND((AP202*100000)/(AP203*60*8),0),""))</f>
        <v>0</v>
      </c>
      <c r="AQ194" s="11" t="str">
        <f>IF(OR(AQ202="",AQ203="",AQ203=0),"",IFERROR(ROUND((AQ202*100000)/(AQ203*60*8),0),""))</f>
        <v>0</v>
      </c>
      <c r="AS194" s="1" t="str">
        <f>SUM(N195:AI195)</f>
        <v>0</v>
      </c>
    </row>
    <row r="195" spans="1:45">
      <c r="A195" s="34"/>
      <c r="B195" s="50" t="s">
        <v>3</v>
      </c>
      <c r="C195" s="8"/>
      <c r="D195" s="8"/>
      <c r="E195" s="8"/>
      <c r="F195" s="8"/>
      <c r="G195" s="8"/>
      <c r="H195" s="8"/>
      <c r="I195" s="8"/>
      <c r="J195" s="8"/>
      <c r="K195" s="8"/>
      <c r="L195" s="36"/>
      <c r="M195" s="50" t="s">
        <v>3</v>
      </c>
      <c r="N195" s="8"/>
      <c r="O195" s="8"/>
      <c r="P195" s="8"/>
      <c r="Q195" s="8"/>
      <c r="R195" s="8"/>
      <c r="S195" s="8"/>
      <c r="T195" s="8"/>
      <c r="U195" s="8"/>
      <c r="V195" s="8"/>
      <c r="W195" s="13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8"/>
      <c r="AI195" s="8"/>
      <c r="AJ195" s="36"/>
      <c r="AK195" s="50" t="s">
        <v>3</v>
      </c>
      <c r="AL195" s="8"/>
      <c r="AM195" s="8"/>
      <c r="AN195" s="8"/>
      <c r="AO195" s="8"/>
      <c r="AP195" s="8"/>
      <c r="AQ195" s="8"/>
      <c r="AS195" s="1" t="str">
        <f>SUM(N196:AI196)</f>
        <v>0</v>
      </c>
    </row>
    <row r="196" spans="1:45">
      <c r="A196" s="34"/>
      <c r="B196" s="50" t="s">
        <v>4</v>
      </c>
      <c r="C196" s="8"/>
      <c r="D196" s="8"/>
      <c r="E196" s="8"/>
      <c r="F196" s="8"/>
      <c r="G196" s="8"/>
      <c r="H196" s="8"/>
      <c r="I196" s="8"/>
      <c r="J196" s="8"/>
      <c r="K196" s="8"/>
      <c r="L196" s="36"/>
      <c r="M196" s="50" t="s">
        <v>4</v>
      </c>
      <c r="N196" s="8"/>
      <c r="O196" s="8"/>
      <c r="P196" s="8"/>
      <c r="Q196" s="8"/>
      <c r="R196" s="8"/>
      <c r="S196" s="8"/>
      <c r="T196" s="8"/>
      <c r="U196" s="8"/>
      <c r="V196" s="8"/>
      <c r="W196" s="13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8"/>
      <c r="AI196" s="8"/>
      <c r="AJ196" s="36"/>
      <c r="AK196" s="50" t="s">
        <v>4</v>
      </c>
      <c r="AL196" s="8"/>
      <c r="AM196" s="8"/>
      <c r="AN196" s="8"/>
      <c r="AO196" s="8"/>
      <c r="AP196" s="8"/>
      <c r="AQ196" s="8"/>
      <c r="AS196" s="1" t="str">
        <f>SUM(N197:AI197)</f>
        <v>0</v>
      </c>
    </row>
    <row r="197" spans="1:45">
      <c r="A197" s="34"/>
      <c r="B197" s="50" t="s">
        <v>5</v>
      </c>
      <c r="C197" s="8"/>
      <c r="D197" s="8"/>
      <c r="E197" s="9"/>
      <c r="F197" s="9"/>
      <c r="G197" s="9"/>
      <c r="H197" s="9"/>
      <c r="I197" s="8"/>
      <c r="J197" s="8"/>
      <c r="K197" s="8"/>
      <c r="L197" s="36"/>
      <c r="M197" s="50" t="s">
        <v>5</v>
      </c>
      <c r="N197" s="8"/>
      <c r="O197" s="8"/>
      <c r="P197" s="8"/>
      <c r="Q197" s="8"/>
      <c r="R197" s="8"/>
      <c r="S197" s="8"/>
      <c r="T197" s="8"/>
      <c r="U197" s="8"/>
      <c r="V197" s="8"/>
      <c r="W197" s="13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8"/>
      <c r="AI197" s="8"/>
      <c r="AJ197" s="36"/>
      <c r="AK197" s="50" t="s">
        <v>5</v>
      </c>
      <c r="AL197" s="8"/>
      <c r="AM197" s="8"/>
      <c r="AN197" s="8"/>
      <c r="AO197" s="8"/>
      <c r="AP197" s="8"/>
      <c r="AQ197" s="8"/>
      <c r="AS197" s="1" t="str">
        <f>SUM(N198:AI198)</f>
        <v>0</v>
      </c>
    </row>
    <row r="198" spans="1:45">
      <c r="A198" s="34"/>
      <c r="B198" s="50" t="s">
        <v>6</v>
      </c>
      <c r="C198" s="8"/>
      <c r="D198" s="8"/>
      <c r="E198" s="9"/>
      <c r="F198" s="9"/>
      <c r="G198" s="9"/>
      <c r="H198" s="9"/>
      <c r="I198" s="8"/>
      <c r="J198" s="8"/>
      <c r="K198" s="8"/>
      <c r="L198" s="36"/>
      <c r="M198" s="50" t="s">
        <v>6</v>
      </c>
      <c r="N198" s="8"/>
      <c r="O198" s="8"/>
      <c r="P198" s="8"/>
      <c r="Q198" s="8"/>
      <c r="R198" s="8"/>
      <c r="S198" s="8"/>
      <c r="T198" s="8"/>
      <c r="U198" s="8"/>
      <c r="V198" s="8"/>
      <c r="W198" s="13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8"/>
      <c r="AI198" s="8"/>
      <c r="AJ198" s="36"/>
      <c r="AK198" s="50" t="s">
        <v>7</v>
      </c>
      <c r="AL198" s="8"/>
      <c r="AM198" s="8"/>
      <c r="AN198" s="8"/>
      <c r="AO198" s="8"/>
      <c r="AP198" s="8"/>
      <c r="AQ198" s="8"/>
      <c r="AS198" s="1" t="str">
        <f>SUM(N199:AI199)</f>
        <v>0</v>
      </c>
    </row>
    <row r="199" spans="1:45">
      <c r="A199" s="34"/>
      <c r="B199" s="50" t="s">
        <v>7</v>
      </c>
      <c r="C199" s="8"/>
      <c r="D199" s="8"/>
      <c r="E199" s="9"/>
      <c r="F199" s="9"/>
      <c r="G199" s="9"/>
      <c r="H199" s="9"/>
      <c r="I199" s="8"/>
      <c r="J199" s="8"/>
      <c r="K199" s="8"/>
      <c r="L199" s="36"/>
      <c r="M199" s="50" t="s">
        <v>7</v>
      </c>
      <c r="N199" s="8"/>
      <c r="O199" s="8"/>
      <c r="P199" s="8"/>
      <c r="Q199" s="8"/>
      <c r="R199" s="8"/>
      <c r="S199" s="8"/>
      <c r="T199" s="8"/>
      <c r="U199" s="8"/>
      <c r="V199" s="8"/>
      <c r="W199" s="13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8"/>
      <c r="AI199" s="8"/>
      <c r="AJ199" s="36"/>
      <c r="AK199" s="50" t="s">
        <v>8</v>
      </c>
      <c r="AL199" s="8">
        <v>3</v>
      </c>
      <c r="AM199" s="8"/>
      <c r="AN199" s="8"/>
      <c r="AO199" s="8"/>
      <c r="AP199" s="8"/>
      <c r="AQ199" s="8"/>
      <c r="AS199" s="1" t="str">
        <f>SUM(N200:AI200)</f>
        <v>0</v>
      </c>
    </row>
    <row r="200" spans="1:45">
      <c r="A200" s="37"/>
      <c r="B200" s="50" t="s">
        <v>10</v>
      </c>
      <c r="C200" s="8"/>
      <c r="D200" s="8"/>
      <c r="E200" s="9"/>
      <c r="F200" s="9"/>
      <c r="G200" s="9"/>
      <c r="H200" s="9"/>
      <c r="I200" s="8"/>
      <c r="J200" s="8"/>
      <c r="K200" s="8"/>
      <c r="L200" s="39"/>
      <c r="M200" s="50" t="s">
        <v>10</v>
      </c>
      <c r="N200" s="8"/>
      <c r="O200" s="8"/>
      <c r="P200" s="8"/>
      <c r="Q200" s="8"/>
      <c r="R200" s="8"/>
      <c r="S200" s="8"/>
      <c r="T200" s="8"/>
      <c r="U200" s="8"/>
      <c r="V200" s="8"/>
      <c r="W200" s="13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8"/>
      <c r="AI200" s="8"/>
      <c r="AJ200" s="39"/>
      <c r="AK200" s="50" t="s">
        <v>11</v>
      </c>
      <c r="AL200" s="8"/>
      <c r="AM200" s="8"/>
      <c r="AN200" s="8"/>
      <c r="AO200" s="8"/>
      <c r="AP200" s="8"/>
      <c r="AQ200" s="8"/>
      <c r="AS200" s="1" t="str">
        <f>SUM(N201:AI201)</f>
        <v>0</v>
      </c>
    </row>
    <row r="201" spans="1:45">
      <c r="A201" s="37"/>
      <c r="B201" s="50" t="s">
        <v>11</v>
      </c>
      <c r="C201" s="8"/>
      <c r="D201" s="8"/>
      <c r="E201" s="9"/>
      <c r="F201" s="9"/>
      <c r="G201" s="9"/>
      <c r="H201" s="9"/>
      <c r="I201" s="8"/>
      <c r="J201" s="8"/>
      <c r="K201" s="8"/>
      <c r="L201" s="39"/>
      <c r="M201" s="50" t="s">
        <v>11</v>
      </c>
      <c r="N201" s="8"/>
      <c r="O201" s="8"/>
      <c r="P201" s="8"/>
      <c r="Q201" s="8"/>
      <c r="R201" s="8"/>
      <c r="S201" s="8"/>
      <c r="T201" s="8"/>
      <c r="U201" s="8"/>
      <c r="V201" s="8"/>
      <c r="W201" s="13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8"/>
      <c r="AI201" s="8"/>
      <c r="AJ201" s="39"/>
      <c r="AK201" s="50" t="s">
        <v>12</v>
      </c>
      <c r="AL201" s="8"/>
      <c r="AM201" s="8"/>
      <c r="AN201" s="8"/>
      <c r="AO201" s="8"/>
      <c r="AP201" s="8"/>
      <c r="AQ201" s="8"/>
      <c r="AS201" s="1" t="str">
        <f>SUM(N202:AI202)</f>
        <v>0</v>
      </c>
    </row>
    <row r="202" spans="1:45">
      <c r="A202" s="37"/>
      <c r="B202" s="50" t="s">
        <v>12</v>
      </c>
      <c r="C202" s="8"/>
      <c r="D202" s="8"/>
      <c r="E202" s="9"/>
      <c r="F202" s="9"/>
      <c r="G202" s="9"/>
      <c r="H202" s="9"/>
      <c r="I202" s="8"/>
      <c r="J202" s="8"/>
      <c r="K202" s="8"/>
      <c r="L202" s="39"/>
      <c r="M202" s="50" t="s">
        <v>12</v>
      </c>
      <c r="N202" s="8"/>
      <c r="O202" s="8"/>
      <c r="P202" s="8"/>
      <c r="Q202" s="8"/>
      <c r="R202" s="8"/>
      <c r="S202" s="8"/>
      <c r="T202" s="8"/>
      <c r="U202" s="8"/>
      <c r="V202" s="8"/>
      <c r="W202" s="13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8"/>
      <c r="AI202" s="8"/>
      <c r="AJ202" s="39"/>
      <c r="AK202" s="50" t="s">
        <v>13</v>
      </c>
      <c r="AL202" s="8"/>
      <c r="AM202" s="8"/>
      <c r="AN202" s="8"/>
      <c r="AO202" s="8"/>
      <c r="AP202" s="8"/>
      <c r="AQ202" s="8"/>
    </row>
    <row r="203" spans="1:45">
      <c r="A203" s="37"/>
      <c r="B203" s="50" t="s">
        <v>13</v>
      </c>
      <c r="C203" s="8"/>
      <c r="D203" s="8"/>
      <c r="E203" s="9"/>
      <c r="F203" s="9"/>
      <c r="G203" s="9"/>
      <c r="H203" s="9"/>
      <c r="I203" s="8"/>
      <c r="J203" s="8"/>
      <c r="K203" s="8"/>
      <c r="L203" s="39"/>
      <c r="M203" s="50" t="s">
        <v>13</v>
      </c>
      <c r="N203" s="8"/>
      <c r="O203" s="8"/>
      <c r="P203" s="8"/>
      <c r="Q203" s="8"/>
      <c r="R203" s="8"/>
      <c r="S203" s="8"/>
      <c r="T203" s="8"/>
      <c r="U203" s="8"/>
      <c r="V203" s="8"/>
      <c r="W203" s="13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39"/>
      <c r="AK203" s="50" t="s">
        <v>14</v>
      </c>
      <c r="AL203" s="8"/>
      <c r="AM203" s="8"/>
      <c r="AN203" s="8"/>
      <c r="AO203" s="8"/>
      <c r="AP203" s="8"/>
      <c r="AQ203" s="8"/>
    </row>
    <row r="204" spans="1:45" customHeight="1" ht="15.75">
      <c r="A204" s="38"/>
      <c r="B204" s="52" t="s">
        <v>14</v>
      </c>
      <c r="C204" s="8"/>
      <c r="D204" s="8"/>
      <c r="E204" s="9"/>
      <c r="F204" s="9"/>
      <c r="G204" s="9"/>
      <c r="H204" s="9"/>
      <c r="I204" s="8"/>
      <c r="J204" s="8"/>
      <c r="K204" s="8"/>
      <c r="L204" s="39"/>
      <c r="M204" s="50" t="s">
        <v>14</v>
      </c>
      <c r="N204" s="8"/>
      <c r="O204" s="8"/>
      <c r="P204" s="8"/>
      <c r="Q204" s="8"/>
      <c r="R204" s="8"/>
      <c r="S204" s="8"/>
      <c r="T204" s="8"/>
      <c r="U204" s="8"/>
      <c r="V204" s="8"/>
      <c r="W204" s="13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K204" s="49"/>
      <c r="AL204" s="8"/>
      <c r="AM204" s="8"/>
      <c r="AN204" s="8"/>
      <c r="AO204" s="8"/>
      <c r="AP204" s="8"/>
      <c r="AQ204" s="8"/>
    </row>
    <row r="205" spans="1:45">
      <c r="A205" s="26"/>
      <c r="B205" s="49" t="s">
        <v>1</v>
      </c>
      <c r="C205" s="65">
        <v>201</v>
      </c>
      <c r="D205" s="65" t="str">
        <f>+C205+1</f>
        <v>0</v>
      </c>
      <c r="E205" s="65" t="str">
        <f>+D205+1</f>
        <v>0</v>
      </c>
      <c r="F205" s="65" t="str">
        <f>+E205+1</f>
        <v>0</v>
      </c>
      <c r="G205" s="65" t="str">
        <f>+F205+1</f>
        <v>0</v>
      </c>
      <c r="H205" s="65" t="str">
        <f>+G205+1</f>
        <v>0</v>
      </c>
      <c r="I205" s="65">
        <v>213</v>
      </c>
      <c r="J205" s="65" t="str">
        <f>+I205+1</f>
        <v>0</v>
      </c>
      <c r="K205" s="65" t="str">
        <f>+J205+1</f>
        <v>0</v>
      </c>
      <c r="L205" s="32"/>
      <c r="M205" s="48" t="s">
        <v>1</v>
      </c>
      <c r="N205" s="65">
        <v>299</v>
      </c>
      <c r="O205" s="65" t="str">
        <f>+N205+1</f>
        <v>0</v>
      </c>
      <c r="P205" s="65" t="str">
        <f>+O205+1</f>
        <v>0</v>
      </c>
      <c r="Q205" s="65" t="str">
        <f>+P205+1</f>
        <v>0</v>
      </c>
      <c r="R205" s="65" t="str">
        <f>+Q205+1</f>
        <v>0</v>
      </c>
      <c r="S205" s="65" t="str">
        <f>+R205+1</f>
        <v>0</v>
      </c>
      <c r="T205" s="65" t="str">
        <f>+S205+1</f>
        <v>0</v>
      </c>
      <c r="U205" s="65" t="str">
        <f>+T205+1</f>
        <v>0</v>
      </c>
      <c r="V205" s="65" t="str">
        <f>+U205+1</f>
        <v>0</v>
      </c>
      <c r="W205" s="65" t="str">
        <f>+V205+1</f>
        <v>0</v>
      </c>
      <c r="X205" s="65" t="str">
        <f>+W205+1</f>
        <v>0</v>
      </c>
      <c r="Y205" s="65" t="str">
        <f>+X205+1</f>
        <v>0</v>
      </c>
      <c r="Z205" s="65" t="str">
        <f>+Y205+1</f>
        <v>0</v>
      </c>
      <c r="AA205" s="65" t="str">
        <f>+Z205+1</f>
        <v>0</v>
      </c>
      <c r="AB205" s="65" t="str">
        <f>+AA205+1</f>
        <v>0</v>
      </c>
      <c r="AC205" s="65" t="str">
        <f>+AB205+1</f>
        <v>0</v>
      </c>
      <c r="AD205" s="65" t="str">
        <f>+AC205+1</f>
        <v>0</v>
      </c>
      <c r="AE205" s="65" t="str">
        <f>+AD205+1</f>
        <v>0</v>
      </c>
      <c r="AF205" s="65" t="str">
        <f>+AE205+1</f>
        <v>0</v>
      </c>
      <c r="AG205" s="65" t="str">
        <f>+AF205+1</f>
        <v>0</v>
      </c>
      <c r="AH205" s="65" t="str">
        <f>+AG205+1</f>
        <v>0</v>
      </c>
      <c r="AI205" s="65" t="str">
        <f>+AH205+1</f>
        <v>0</v>
      </c>
      <c r="AJ205" s="32"/>
      <c r="AK205" s="57" t="s">
        <v>1</v>
      </c>
      <c r="AL205" s="65">
        <v>207</v>
      </c>
      <c r="AM205" s="65" t="str">
        <f>+AL205+1</f>
        <v>0</v>
      </c>
      <c r="AN205" s="65" t="str">
        <f>+AM205+1</f>
        <v>0</v>
      </c>
      <c r="AO205" s="65" t="str">
        <f>+AN205+1</f>
        <v>0</v>
      </c>
      <c r="AP205" s="65" t="str">
        <f>+AO205+1</f>
        <v>0</v>
      </c>
      <c r="AQ205" s="65" t="str">
        <f>+AP205+1</f>
        <v>0</v>
      </c>
    </row>
    <row r="206" spans="1:45" customHeight="1" ht="15">
      <c r="A206" s="26"/>
      <c r="B206" s="49" t="s">
        <v>2</v>
      </c>
      <c r="C206" s="11" t="str">
        <f>IF(OR(C215="",C216="",C216=0),"",IFERROR(ROUND((C215*100000)/(C216*60*8),0),""))</f>
        <v>0</v>
      </c>
      <c r="D206" s="13" t="str">
        <f>IF(OR(D215="",D216="",D216=0),"",IFERROR(ROUND((D215*100000)/(D216*60*8),0),""))</f>
        <v>0</v>
      </c>
      <c r="E206" s="11" t="str">
        <f>IF(OR(E215="",E216="",E216=0),"",IFERROR(ROUND((E215*100000)/(E216*60*8),0),""))</f>
        <v>0</v>
      </c>
      <c r="F206" s="11" t="str">
        <f>IF(OR(F215="",F216="",F216=0),"",IFERROR(ROUND((F215*100000)/(F216*60*8),0),""))</f>
        <v>0</v>
      </c>
      <c r="G206" s="11" t="str">
        <f>IF(OR(G215="",G216="",G216=0),"",IFERROR(ROUND((G215*100000)/(G216*60*8),0),""))</f>
        <v>0</v>
      </c>
      <c r="H206" s="11" t="str">
        <f>IF(OR(H215="",H216="",H216=0),"",IFERROR(ROUND((H215*100000)/(H216*60*8),0),""))</f>
        <v>0</v>
      </c>
      <c r="I206" s="11" t="str">
        <f>IF(OR(I215="",I216="",I216=0),"",IFERROR(ROUND((I215*100000)/(I216*60*8),0),""))</f>
        <v>0</v>
      </c>
      <c r="J206" s="11" t="str">
        <f>IF(OR(J215="",J216="",J216=0),"",IFERROR(ROUND((J215*100000)/(J216*60*8),0),""))</f>
        <v>0</v>
      </c>
      <c r="K206" s="11" t="str">
        <f>IF(OR(K215="",K216="",K216=0),"",IFERROR(ROUND((K215*100000)/(K216*60*8),0),""))</f>
        <v>0</v>
      </c>
      <c r="L206" s="27"/>
      <c r="M206" s="50" t="s">
        <v>2</v>
      </c>
      <c r="N206" s="11" t="str">
        <f>IF(OR(N215="",N216="",N216=0),"",IFERROR(ROUND((N215*100000)/(N216*60*8),0),""))</f>
        <v>0</v>
      </c>
      <c r="O206" s="11" t="str">
        <f>IF(OR(O215="",O216="",O216=0),"",IFERROR(ROUND((O215*100000)/(O216*60*8),0),""))</f>
        <v>0</v>
      </c>
      <c r="P206" s="11" t="str">
        <f>IF(OR(P215="",P216="",P216=0),"",IFERROR(ROUND((P215*100000)/(P216*60*8),0),""))</f>
        <v>0</v>
      </c>
      <c r="Q206" s="11" t="str">
        <f>IF(OR(Q215="",Q216="",Q216=0),"",IFERROR(ROUND((Q215*100000)/(Q216*60*8),0),""))</f>
        <v>0</v>
      </c>
      <c r="R206" s="11" t="str">
        <f>IF(OR(R215="",R216="",R216=0),"",IFERROR(ROUND((R215*100000)/(R216*60*8),0),""))</f>
        <v>0</v>
      </c>
      <c r="S206" s="11" t="str">
        <f>IF(OR(S215="",S216="",S216=0),"",IFERROR(ROUND((S215*100000)/(S216*60*8),0),""))</f>
        <v>0</v>
      </c>
      <c r="T206" s="11" t="str">
        <f>IF(OR(T215="",T216="",T216=0),"",IFERROR(ROUND((T215*100000)/(T216*60*8),0),""))</f>
        <v>0</v>
      </c>
      <c r="U206" s="11" t="str">
        <f>IF(OR(U215="",U216="",U216=0),"",IFERROR(ROUND((U215*100000)/(U216*60*8),0),""))</f>
        <v>0</v>
      </c>
      <c r="V206" s="11" t="str">
        <f>IF(OR(V215="",V216="",V216=0),"",IFERROR(ROUND((V215*100000)/(V216*60*8),0),""))</f>
        <v>0</v>
      </c>
      <c r="W206" s="11" t="str">
        <f>IF(OR(W215="",W216="",W216=0),"",IFERROR(ROUND((W215*100000)/(W216*60*8),0),""))</f>
        <v>0</v>
      </c>
      <c r="X206" s="11" t="str">
        <f>IF(OR(X215="",X216="",X216=0),"",IFERROR(ROUND((X215*100000)/(X216*60*8),0),""))</f>
        <v>0</v>
      </c>
      <c r="Y206" s="13" t="str">
        <f>IF(OR(Y215="",Y216="",Y216=0),"",IFERROR(ROUND((Y215*100000)/(Y216*60*8),0),""))</f>
        <v>0</v>
      </c>
      <c r="Z206" s="11" t="str">
        <f>IF(OR(Z215="",Z216="",Z216=0),"",IFERROR(ROUND((Z215*100000)/(Z216*60*8),0),""))</f>
        <v>0</v>
      </c>
      <c r="AA206" s="11" t="str">
        <f>IF(OR(AA215="",AA216="",AA216=0),"",IFERROR(ROUND((AA215*100000)/(AA216*60*8),0),""))</f>
        <v>0</v>
      </c>
      <c r="AB206" s="11" t="str">
        <f>IF(OR(AB215="",AB216="",AB216=0),"",IFERROR(ROUND((AB215*100000)/(AB216*60*8),0),""))</f>
        <v>0</v>
      </c>
      <c r="AC206" s="11" t="str">
        <f>IF(OR(AC215="",AC216="",AC216=0),"",IFERROR(ROUND((AC215*100000)/(AC216*60*8),0),""))</f>
        <v>0</v>
      </c>
      <c r="AD206" s="11" t="str">
        <f>IF(OR(AD215="",AD216="",AD216=0),"",IFERROR(ROUND((AD215*100000)/(AD216*60*8),0),""))</f>
        <v>0</v>
      </c>
      <c r="AE206" s="11" t="str">
        <f>IF(OR(AE215="",AE216="",AE216=0),"",IFERROR(ROUND((AE215*100000)/(AE216*60*8),0),""))</f>
        <v>0</v>
      </c>
      <c r="AF206" s="11" t="str">
        <f>IF(OR(AF215="",AF216="",AF216=0),"",IFERROR(ROUND((AF215*100000)/(AF216*60*8),0),""))</f>
        <v>0</v>
      </c>
      <c r="AG206" s="11" t="str">
        <f>IF(OR(AG215="",AG216="",AG216=0),"",IFERROR(ROUND((AG215*100000)/(AG216*60*8),0),""))</f>
        <v>0</v>
      </c>
      <c r="AH206" s="11" t="str">
        <f>IF(OR(AH215="",AH216="",AH216=0),"",IFERROR(ROUND((AH215*100000)/(AH216*60*8),0),""))</f>
        <v>0</v>
      </c>
      <c r="AI206" s="11" t="str">
        <f>IF(OR(AI215="",AI216="",AI216=0),"",IFERROR(ROUND((AI215*100000)/(AI216*60*8),0),""))</f>
        <v>0</v>
      </c>
      <c r="AJ206" s="27"/>
      <c r="AK206" s="50" t="s">
        <v>2</v>
      </c>
      <c r="AL206" s="11" t="str">
        <f>IF(OR(AL214="",AL215="",AL215=0),"",IFERROR(ROUND((AL214*100000)/(AL215*60*8),0),""))</f>
        <v>0</v>
      </c>
      <c r="AM206" s="13" t="str">
        <f>IF(OR(AM214="",AM215="",AM215=0),"",IFERROR(ROUND((AM214*100000)/(AM215*60*8),0),""))</f>
        <v>0</v>
      </c>
      <c r="AN206" s="11" t="str">
        <f>IF(OR(AN214="",AN215="",AN215=0),"",IFERROR(ROUND((AN214*100000)/(AN215*60*8),0),""))</f>
        <v>0</v>
      </c>
      <c r="AO206" s="13" t="str">
        <f>IF(OR(AO214="",AO215="",AO215=0),"",IFERROR(ROUND((AO214*100000)/(AO215*60*8),0),""))</f>
        <v>0</v>
      </c>
      <c r="AP206" s="11" t="str">
        <f>IF(OR(AP214="",AP215="",AP215=0),"",IFERROR(ROUND((AP214*100000)/(AP215*60*8),0),""))</f>
        <v>0</v>
      </c>
      <c r="AQ206" s="11" t="str">
        <f>IF(OR(AQ214="",AQ215="",AQ215=0),"",IFERROR(ROUND((AQ214*100000)/(AQ215*60*8),0),""))</f>
        <v>0</v>
      </c>
      <c r="AS206" s="1" t="str">
        <f>SUM(N207:AI207)</f>
        <v>0</v>
      </c>
    </row>
    <row r="207" spans="1:45">
      <c r="A207" s="26"/>
      <c r="B207" s="50" t="s">
        <v>3</v>
      </c>
      <c r="C207" s="8"/>
      <c r="D207" s="10"/>
      <c r="E207" s="9"/>
      <c r="F207" s="9"/>
      <c r="G207" s="9"/>
      <c r="H207" s="8"/>
      <c r="I207" s="8"/>
      <c r="J207" s="8"/>
      <c r="K207" s="8"/>
      <c r="L207" s="27"/>
      <c r="M207" s="50" t="s">
        <v>3</v>
      </c>
      <c r="N207" s="8"/>
      <c r="O207" s="8"/>
      <c r="P207" s="8"/>
      <c r="Q207" s="8"/>
      <c r="R207" s="8"/>
      <c r="S207" s="8"/>
      <c r="T207" s="8"/>
      <c r="U207" s="9"/>
      <c r="V207" s="9"/>
      <c r="W207" s="9"/>
      <c r="X207" s="9"/>
      <c r="Y207" s="13"/>
      <c r="Z207" s="9"/>
      <c r="AA207" s="9"/>
      <c r="AB207" s="8"/>
      <c r="AC207" s="8"/>
      <c r="AD207" s="8"/>
      <c r="AE207" s="8"/>
      <c r="AF207" s="8"/>
      <c r="AG207" s="8"/>
      <c r="AH207" s="8"/>
      <c r="AI207" s="8"/>
      <c r="AJ207" s="27"/>
      <c r="AK207" s="50" t="s">
        <v>3</v>
      </c>
      <c r="AL207" s="8"/>
      <c r="AM207" s="17"/>
      <c r="AN207" s="8"/>
      <c r="AO207" s="17"/>
      <c r="AP207" s="8"/>
      <c r="AQ207" s="8"/>
      <c r="AR207" s="6"/>
      <c r="AS207" s="1" t="str">
        <f>SUM(N208:AI208)</f>
        <v>0</v>
      </c>
    </row>
    <row r="208" spans="1:45">
      <c r="A208" s="26"/>
      <c r="B208" s="50" t="s">
        <v>4</v>
      </c>
      <c r="C208" s="8"/>
      <c r="D208" s="10"/>
      <c r="E208" s="9"/>
      <c r="F208" s="9"/>
      <c r="G208" s="9"/>
      <c r="H208" s="8"/>
      <c r="I208" s="8"/>
      <c r="J208" s="8"/>
      <c r="K208" s="8"/>
      <c r="L208" s="27"/>
      <c r="M208" s="50" t="s">
        <v>4</v>
      </c>
      <c r="N208" s="8"/>
      <c r="O208" s="8"/>
      <c r="P208" s="8"/>
      <c r="Q208" s="8"/>
      <c r="R208" s="8"/>
      <c r="S208" s="8"/>
      <c r="T208" s="8"/>
      <c r="U208" s="9"/>
      <c r="V208" s="9"/>
      <c r="W208" s="9"/>
      <c r="X208" s="9"/>
      <c r="Y208" s="13"/>
      <c r="Z208" s="9"/>
      <c r="AA208" s="9"/>
      <c r="AB208" s="8"/>
      <c r="AC208" s="8"/>
      <c r="AD208" s="8"/>
      <c r="AE208" s="8"/>
      <c r="AF208" s="8"/>
      <c r="AG208" s="8"/>
      <c r="AH208" s="8"/>
      <c r="AI208" s="8"/>
      <c r="AJ208" s="27"/>
      <c r="AK208" s="50" t="s">
        <v>4</v>
      </c>
      <c r="AL208" s="8"/>
      <c r="AM208" s="17"/>
      <c r="AN208" s="8"/>
      <c r="AO208" s="17"/>
      <c r="AP208" s="8"/>
      <c r="AQ208" s="8"/>
      <c r="AS208" s="1" t="str">
        <f>SUM(N209:AI209)</f>
        <v>0</v>
      </c>
    </row>
    <row r="209" spans="1:45">
      <c r="A209" s="26"/>
      <c r="B209" s="50" t="s">
        <v>5</v>
      </c>
      <c r="C209" s="8"/>
      <c r="D209" s="10"/>
      <c r="E209" s="9"/>
      <c r="F209" s="9"/>
      <c r="G209" s="9"/>
      <c r="H209" s="8"/>
      <c r="I209" s="8"/>
      <c r="J209" s="8"/>
      <c r="K209" s="8"/>
      <c r="L209" s="27"/>
      <c r="M209" s="50" t="s">
        <v>5</v>
      </c>
      <c r="N209" s="8"/>
      <c r="O209" s="8"/>
      <c r="P209" s="8"/>
      <c r="Q209" s="8"/>
      <c r="R209" s="8"/>
      <c r="S209" s="8"/>
      <c r="T209" s="8"/>
      <c r="U209" s="9"/>
      <c r="V209" s="9"/>
      <c r="W209" s="9"/>
      <c r="X209" s="9"/>
      <c r="Y209" s="13"/>
      <c r="Z209" s="9"/>
      <c r="AA209" s="9"/>
      <c r="AB209" s="8"/>
      <c r="AC209" s="8"/>
      <c r="AD209" s="8"/>
      <c r="AE209" s="8"/>
      <c r="AF209" s="8"/>
      <c r="AG209" s="8"/>
      <c r="AH209" s="8"/>
      <c r="AI209" s="8"/>
      <c r="AJ209" s="27"/>
      <c r="AK209" s="50" t="s">
        <v>5</v>
      </c>
      <c r="AL209" s="8"/>
      <c r="AM209" s="17"/>
      <c r="AN209" s="8"/>
      <c r="AO209" s="17"/>
      <c r="AP209" s="8"/>
      <c r="AQ209" s="8"/>
      <c r="AS209" s="1" t="str">
        <f>SUM(N210:AI210)</f>
        <v>0</v>
      </c>
    </row>
    <row r="210" spans="1:45">
      <c r="A210" s="26"/>
      <c r="B210" s="50" t="s">
        <v>6</v>
      </c>
      <c r="C210" s="8"/>
      <c r="D210" s="10"/>
      <c r="E210" s="9"/>
      <c r="F210" s="9"/>
      <c r="G210" s="9"/>
      <c r="H210" s="8"/>
      <c r="I210" s="8"/>
      <c r="J210" s="8"/>
      <c r="K210" s="8"/>
      <c r="L210" s="27"/>
      <c r="M210" s="50" t="s">
        <v>6</v>
      </c>
      <c r="N210" s="8"/>
      <c r="O210" s="8"/>
      <c r="P210" s="8"/>
      <c r="Q210" s="8"/>
      <c r="R210" s="8"/>
      <c r="S210" s="8"/>
      <c r="T210" s="8"/>
      <c r="U210" s="9"/>
      <c r="V210" s="9"/>
      <c r="W210" s="9"/>
      <c r="X210" s="9"/>
      <c r="Y210" s="13"/>
      <c r="Z210" s="9"/>
      <c r="AA210" s="9"/>
      <c r="AB210" s="8"/>
      <c r="AC210" s="8"/>
      <c r="AD210" s="8"/>
      <c r="AE210" s="8"/>
      <c r="AF210" s="8"/>
      <c r="AG210" s="8"/>
      <c r="AH210" s="8"/>
      <c r="AI210" s="8"/>
      <c r="AJ210" s="27"/>
      <c r="AK210" s="50" t="s">
        <v>7</v>
      </c>
      <c r="AL210" s="8"/>
      <c r="AM210" s="17"/>
      <c r="AN210" s="8"/>
      <c r="AO210" s="17"/>
      <c r="AP210" s="8"/>
      <c r="AQ210" s="8"/>
      <c r="AS210" s="1" t="str">
        <f>SUM(N211:AI211)</f>
        <v>0</v>
      </c>
    </row>
    <row r="211" spans="1:45">
      <c r="A211" s="26"/>
      <c r="B211" s="50" t="s">
        <v>7</v>
      </c>
      <c r="C211" s="8"/>
      <c r="D211" s="10"/>
      <c r="E211" s="9"/>
      <c r="F211" s="9"/>
      <c r="G211" s="9"/>
      <c r="H211" s="8"/>
      <c r="I211" s="8"/>
      <c r="J211" s="8"/>
      <c r="K211" s="8"/>
      <c r="L211" s="27"/>
      <c r="M211" s="50" t="s">
        <v>7</v>
      </c>
      <c r="N211" s="8"/>
      <c r="O211" s="8"/>
      <c r="P211" s="8"/>
      <c r="Q211" s="8"/>
      <c r="R211" s="8"/>
      <c r="S211" s="8"/>
      <c r="T211" s="8"/>
      <c r="U211" s="9"/>
      <c r="V211" s="9"/>
      <c r="W211" s="9"/>
      <c r="X211" s="9"/>
      <c r="Y211" s="13"/>
      <c r="Z211" s="9"/>
      <c r="AA211" s="9"/>
      <c r="AB211" s="8"/>
      <c r="AC211" s="8"/>
      <c r="AD211" s="8"/>
      <c r="AE211" s="8"/>
      <c r="AF211" s="8"/>
      <c r="AG211" s="8"/>
      <c r="AH211" s="8"/>
      <c r="AI211" s="8"/>
      <c r="AJ211" s="7"/>
      <c r="AK211" s="50" t="s">
        <v>8</v>
      </c>
      <c r="AL211" s="8">
        <v>4</v>
      </c>
      <c r="AM211" s="17"/>
      <c r="AN211" s="8">
        <v>5</v>
      </c>
      <c r="AO211" s="17"/>
      <c r="AP211" s="8">
        <v>5</v>
      </c>
      <c r="AQ211" s="8"/>
      <c r="AS211" s="1" t="str">
        <f>SUM(N212:AI212)</f>
        <v>0</v>
      </c>
    </row>
    <row r="212" spans="1:45">
      <c r="A212" s="31"/>
      <c r="B212" s="50" t="s">
        <v>10</v>
      </c>
      <c r="C212" s="8"/>
      <c r="D212" s="10"/>
      <c r="E212" s="9"/>
      <c r="F212" s="9"/>
      <c r="G212" s="9"/>
      <c r="H212" s="8"/>
      <c r="I212" s="8"/>
      <c r="J212" s="8"/>
      <c r="K212" s="8"/>
      <c r="L212" s="25"/>
      <c r="M212" s="50" t="s">
        <v>10</v>
      </c>
      <c r="N212" s="8"/>
      <c r="O212" s="8"/>
      <c r="P212" s="8"/>
      <c r="Q212" s="8"/>
      <c r="R212" s="8"/>
      <c r="S212" s="8"/>
      <c r="T212" s="8"/>
      <c r="U212" s="9"/>
      <c r="V212" s="9"/>
      <c r="W212" s="9"/>
      <c r="X212" s="9"/>
      <c r="Y212" s="13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25"/>
      <c r="AK212" s="50" t="s">
        <v>11</v>
      </c>
      <c r="AL212" s="8"/>
      <c r="AM212" s="17"/>
      <c r="AN212" s="8"/>
      <c r="AO212" s="17"/>
      <c r="AP212" s="8"/>
      <c r="AQ212" s="8"/>
      <c r="AS212" s="1" t="str">
        <f>SUM(N213:AI213)</f>
        <v>0</v>
      </c>
    </row>
    <row r="213" spans="1:45">
      <c r="A213" s="31"/>
      <c r="B213" s="50" t="s">
        <v>11</v>
      </c>
      <c r="C213" s="8"/>
      <c r="D213" s="10"/>
      <c r="E213" s="9"/>
      <c r="F213" s="9"/>
      <c r="G213" s="9"/>
      <c r="H213" s="8"/>
      <c r="I213" s="8"/>
      <c r="J213" s="8"/>
      <c r="K213" s="8"/>
      <c r="L213" s="25"/>
      <c r="M213" s="50" t="s">
        <v>11</v>
      </c>
      <c r="N213" s="8"/>
      <c r="O213" s="8"/>
      <c r="P213" s="8"/>
      <c r="Q213" s="8"/>
      <c r="R213" s="8"/>
      <c r="S213" s="8"/>
      <c r="T213" s="8"/>
      <c r="U213" s="9"/>
      <c r="V213" s="9"/>
      <c r="W213" s="9"/>
      <c r="X213" s="9"/>
      <c r="Y213" s="13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25"/>
      <c r="AK213" s="50" t="s">
        <v>12</v>
      </c>
      <c r="AL213" s="8"/>
      <c r="AM213" s="17"/>
      <c r="AN213" s="8"/>
      <c r="AO213" s="17"/>
      <c r="AP213" s="8"/>
      <c r="AQ213" s="8"/>
    </row>
    <row r="214" spans="1:45">
      <c r="A214" s="31"/>
      <c r="B214" s="50" t="s">
        <v>12</v>
      </c>
      <c r="C214" s="8"/>
      <c r="D214" s="10"/>
      <c r="E214" s="9"/>
      <c r="F214" s="9"/>
      <c r="G214" s="9"/>
      <c r="H214" s="8"/>
      <c r="I214" s="8"/>
      <c r="J214" s="8"/>
      <c r="K214" s="8"/>
      <c r="L214" s="25"/>
      <c r="M214" s="50" t="s">
        <v>12</v>
      </c>
      <c r="N214" s="8"/>
      <c r="O214" s="8"/>
      <c r="P214" s="8"/>
      <c r="Q214" s="8"/>
      <c r="R214" s="8"/>
      <c r="S214" s="8"/>
      <c r="T214" s="8"/>
      <c r="U214" s="9"/>
      <c r="V214" s="9"/>
      <c r="W214" s="9"/>
      <c r="X214" s="9"/>
      <c r="Y214" s="13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25"/>
      <c r="AK214" s="50" t="s">
        <v>13</v>
      </c>
      <c r="AL214" s="8"/>
      <c r="AM214" s="17"/>
      <c r="AN214" s="8"/>
      <c r="AO214" s="17"/>
      <c r="AP214" s="8"/>
      <c r="AQ214" s="8"/>
    </row>
    <row r="215" spans="1:45">
      <c r="A215" s="31"/>
      <c r="B215" s="50" t="s">
        <v>13</v>
      </c>
      <c r="C215" s="8"/>
      <c r="D215" s="10"/>
      <c r="E215" s="8"/>
      <c r="F215" s="8"/>
      <c r="G215" s="8"/>
      <c r="H215" s="8"/>
      <c r="I215" s="8"/>
      <c r="J215" s="8"/>
      <c r="K215" s="8"/>
      <c r="L215" s="25"/>
      <c r="M215" s="50" t="s">
        <v>13</v>
      </c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13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25"/>
      <c r="AK215" s="50" t="s">
        <v>14</v>
      </c>
      <c r="AL215" s="8"/>
      <c r="AM215" s="17"/>
      <c r="AN215" s="8"/>
      <c r="AO215" s="17"/>
      <c r="AP215" s="8"/>
      <c r="AQ215" s="8"/>
    </row>
    <row r="216" spans="1:45">
      <c r="A216" s="31"/>
      <c r="B216" s="49" t="s">
        <v>14</v>
      </c>
      <c r="C216" s="8"/>
      <c r="D216" s="10"/>
      <c r="E216" s="8"/>
      <c r="F216" s="8"/>
      <c r="G216" s="8"/>
      <c r="H216" s="8"/>
      <c r="I216" s="8"/>
      <c r="J216" s="8"/>
      <c r="K216" s="8"/>
      <c r="L216" s="25"/>
      <c r="M216" s="50" t="s">
        <v>14</v>
      </c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13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K216" s="49"/>
      <c r="AL216" s="8"/>
      <c r="AM216" s="8"/>
      <c r="AN216" s="8"/>
      <c r="AO216" s="8"/>
      <c r="AP216" s="8"/>
      <c r="AQ216" s="8"/>
    </row>
    <row r="217" spans="1:45" customHeight="1" ht="15">
      <c r="A217" s="26"/>
      <c r="B217" s="49" t="s">
        <v>2</v>
      </c>
      <c r="C217" s="11" t="str">
        <f>IF(OR(C226="",C227="",C227=0),"",IFERROR(ROUND((C226*100000)/(C227*60*8),0),""))</f>
        <v>0</v>
      </c>
      <c r="D217" s="11" t="str">
        <f>IF(OR(D226="",D227="",D227=0),"",IFERROR(ROUND((D226*100000)/(D227*60*8),0),""))</f>
        <v>0</v>
      </c>
      <c r="E217" s="11" t="str">
        <f>IF(OR(E226="",E227="",E227=0),"",IFERROR(ROUND((E226*100000)/(E227*60*8),0),""))</f>
        <v>0</v>
      </c>
      <c r="F217" s="11" t="str">
        <f>IF(OR(F226="",F227="",F227=0),"",IFERROR(ROUND((F226*100000)/(F227*60*8),0),""))</f>
        <v>0</v>
      </c>
      <c r="G217" s="11" t="str">
        <f>IF(OR(G226="",G227="",G227=0),"",IFERROR(ROUND((G226*100000)/(G227*60*8),0),""))</f>
        <v>0</v>
      </c>
      <c r="H217" s="11" t="str">
        <f>IF(OR(H226="",H227="",H227=0),"",IFERROR(ROUND((H226*100000)/(H227*60*8),0),""))</f>
        <v>0</v>
      </c>
      <c r="I217" s="11" t="str">
        <f>IF(OR(I226="",I227="",I227=0),"",IFERROR(ROUND((I226*100000)/(I227*60*8),0),""))</f>
        <v>0</v>
      </c>
      <c r="J217" s="11" t="str">
        <f>IF(OR(J226="",J227="",J227=0),"",IFERROR(ROUND((J226*100000)/(J227*60*8),0),""))</f>
        <v>0</v>
      </c>
      <c r="K217" s="11" t="str">
        <f>IF(OR(K226="",K227="",K227=0),"",IFERROR(ROUND((K226*100000)/(K227*60*8),0),""))</f>
        <v>0</v>
      </c>
      <c r="L217" s="7"/>
      <c r="M217" s="50" t="s">
        <v>2</v>
      </c>
      <c r="N217" s="11" t="str">
        <f>IF(OR(N226="",N227="",N227=0),"",IFERROR(ROUND((N226*100000)/(N227*60*8),0),""))</f>
        <v>0</v>
      </c>
      <c r="O217" s="11" t="str">
        <f>IF(OR(O226="",O227="",O227=0),"",IFERROR(ROUND((O226*100000)/(O227*60*8),0),""))</f>
        <v>0</v>
      </c>
      <c r="P217" s="11" t="str">
        <f>IF(OR(P226="",P227="",P227=0),"",IFERROR(ROUND((P226*100000)/(P227*60*8),0),""))</f>
        <v>0</v>
      </c>
      <c r="Q217" s="11" t="str">
        <f>IF(OR(Q226="",Q227="",Q227=0),"",IFERROR(ROUND((Q226*100000)/(Q227*60*8),0),""))</f>
        <v>0</v>
      </c>
      <c r="R217" s="11" t="str">
        <f>IF(OR(R226="",R227="",R227=0),"",IFERROR(ROUND((R226*100000)/(R227*60*8),0),""))</f>
        <v>0</v>
      </c>
      <c r="S217" s="11" t="str">
        <f>IF(OR(S226="",S227="",S227=0),"",IFERROR(ROUND((S226*100000)/(S227*60*8),0),""))</f>
        <v>0</v>
      </c>
      <c r="T217" s="11" t="str">
        <f>IF(OR(T226="",T227="",T227=0),"",IFERROR(ROUND((T226*100000)/(T227*60*8),0),""))</f>
        <v>0</v>
      </c>
      <c r="U217" s="11" t="str">
        <f>IF(OR(U226="",U227="",U227=0),"",IFERROR(ROUND((U226*100000)/(U227*60*8),0),""))</f>
        <v>0</v>
      </c>
      <c r="V217" s="11" t="str">
        <f>IF(OR(V226="",V227="",V227=0),"",IFERROR(ROUND((V226*100000)/(V227*60*8),0),""))</f>
        <v>0</v>
      </c>
      <c r="W217" s="11" t="str">
        <f>IF(OR(W226="",W227="",W227=0),"",IFERROR(ROUND((W226*100000)/(W227*60*8),0),""))</f>
        <v>0</v>
      </c>
      <c r="X217" s="11" t="str">
        <f>IF(OR(X226="",X227="",X227=0),"",IFERROR(ROUND((X226*100000)/(X227*60*8),0),""))</f>
        <v>0</v>
      </c>
      <c r="Y217" s="11" t="str">
        <f>IF(OR(Y226="",Y227="",Y227=0),"",IFERROR(ROUND((Y226*100000)/(Y227*60*8),0),""))</f>
        <v>0</v>
      </c>
      <c r="Z217" s="11" t="str">
        <f>IF(OR(Z226="",Z227="",Z227=0),"",IFERROR(ROUND((Z226*100000)/(Z227*60*8),0),""))</f>
        <v>0</v>
      </c>
      <c r="AA217" s="13" t="str">
        <f>IF(OR(AA226="",AA227="",AA227=0),"",IFERROR(ROUND((AA226*100000)/(AA227*60*8),0),""))</f>
        <v>0</v>
      </c>
      <c r="AB217" s="11" t="str">
        <f>IF(OR(AB226="",AB227="",AB227=0),"",IFERROR(ROUND((AB226*100000)/(AB227*60*8),0),""))</f>
        <v>0</v>
      </c>
      <c r="AC217" s="11" t="str">
        <f>IF(OR(AC226="",AC227="",AC227=0),"",IFERROR(ROUND((AC226*100000)/(AC227*60*8),0),""))</f>
        <v>0</v>
      </c>
      <c r="AD217" s="11" t="str">
        <f>IF(OR(AD226="",AD227="",AD227=0),"",IFERROR(ROUND((AD226*100000)/(AD227*60*8),0),""))</f>
        <v>0</v>
      </c>
      <c r="AE217" s="11" t="str">
        <f>IF(OR(AE226="",AE227="",AE227=0),"",IFERROR(ROUND((AE226*100000)/(AE227*60*8),0),""))</f>
        <v>0</v>
      </c>
      <c r="AF217" s="11" t="str">
        <f>IF(OR(AF226="",AF227="",AF227=0),"",IFERROR(ROUND((AF226*100000)/(AF227*60*8),0),""))</f>
        <v>0</v>
      </c>
      <c r="AG217" s="11" t="str">
        <f>IF(OR(AG226="",AG227="",AG227=0),"",IFERROR(ROUND((AG226*100000)/(AG227*60*8),0),""))</f>
        <v>0</v>
      </c>
      <c r="AH217" s="11" t="str">
        <f>IF(OR(AH226="",AH227="",AH227=0),"",IFERROR(ROUND((AH226*100000)/(AH227*60*8),0),""))</f>
        <v>0</v>
      </c>
      <c r="AI217" s="11" t="str">
        <f>IF(OR(AI226="",AI227="",AI227=0),"",IFERROR(ROUND((AI226*100000)/(AI227*60*8),0),""))</f>
        <v>0</v>
      </c>
      <c r="AJ217" s="7"/>
      <c r="AK217" s="50" t="s">
        <v>2</v>
      </c>
      <c r="AL217" s="11" t="str">
        <f>IF(OR(AL225="",AL226="",AL226=0),"",IFERROR(ROUND((AL225*100000)/(AL226*60*8),0),""))</f>
        <v>0</v>
      </c>
      <c r="AM217" s="11" t="str">
        <f>IF(OR(AM225="",AM226="",AM226=0),"",IFERROR(ROUND((AM225*100000)/(AM226*60*8),0),""))</f>
        <v>0</v>
      </c>
      <c r="AN217" s="11" t="str">
        <f>IF(OR(AN225="",AN226="",AN226=0),"",IFERROR(ROUND((AN225*100000)/(AN226*60*8),0),""))</f>
        <v>0</v>
      </c>
      <c r="AO217" s="11" t="str">
        <f>IF(OR(AO225="",AO226="",AO226=0),"",IFERROR(ROUND((AO225*100000)/(AO226*60*8),0),""))</f>
        <v>0</v>
      </c>
      <c r="AP217" s="11" t="str">
        <f>IF(OR(AP225="",AP226="",AP226=0),"",IFERROR(ROUND((AP225*100000)/(AP226*60*8),0),""))</f>
        <v>0</v>
      </c>
      <c r="AQ217" s="11" t="str">
        <f>IF(OR(AQ225="",AQ226="",AQ226=0),"",IFERROR(ROUND((AQ225*100000)/(AQ226*60*8),0),""))</f>
        <v>0</v>
      </c>
      <c r="AS217" s="1" t="str">
        <f>SUM(N218:AI218)</f>
        <v>0</v>
      </c>
    </row>
    <row r="218" spans="1:45">
      <c r="A218" s="26"/>
      <c r="B218" s="50" t="s">
        <v>3</v>
      </c>
      <c r="C218" s="8"/>
      <c r="D218" s="9"/>
      <c r="E218" s="9"/>
      <c r="F218" s="9"/>
      <c r="G218" s="9"/>
      <c r="H218" s="9"/>
      <c r="I218" s="9"/>
      <c r="J218" s="9"/>
      <c r="K218" s="9"/>
      <c r="L218" s="27"/>
      <c r="M218" s="50" t="s">
        <v>3</v>
      </c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15"/>
      <c r="AB218" s="8"/>
      <c r="AC218" s="8"/>
      <c r="AD218" s="8"/>
      <c r="AE218" s="8"/>
      <c r="AF218" s="8"/>
      <c r="AG218" s="8"/>
      <c r="AH218" s="8"/>
      <c r="AI218" s="8"/>
      <c r="AJ218" s="27"/>
      <c r="AK218" s="50" t="s">
        <v>3</v>
      </c>
      <c r="AL218" s="8"/>
      <c r="AM218" s="8"/>
      <c r="AN218" s="8"/>
      <c r="AO218" s="8"/>
      <c r="AP218" s="8"/>
      <c r="AQ218" s="8"/>
      <c r="AS218" s="1" t="str">
        <f>SUM(N219:AI219)</f>
        <v>0</v>
      </c>
    </row>
    <row r="219" spans="1:45">
      <c r="A219" s="26"/>
      <c r="B219" s="50" t="s">
        <v>4</v>
      </c>
      <c r="C219" s="8"/>
      <c r="D219" s="9"/>
      <c r="E219" s="9"/>
      <c r="F219" s="9"/>
      <c r="G219" s="9"/>
      <c r="H219" s="9"/>
      <c r="I219" s="9"/>
      <c r="J219" s="9"/>
      <c r="K219" s="9"/>
      <c r="L219" s="27"/>
      <c r="M219" s="50" t="s">
        <v>4</v>
      </c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15"/>
      <c r="AB219" s="8"/>
      <c r="AC219" s="8"/>
      <c r="AD219" s="8"/>
      <c r="AE219" s="8"/>
      <c r="AF219" s="8"/>
      <c r="AG219" s="8"/>
      <c r="AH219" s="8"/>
      <c r="AI219" s="8"/>
      <c r="AJ219" s="27"/>
      <c r="AK219" s="50" t="s">
        <v>4</v>
      </c>
      <c r="AL219" s="8"/>
      <c r="AM219" s="8"/>
      <c r="AN219" s="8"/>
      <c r="AO219" s="8"/>
      <c r="AP219" s="8"/>
      <c r="AQ219" s="8"/>
      <c r="AS219" s="1" t="str">
        <f>SUM(N220:AI220)</f>
        <v>0</v>
      </c>
    </row>
    <row r="220" spans="1:45">
      <c r="A220" s="26"/>
      <c r="B220" s="50" t="s">
        <v>5</v>
      </c>
      <c r="C220" s="8"/>
      <c r="D220" s="9"/>
      <c r="E220" s="9"/>
      <c r="F220" s="9"/>
      <c r="G220" s="9"/>
      <c r="H220" s="9"/>
      <c r="I220" s="9"/>
      <c r="J220" s="9"/>
      <c r="K220" s="9"/>
      <c r="L220" s="27"/>
      <c r="M220" s="50" t="s">
        <v>5</v>
      </c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15"/>
      <c r="AB220" s="8"/>
      <c r="AC220" s="8"/>
      <c r="AD220" s="8"/>
      <c r="AE220" s="8"/>
      <c r="AF220" s="8"/>
      <c r="AG220" s="8"/>
      <c r="AH220" s="8"/>
      <c r="AI220" s="8"/>
      <c r="AJ220" s="27"/>
      <c r="AK220" s="50" t="s">
        <v>5</v>
      </c>
      <c r="AL220" s="8"/>
      <c r="AM220" s="8"/>
      <c r="AN220" s="8"/>
      <c r="AO220" s="8"/>
      <c r="AP220" s="8"/>
      <c r="AQ220" s="8"/>
      <c r="AS220" s="1" t="str">
        <f>SUM(N221:AI221)</f>
        <v>0</v>
      </c>
    </row>
    <row r="221" spans="1:45">
      <c r="A221" s="26"/>
      <c r="B221" s="50" t="s">
        <v>6</v>
      </c>
      <c r="C221" s="8"/>
      <c r="D221" s="9"/>
      <c r="E221" s="9"/>
      <c r="F221" s="9"/>
      <c r="G221" s="9"/>
      <c r="H221" s="9"/>
      <c r="I221" s="9"/>
      <c r="J221" s="9"/>
      <c r="K221" s="9"/>
      <c r="L221" s="27"/>
      <c r="M221" s="50" t="s">
        <v>6</v>
      </c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15"/>
      <c r="AB221" s="8"/>
      <c r="AC221" s="8"/>
      <c r="AD221" s="8"/>
      <c r="AE221" s="8"/>
      <c r="AF221" s="8"/>
      <c r="AG221" s="8"/>
      <c r="AH221" s="8"/>
      <c r="AI221" s="8"/>
      <c r="AJ221" s="27"/>
      <c r="AK221" s="50" t="s">
        <v>7</v>
      </c>
      <c r="AL221" s="8"/>
      <c r="AM221" s="8"/>
      <c r="AN221" s="8"/>
      <c r="AO221" s="8"/>
      <c r="AP221" s="8"/>
      <c r="AQ221" s="8"/>
      <c r="AS221" s="1" t="str">
        <f>SUM(N222:AI222)</f>
        <v>0</v>
      </c>
    </row>
    <row r="222" spans="1:45">
      <c r="A222" s="26"/>
      <c r="B222" s="50" t="s">
        <v>7</v>
      </c>
      <c r="C222" s="8"/>
      <c r="D222" s="9"/>
      <c r="E222" s="9"/>
      <c r="F222" s="9"/>
      <c r="G222" s="9"/>
      <c r="H222" s="9"/>
      <c r="I222" s="9"/>
      <c r="J222" s="9"/>
      <c r="K222" s="9"/>
      <c r="L222" s="27"/>
      <c r="M222" s="50" t="s">
        <v>7</v>
      </c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15"/>
      <c r="AB222" s="8"/>
      <c r="AC222" s="8"/>
      <c r="AD222" s="8"/>
      <c r="AE222" s="8"/>
      <c r="AF222" s="8"/>
      <c r="AG222" s="8"/>
      <c r="AH222" s="8"/>
      <c r="AI222" s="8"/>
      <c r="AJ222" s="27"/>
      <c r="AK222" s="50" t="s">
        <v>8</v>
      </c>
      <c r="AL222" s="8"/>
      <c r="AM222" s="8"/>
      <c r="AN222" s="8"/>
      <c r="AO222" s="8"/>
      <c r="AP222" s="8"/>
      <c r="AQ222" s="8"/>
      <c r="AS222" s="1" t="str">
        <f>SUM(N223:AI223)</f>
        <v>0</v>
      </c>
    </row>
    <row r="223" spans="1:45">
      <c r="A223" s="28"/>
      <c r="B223" s="50" t="s">
        <v>10</v>
      </c>
      <c r="C223" s="8"/>
      <c r="D223" s="9"/>
      <c r="E223" s="9"/>
      <c r="F223" s="9"/>
      <c r="G223" s="9"/>
      <c r="H223" s="9"/>
      <c r="I223" s="9"/>
      <c r="J223" s="9"/>
      <c r="K223" s="9"/>
      <c r="L223" s="25"/>
      <c r="M223" s="50" t="s">
        <v>10</v>
      </c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15"/>
      <c r="AB223" s="8"/>
      <c r="AC223" s="8"/>
      <c r="AD223" s="8"/>
      <c r="AE223" s="8"/>
      <c r="AF223" s="8"/>
      <c r="AG223" s="8"/>
      <c r="AH223" s="8"/>
      <c r="AI223" s="8"/>
      <c r="AJ223" s="25"/>
      <c r="AK223" s="50" t="s">
        <v>11</v>
      </c>
      <c r="AL223" s="8"/>
      <c r="AM223" s="8"/>
      <c r="AN223" s="8"/>
      <c r="AO223" s="8"/>
      <c r="AP223" s="8"/>
      <c r="AQ223" s="8"/>
      <c r="AS223" s="1" t="str">
        <f>SUM(N224:AI224)</f>
        <v>0</v>
      </c>
    </row>
    <row r="224" spans="1:45">
      <c r="A224" s="28"/>
      <c r="B224" s="50" t="s">
        <v>11</v>
      </c>
      <c r="C224" s="8"/>
      <c r="D224" s="9"/>
      <c r="E224" s="9"/>
      <c r="F224" s="9"/>
      <c r="G224" s="9"/>
      <c r="H224" s="9"/>
      <c r="I224" s="9"/>
      <c r="J224" s="9"/>
      <c r="K224" s="9"/>
      <c r="L224" s="25"/>
      <c r="M224" s="50" t="s">
        <v>11</v>
      </c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15"/>
      <c r="AB224" s="8"/>
      <c r="AC224" s="8"/>
      <c r="AD224" s="8"/>
      <c r="AE224" s="8"/>
      <c r="AF224" s="8"/>
      <c r="AG224" s="8"/>
      <c r="AH224" s="8"/>
      <c r="AI224" s="8"/>
      <c r="AJ224" s="25"/>
      <c r="AK224" s="50" t="s">
        <v>12</v>
      </c>
      <c r="AL224" s="8"/>
      <c r="AM224" s="8"/>
      <c r="AN224" s="8"/>
      <c r="AO224" s="8"/>
      <c r="AP224" s="8"/>
      <c r="AQ224" s="8"/>
    </row>
    <row r="225" spans="1:45">
      <c r="A225" s="28"/>
      <c r="B225" s="50" t="s">
        <v>12</v>
      </c>
      <c r="C225" s="8"/>
      <c r="D225" s="9"/>
      <c r="E225" s="9"/>
      <c r="F225" s="9"/>
      <c r="G225" s="9"/>
      <c r="H225" s="9"/>
      <c r="I225" s="9"/>
      <c r="J225" s="9"/>
      <c r="K225" s="9"/>
      <c r="L225" s="25"/>
      <c r="M225" s="50" t="s">
        <v>12</v>
      </c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15"/>
      <c r="AB225" s="8"/>
      <c r="AC225" s="8"/>
      <c r="AD225" s="8"/>
      <c r="AE225" s="8"/>
      <c r="AF225" s="8"/>
      <c r="AG225" s="8"/>
      <c r="AH225" s="8"/>
      <c r="AI225" s="8"/>
      <c r="AJ225" s="25"/>
      <c r="AK225" s="50" t="s">
        <v>13</v>
      </c>
      <c r="AL225" s="8"/>
      <c r="AM225" s="8"/>
      <c r="AN225" s="8"/>
      <c r="AO225" s="8"/>
      <c r="AP225" s="8"/>
      <c r="AQ225" s="8"/>
    </row>
    <row r="226" spans="1:45">
      <c r="A226" s="28"/>
      <c r="B226" s="50" t="s">
        <v>13</v>
      </c>
      <c r="C226" s="8"/>
      <c r="D226" s="9"/>
      <c r="E226" s="9"/>
      <c r="F226" s="9"/>
      <c r="G226" s="9"/>
      <c r="H226" s="9"/>
      <c r="I226" s="9"/>
      <c r="J226" s="9"/>
      <c r="K226" s="9"/>
      <c r="L226" s="25"/>
      <c r="M226" s="50" t="s">
        <v>13</v>
      </c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15"/>
      <c r="AB226" s="8"/>
      <c r="AC226" s="8"/>
      <c r="AD226" s="8"/>
      <c r="AE226" s="8"/>
      <c r="AF226" s="8"/>
      <c r="AG226" s="8"/>
      <c r="AH226" s="8"/>
      <c r="AI226" s="8"/>
      <c r="AJ226" s="25"/>
      <c r="AK226" s="50" t="s">
        <v>14</v>
      </c>
      <c r="AL226" s="8"/>
      <c r="AM226" s="8"/>
      <c r="AN226" s="8"/>
      <c r="AO226" s="8"/>
      <c r="AP226" s="8"/>
      <c r="AQ226" s="8"/>
    </row>
    <row r="227" spans="1:45">
      <c r="A227" s="28"/>
      <c r="B227" s="49" t="s">
        <v>14</v>
      </c>
      <c r="C227" s="8"/>
      <c r="D227" s="8"/>
      <c r="E227" s="8"/>
      <c r="F227" s="8"/>
      <c r="G227" s="8"/>
      <c r="H227" s="8"/>
      <c r="I227" s="8"/>
      <c r="J227" s="8"/>
      <c r="K227" s="8"/>
      <c r="L227" s="25"/>
      <c r="M227" s="50" t="s">
        <v>14</v>
      </c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15"/>
      <c r="AB227" s="8"/>
      <c r="AC227" s="8"/>
      <c r="AD227" s="8"/>
      <c r="AE227" s="8"/>
      <c r="AF227" s="8"/>
      <c r="AG227" s="8"/>
      <c r="AH227" s="8"/>
      <c r="AI227" s="8"/>
      <c r="AK227" s="49"/>
      <c r="AL227" s="8"/>
      <c r="AM227" s="8"/>
      <c r="AN227" s="8"/>
      <c r="AO227" s="8"/>
      <c r="AP227" s="8"/>
      <c r="AQ227" s="8"/>
    </row>
    <row r="228" spans="1:45" customHeight="1" ht="15">
      <c r="A228" s="26"/>
      <c r="B228" s="49" t="s">
        <v>2</v>
      </c>
      <c r="C228" s="11" t="str">
        <f>IF(OR(C237="",C238="",C238=0),"",IFERROR(ROUND((C237*100000)/(C238*60*8),0),""))</f>
        <v>0</v>
      </c>
      <c r="D228" s="11" t="str">
        <f>IF(OR(D237="",D238="",D238=0),"",IFERROR(ROUND((D237*100000)/(D238*60*8),0),""))</f>
        <v>0</v>
      </c>
      <c r="E228" s="11" t="str">
        <f>IF(OR(E237="",E238="",E238=0),"",IFERROR(ROUND((E237*100000)/(E238*60*8),0),""))</f>
        <v>0</v>
      </c>
      <c r="F228" s="11" t="str">
        <f>IF(OR(F237="",F238="",F238=0),"",IFERROR(ROUND((F237*100000)/(F238*60*8),0),""))</f>
        <v>0</v>
      </c>
      <c r="G228" s="11" t="str">
        <f>IF(OR(G237="",G238="",G238=0),"",IFERROR(ROUND((G237*100000)/(G238*60*8),0),""))</f>
        <v>0</v>
      </c>
      <c r="H228" s="11" t="str">
        <f>IF(OR(H237="",H238="",H238=0),"",IFERROR(ROUND((H237*100000)/(H238*60*8),0),""))</f>
        <v>0</v>
      </c>
      <c r="I228" s="11" t="str">
        <f>IF(OR(I237="",I238="",I238=0),"",IFERROR(ROUND((I237*100000)/(I238*60*8),0),""))</f>
        <v>0</v>
      </c>
      <c r="J228" s="11" t="str">
        <f>IF(OR(J237="",J238="",J238=0),"",IFERROR(ROUND((J237*100000)/(J238*60*8),0),""))</f>
        <v>0</v>
      </c>
      <c r="K228" s="11" t="str">
        <f>IF(OR(K237="",K238="",K238=0),"",IFERROR(ROUND((K237*100000)/(K238*60*8),0),""))</f>
        <v>0</v>
      </c>
      <c r="L228" s="7"/>
      <c r="M228" s="50" t="s">
        <v>2</v>
      </c>
      <c r="N228" s="11" t="str">
        <f>IF(OR(N237="",N238="",N238=0),"",IFERROR(ROUND((N237*100000)/(N238*60*8),0),""))</f>
        <v>0</v>
      </c>
      <c r="O228" s="11" t="str">
        <f>IF(OR(O237="",O238="",O238=0),"",IFERROR(ROUND((O237*100000)/(O238*60*8),0),""))</f>
        <v>0</v>
      </c>
      <c r="P228" s="11" t="str">
        <f>IF(OR(P237="",P238="",P238=0),"",IFERROR(ROUND((P237*100000)/(P238*60*8),0),""))</f>
        <v>0</v>
      </c>
      <c r="Q228" s="11" t="str">
        <f>IF(OR(Q237="",Q238="",Q238=0),"",IFERROR(ROUND((Q237*100000)/(Q238*60*8),0),""))</f>
        <v>0</v>
      </c>
      <c r="R228" s="11" t="str">
        <f>IF(OR(R237="",R238="",R238=0),"",IFERROR(ROUND((R237*100000)/(R238*60*8),0),""))</f>
        <v>0</v>
      </c>
      <c r="S228" s="11" t="str">
        <f>IF(OR(S237="",S238="",S238=0),"",IFERROR(ROUND((S237*100000)/(S238*60*8),0),""))</f>
        <v>0</v>
      </c>
      <c r="T228" s="11" t="str">
        <f>IF(OR(T237="",T238="",T238=0),"",IFERROR(ROUND((T237*100000)/(T238*60*8),0),""))</f>
        <v>0</v>
      </c>
      <c r="U228" s="11" t="str">
        <f>IF(OR(U237="",U238="",U238=0),"",IFERROR(ROUND((U237*100000)/(U238*60*8),0),""))</f>
        <v>0</v>
      </c>
      <c r="V228" s="11" t="str">
        <f>IF(OR(V237="",V238="",V238=0),"",IFERROR(ROUND((V237*100000)/(V238*60*8),0),""))</f>
        <v>0</v>
      </c>
      <c r="W228" s="11" t="str">
        <f>IF(OR(W237="",W238="",W238=0),"",IFERROR(ROUND((W237*100000)/(W238*60*8),0),""))</f>
        <v>0</v>
      </c>
      <c r="X228" s="11" t="str">
        <f>IF(OR(X237="",X238="",X238=0),"",IFERROR(ROUND((X237*100000)/(X238*60*8),0),""))</f>
        <v>0</v>
      </c>
      <c r="Y228" s="11" t="str">
        <f>IF(OR(Y237="",Y238="",Y238=0),"",IFERROR(ROUND((Y237*100000)/(Y238*60*8),0),""))</f>
        <v>0</v>
      </c>
      <c r="Z228" s="11" t="str">
        <f>IF(OR(Z237="",Z238="",Z238=0),"",IFERROR(ROUND((Z237*100000)/(Z238*60*8),0),""))</f>
        <v>0</v>
      </c>
      <c r="AA228" s="13" t="str">
        <f>IF(OR(AA237="",AA238="",AA238=0),"",IFERROR(ROUND((AA237*100000)/(AA238*60*8),0),""))</f>
        <v>0</v>
      </c>
      <c r="AB228" s="11" t="str">
        <f>IF(OR(AB237="",AB238="",AB238=0),"",IFERROR(ROUND((AB237*100000)/(AB238*60*8),0),""))</f>
        <v>0</v>
      </c>
      <c r="AC228" s="11" t="str">
        <f>IF(OR(AC237="",AC238="",AC238=0),"",IFERROR(ROUND((AC237*100000)/(AC238*60*8),0),""))</f>
        <v>0</v>
      </c>
      <c r="AD228" s="11" t="str">
        <f>IF(OR(AD237="",AD238="",AD238=0),"",IFERROR(ROUND((AD237*100000)/(AD238*60*8),0),""))</f>
        <v>0</v>
      </c>
      <c r="AE228" s="11" t="str">
        <f>IF(OR(AE237="",AE238="",AE238=0),"",IFERROR(ROUND((AE237*100000)/(AE238*60*8),0),""))</f>
        <v>0</v>
      </c>
      <c r="AF228" s="11" t="str">
        <f>IF(OR(AF237="",AF238="",AF238=0),"",IFERROR(ROUND((AF237*100000)/(AF238*60*8),0),""))</f>
        <v>0</v>
      </c>
      <c r="AG228" s="11" t="str">
        <f>IF(OR(AG237="",AG238="",AG238=0),"",IFERROR(ROUND((AG237*100000)/(AG238*60*8),0),""))</f>
        <v>0</v>
      </c>
      <c r="AH228" s="11" t="str">
        <f>IF(OR(AH237="",AH238="",AH238=0),"",IFERROR(ROUND((AH237*100000)/(AH238*60*8),0),""))</f>
        <v>0</v>
      </c>
      <c r="AI228" s="11" t="str">
        <f>IF(OR(AI237="",AI238="",AI238=0),"",IFERROR(ROUND((AI237*100000)/(AI238*60*8),0),""))</f>
        <v>0</v>
      </c>
      <c r="AJ228" s="7"/>
      <c r="AK228" s="50" t="s">
        <v>2</v>
      </c>
      <c r="AL228" s="11" t="str">
        <f>IF(OR(AL236="",AL237="",AL237=0),"",IFERROR(ROUND((AL236*100000)/(AL237*60*8),0),""))</f>
        <v>0</v>
      </c>
      <c r="AM228" s="11" t="str">
        <f>IF(OR(AM236="",AM237="",AM237=0),"",IFERROR(ROUND((AM236*100000)/(AM237*60*8),0),""))</f>
        <v>0</v>
      </c>
      <c r="AN228" s="11" t="str">
        <f>IF(OR(AN236="",AN237="",AN237=0),"",IFERROR(ROUND((AN236*100000)/(AN237*60*8),0),""))</f>
        <v>0</v>
      </c>
      <c r="AO228" s="13" t="str">
        <f>IF(OR(AO236="",AO237="",AO237=0),"",IFERROR(ROUND((AO236*100000)/(AO237*60*8),0),""))</f>
        <v>0</v>
      </c>
      <c r="AP228" s="11" t="str">
        <f>IF(OR(AP236="",AP237="",AP237=0),"",IFERROR(ROUND((AP236*100000)/(AP237*60*8),0),""))</f>
        <v>0</v>
      </c>
      <c r="AQ228" s="11" t="str">
        <f>IF(OR(AQ236="",AQ237="",AQ237=0),"",IFERROR(ROUND((AQ236*100000)/(AQ237*60*8),0),""))</f>
        <v>0</v>
      </c>
      <c r="AS228" s="1" t="str">
        <f>SUM(N229:AI229)</f>
        <v>0</v>
      </c>
    </row>
    <row r="229" spans="1:45">
      <c r="A229" s="26"/>
      <c r="B229" s="50" t="s">
        <v>3</v>
      </c>
      <c r="C229" s="9"/>
      <c r="D229" s="9"/>
      <c r="E229" s="9"/>
      <c r="F229" s="9"/>
      <c r="G229" s="9"/>
      <c r="H229" s="9"/>
      <c r="I229" s="9"/>
      <c r="J229" s="8"/>
      <c r="K229" s="8"/>
      <c r="L229" s="27"/>
      <c r="M229" s="50" t="s">
        <v>3</v>
      </c>
      <c r="N229" s="8"/>
      <c r="O229" s="8"/>
      <c r="P229" s="8"/>
      <c r="Q229" s="8"/>
      <c r="R229" s="8"/>
      <c r="S229" s="8"/>
      <c r="T229" s="9"/>
      <c r="U229" s="9"/>
      <c r="V229" s="9"/>
      <c r="W229" s="9"/>
      <c r="X229" s="9"/>
      <c r="Y229" s="9"/>
      <c r="Z229" s="9"/>
      <c r="AA229" s="15"/>
      <c r="AB229" s="8"/>
      <c r="AC229" s="8"/>
      <c r="AD229" s="8"/>
      <c r="AE229" s="8"/>
      <c r="AF229" s="8"/>
      <c r="AG229" s="8"/>
      <c r="AH229" s="8"/>
      <c r="AI229" s="8"/>
      <c r="AJ229" s="27"/>
      <c r="AK229" s="50" t="s">
        <v>3</v>
      </c>
      <c r="AL229" s="8"/>
      <c r="AM229" s="8"/>
      <c r="AN229" s="8"/>
      <c r="AO229" s="17"/>
      <c r="AP229" s="8"/>
      <c r="AQ229" s="8"/>
      <c r="AS229" s="1" t="str">
        <f>SUM(N230:AI230)</f>
        <v>0</v>
      </c>
    </row>
    <row r="230" spans="1:45">
      <c r="A230" s="26"/>
      <c r="B230" s="50" t="s">
        <v>4</v>
      </c>
      <c r="C230" s="9"/>
      <c r="D230" s="9"/>
      <c r="E230" s="9"/>
      <c r="F230" s="9"/>
      <c r="G230" s="9"/>
      <c r="H230" s="9"/>
      <c r="I230" s="9"/>
      <c r="J230" s="8"/>
      <c r="K230" s="8"/>
      <c r="L230" s="27"/>
      <c r="M230" s="50" t="s">
        <v>4</v>
      </c>
      <c r="N230" s="8"/>
      <c r="O230" s="8"/>
      <c r="P230" s="8"/>
      <c r="Q230" s="8"/>
      <c r="R230" s="8"/>
      <c r="S230" s="8"/>
      <c r="T230" s="9"/>
      <c r="U230" s="9"/>
      <c r="V230" s="9"/>
      <c r="W230" s="9"/>
      <c r="X230" s="9"/>
      <c r="Y230" s="9"/>
      <c r="Z230" s="9"/>
      <c r="AA230" s="15"/>
      <c r="AB230" s="8"/>
      <c r="AC230" s="8"/>
      <c r="AD230" s="8"/>
      <c r="AE230" s="8"/>
      <c r="AF230" s="8"/>
      <c r="AG230" s="8"/>
      <c r="AH230" s="8"/>
      <c r="AI230" s="8"/>
      <c r="AJ230" s="27"/>
      <c r="AK230" s="50" t="s">
        <v>4</v>
      </c>
      <c r="AL230" s="8"/>
      <c r="AM230" s="8"/>
      <c r="AN230" s="8"/>
      <c r="AO230" s="17"/>
      <c r="AP230" s="8"/>
      <c r="AQ230" s="8"/>
      <c r="AS230" s="1" t="str">
        <f>SUM(N231:AI231)</f>
        <v>0</v>
      </c>
    </row>
    <row r="231" spans="1:45">
      <c r="A231" s="26"/>
      <c r="B231" s="50" t="s">
        <v>5</v>
      </c>
      <c r="C231" s="9"/>
      <c r="D231" s="9"/>
      <c r="E231" s="9"/>
      <c r="F231" s="9"/>
      <c r="G231" s="9"/>
      <c r="H231" s="9"/>
      <c r="I231" s="9"/>
      <c r="J231" s="8"/>
      <c r="K231" s="8"/>
      <c r="L231" s="27"/>
      <c r="M231" s="50" t="s">
        <v>5</v>
      </c>
      <c r="N231" s="8"/>
      <c r="O231" s="8"/>
      <c r="P231" s="8"/>
      <c r="Q231" s="8"/>
      <c r="R231" s="8"/>
      <c r="S231" s="8"/>
      <c r="T231" s="9"/>
      <c r="U231" s="9"/>
      <c r="V231" s="9"/>
      <c r="W231" s="9"/>
      <c r="X231" s="9"/>
      <c r="Y231" s="9"/>
      <c r="Z231" s="9"/>
      <c r="AA231" s="15"/>
      <c r="AB231" s="8"/>
      <c r="AC231" s="8"/>
      <c r="AD231" s="8"/>
      <c r="AE231" s="8"/>
      <c r="AF231" s="8"/>
      <c r="AG231" s="8"/>
      <c r="AH231" s="8"/>
      <c r="AI231" s="8"/>
      <c r="AJ231" s="27"/>
      <c r="AK231" s="50" t="s">
        <v>5</v>
      </c>
      <c r="AL231" s="8"/>
      <c r="AM231" s="9"/>
      <c r="AN231" s="8"/>
      <c r="AO231" s="17"/>
      <c r="AP231" s="8"/>
      <c r="AQ231" s="8"/>
      <c r="AS231" s="1" t="str">
        <f>SUM(N232:AI232)</f>
        <v>0</v>
      </c>
    </row>
    <row r="232" spans="1:45">
      <c r="A232" s="26"/>
      <c r="B232" s="50" t="s">
        <v>6</v>
      </c>
      <c r="C232" s="9"/>
      <c r="D232" s="9"/>
      <c r="E232" s="9"/>
      <c r="F232" s="9"/>
      <c r="G232" s="9"/>
      <c r="H232" s="9"/>
      <c r="I232" s="9"/>
      <c r="J232" s="8"/>
      <c r="K232" s="8"/>
      <c r="L232" s="27"/>
      <c r="M232" s="50" t="s">
        <v>6</v>
      </c>
      <c r="N232" s="8"/>
      <c r="O232" s="8"/>
      <c r="P232" s="8"/>
      <c r="Q232" s="8"/>
      <c r="R232" s="8"/>
      <c r="S232" s="8"/>
      <c r="T232" s="9"/>
      <c r="U232" s="9"/>
      <c r="V232" s="9"/>
      <c r="W232" s="9"/>
      <c r="X232" s="9"/>
      <c r="Y232" s="9"/>
      <c r="Z232" s="9"/>
      <c r="AA232" s="15"/>
      <c r="AB232" s="8"/>
      <c r="AC232" s="8"/>
      <c r="AD232" s="8"/>
      <c r="AE232" s="8"/>
      <c r="AF232" s="8"/>
      <c r="AG232" s="8"/>
      <c r="AH232" s="8"/>
      <c r="AI232" s="8"/>
      <c r="AJ232" s="27"/>
      <c r="AK232" s="50" t="s">
        <v>7</v>
      </c>
      <c r="AL232" s="8"/>
      <c r="AM232" s="8"/>
      <c r="AN232" s="8"/>
      <c r="AO232" s="17"/>
      <c r="AP232" s="8"/>
      <c r="AQ232" s="8"/>
      <c r="AS232" s="1" t="str">
        <f>SUM(N233:AI233)</f>
        <v>0</v>
      </c>
    </row>
    <row r="233" spans="1:45">
      <c r="A233" s="26"/>
      <c r="B233" s="50" t="s">
        <v>7</v>
      </c>
      <c r="C233" s="9"/>
      <c r="D233" s="9"/>
      <c r="E233" s="9"/>
      <c r="F233" s="9"/>
      <c r="G233" s="9"/>
      <c r="H233" s="9"/>
      <c r="I233" s="9"/>
      <c r="J233" s="8"/>
      <c r="K233" s="8"/>
      <c r="L233" s="27"/>
      <c r="M233" s="50" t="s">
        <v>7</v>
      </c>
      <c r="N233" s="8"/>
      <c r="O233" s="8"/>
      <c r="P233" s="8"/>
      <c r="Q233" s="8"/>
      <c r="R233" s="8"/>
      <c r="S233" s="8"/>
      <c r="T233" s="9"/>
      <c r="U233" s="9"/>
      <c r="V233" s="9"/>
      <c r="W233" s="9"/>
      <c r="X233" s="9"/>
      <c r="Y233" s="9"/>
      <c r="Z233" s="9"/>
      <c r="AA233" s="15"/>
      <c r="AB233" s="8"/>
      <c r="AC233" s="8"/>
      <c r="AD233" s="8"/>
      <c r="AE233" s="8"/>
      <c r="AF233" s="8"/>
      <c r="AG233" s="8"/>
      <c r="AH233" s="8"/>
      <c r="AI233" s="8"/>
      <c r="AJ233" s="27"/>
      <c r="AK233" s="50" t="s">
        <v>8</v>
      </c>
      <c r="AL233" s="8"/>
      <c r="AM233" s="8"/>
      <c r="AN233" s="8"/>
      <c r="AO233" s="17"/>
      <c r="AP233" s="8"/>
      <c r="AQ233" s="8"/>
      <c r="AS233" s="1" t="str">
        <f>SUM(N234:AI234)</f>
        <v>0</v>
      </c>
    </row>
    <row r="234" spans="1:45">
      <c r="A234" s="28"/>
      <c r="B234" s="50" t="s">
        <v>10</v>
      </c>
      <c r="C234" s="9"/>
      <c r="D234" s="9"/>
      <c r="E234" s="9"/>
      <c r="F234" s="9"/>
      <c r="G234" s="9"/>
      <c r="H234" s="9"/>
      <c r="I234" s="9"/>
      <c r="J234" s="8"/>
      <c r="K234" s="8"/>
      <c r="L234" s="25"/>
      <c r="M234" s="50" t="s">
        <v>10</v>
      </c>
      <c r="N234" s="11"/>
      <c r="O234" s="11"/>
      <c r="P234" s="11"/>
      <c r="Q234" s="11"/>
      <c r="R234" s="11"/>
      <c r="S234" s="11"/>
      <c r="T234" s="16"/>
      <c r="U234" s="16"/>
      <c r="V234" s="16"/>
      <c r="W234" s="16"/>
      <c r="X234" s="16"/>
      <c r="Y234" s="16"/>
      <c r="Z234" s="16"/>
      <c r="AA234" s="15"/>
      <c r="AB234" s="11"/>
      <c r="AC234" s="11"/>
      <c r="AD234" s="11"/>
      <c r="AE234" s="11"/>
      <c r="AF234" s="11"/>
      <c r="AG234" s="11"/>
      <c r="AH234" s="11"/>
      <c r="AI234" s="11"/>
      <c r="AJ234" s="25"/>
      <c r="AK234" s="50" t="s">
        <v>11</v>
      </c>
      <c r="AL234" s="8"/>
      <c r="AM234" s="11"/>
      <c r="AN234" s="11"/>
      <c r="AO234" s="17"/>
      <c r="AP234" s="11"/>
      <c r="AQ234" s="8"/>
      <c r="AS234" s="1" t="str">
        <f>SUM(N235:AI235)</f>
        <v>0</v>
      </c>
    </row>
    <row r="235" spans="1:45">
      <c r="A235" s="28"/>
      <c r="B235" s="50" t="s">
        <v>11</v>
      </c>
      <c r="C235" s="9"/>
      <c r="D235" s="9"/>
      <c r="E235" s="9"/>
      <c r="F235" s="9"/>
      <c r="G235" s="9"/>
      <c r="H235" s="9"/>
      <c r="I235" s="9"/>
      <c r="J235" s="8"/>
      <c r="K235" s="8"/>
      <c r="L235" s="25"/>
      <c r="M235" s="50" t="s">
        <v>11</v>
      </c>
      <c r="N235" s="11"/>
      <c r="O235" s="11"/>
      <c r="P235" s="11"/>
      <c r="Q235" s="11"/>
      <c r="R235" s="11"/>
      <c r="S235" s="11"/>
      <c r="T235" s="16"/>
      <c r="U235" s="16"/>
      <c r="V235" s="16"/>
      <c r="W235" s="16"/>
      <c r="X235" s="16"/>
      <c r="Y235" s="16"/>
      <c r="Z235" s="16"/>
      <c r="AA235" s="15"/>
      <c r="AB235" s="11"/>
      <c r="AC235" s="11"/>
      <c r="AD235" s="11"/>
      <c r="AE235" s="11"/>
      <c r="AF235" s="11"/>
      <c r="AG235" s="11"/>
      <c r="AH235" s="11"/>
      <c r="AI235" s="11"/>
      <c r="AJ235" s="25"/>
      <c r="AK235" s="50" t="s">
        <v>12</v>
      </c>
      <c r="AL235" s="8"/>
      <c r="AM235" s="8"/>
      <c r="AN235" s="8"/>
      <c r="AO235" s="17"/>
      <c r="AP235" s="8"/>
      <c r="AQ235" s="8"/>
    </row>
    <row r="236" spans="1:45">
      <c r="A236" s="28"/>
      <c r="B236" s="50" t="s">
        <v>12</v>
      </c>
      <c r="C236" s="9"/>
      <c r="D236" s="9"/>
      <c r="E236" s="9"/>
      <c r="F236" s="9"/>
      <c r="G236" s="9"/>
      <c r="H236" s="9"/>
      <c r="I236" s="9"/>
      <c r="J236" s="8"/>
      <c r="K236" s="8"/>
      <c r="L236" s="25"/>
      <c r="M236" s="50" t="s">
        <v>12</v>
      </c>
      <c r="N236" s="11"/>
      <c r="O236" s="11"/>
      <c r="P236" s="11"/>
      <c r="Q236" s="11"/>
      <c r="R236" s="11"/>
      <c r="S236" s="11"/>
      <c r="T236" s="16"/>
      <c r="U236" s="16"/>
      <c r="V236" s="16"/>
      <c r="W236" s="16"/>
      <c r="X236" s="16"/>
      <c r="Y236" s="16"/>
      <c r="Z236" s="16"/>
      <c r="AA236" s="15"/>
      <c r="AB236" s="11"/>
      <c r="AC236" s="11"/>
      <c r="AD236" s="11"/>
      <c r="AE236" s="11"/>
      <c r="AF236" s="11"/>
      <c r="AG236" s="11"/>
      <c r="AH236" s="11"/>
      <c r="AI236" s="11"/>
      <c r="AJ236" s="25"/>
      <c r="AK236" s="50" t="s">
        <v>13</v>
      </c>
      <c r="AL236" s="8"/>
      <c r="AM236" s="11"/>
      <c r="AN236" s="11"/>
      <c r="AO236" s="17"/>
      <c r="AP236" s="11"/>
      <c r="AQ236" s="8"/>
    </row>
    <row r="237" spans="1:45">
      <c r="A237" s="28"/>
      <c r="B237" s="50" t="s">
        <v>13</v>
      </c>
      <c r="C237" s="8"/>
      <c r="D237" s="8"/>
      <c r="E237" s="8"/>
      <c r="F237" s="8"/>
      <c r="G237" s="8"/>
      <c r="H237" s="8"/>
      <c r="I237" s="8"/>
      <c r="J237" s="8"/>
      <c r="K237" s="8"/>
      <c r="L237" s="25"/>
      <c r="M237" s="50" t="s">
        <v>13</v>
      </c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5"/>
      <c r="AB237" s="11"/>
      <c r="AC237" s="11"/>
      <c r="AD237" s="11"/>
      <c r="AE237" s="11"/>
      <c r="AF237" s="11"/>
      <c r="AG237" s="11"/>
      <c r="AH237" s="11"/>
      <c r="AI237" s="11"/>
      <c r="AJ237" s="25"/>
      <c r="AK237" s="50" t="s">
        <v>14</v>
      </c>
      <c r="AL237" s="8"/>
      <c r="AM237" s="8"/>
      <c r="AN237" s="8"/>
      <c r="AO237" s="17"/>
      <c r="AP237" s="8"/>
      <c r="AQ237" s="8"/>
    </row>
    <row r="238" spans="1:45" customHeight="1" ht="15.75">
      <c r="A238" s="29"/>
      <c r="B238" s="52" t="s">
        <v>14</v>
      </c>
      <c r="C238" s="8"/>
      <c r="D238" s="8"/>
      <c r="E238" s="8"/>
      <c r="F238" s="8"/>
      <c r="G238" s="8"/>
      <c r="H238" s="8"/>
      <c r="I238" s="8"/>
      <c r="J238" s="8"/>
      <c r="K238" s="8"/>
      <c r="L238" s="30"/>
      <c r="M238" s="58" t="s">
        <v>14</v>
      </c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15"/>
      <c r="AB238" s="8"/>
      <c r="AC238" s="8"/>
      <c r="AD238" s="8"/>
      <c r="AE238" s="8"/>
      <c r="AF238" s="8"/>
      <c r="AG238" s="8"/>
      <c r="AH238" s="8"/>
      <c r="AI238" s="8"/>
      <c r="AJ238" s="12"/>
      <c r="AK238" s="52"/>
      <c r="AQ238" s="5"/>
    </row>
    <row r="239" spans="1:45">
      <c r="A239" s="24"/>
      <c r="B239" s="48" t="s">
        <v>1</v>
      </c>
      <c r="C239" s="61"/>
      <c r="D239" s="61"/>
      <c r="E239" s="61"/>
      <c r="F239" s="61"/>
      <c r="G239" s="61"/>
      <c r="H239" s="61"/>
      <c r="I239" s="61"/>
      <c r="J239" s="61"/>
      <c r="K239" s="64"/>
      <c r="L239" s="24"/>
      <c r="M239" s="48" t="s">
        <v>1</v>
      </c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  <c r="AH239" s="61"/>
      <c r="AI239" s="64"/>
      <c r="AJ239" s="24"/>
      <c r="AK239" s="57" t="s">
        <v>1</v>
      </c>
      <c r="AL239" s="62"/>
      <c r="AM239" s="62"/>
      <c r="AN239" s="62"/>
      <c r="AO239" s="62"/>
      <c r="AP239" s="62"/>
      <c r="AQ239" s="63"/>
    </row>
    <row r="240" spans="1:45">
      <c r="A240" s="18"/>
      <c r="B240" s="49" t="s">
        <v>2</v>
      </c>
      <c r="C240" s="11" t="str">
        <f>IF(OR(C249="",C250="",C250=0),"",IFERROR(ROUND((C249*100000)/(C250*60*8),0),""))</f>
        <v>0</v>
      </c>
      <c r="D240" s="11" t="str">
        <f>IF(OR(D249="",D250="",D250=0),"",IFERROR(ROUND((D249*100000)/(D250*60*8),0),""))</f>
        <v>0</v>
      </c>
      <c r="E240" s="11" t="str">
        <f>IF(OR(E249="",E250="",E250=0),"",IFERROR(ROUND((E249*100000)/(E250*60*8),0),""))</f>
        <v>0</v>
      </c>
      <c r="F240" s="11" t="str">
        <f>IF(OR(F249="",F250="",F250=0),"",IFERROR(ROUND((F249*100000)/(F250*60*8),0),""))</f>
        <v>0</v>
      </c>
      <c r="G240" s="11" t="str">
        <f>IF(OR(G249="",G250="",G250=0),"",IFERROR(ROUND((G249*100000)/(G250*60*8),0),""))</f>
        <v>0</v>
      </c>
      <c r="H240" s="11" t="str">
        <f>IF(OR(H249="",H250="",H250=0),"",IFERROR(ROUND((H249*100000)/(H250*60*8),0),""))</f>
        <v>0</v>
      </c>
      <c r="I240" s="11" t="str">
        <f>IF(OR(I249="",I250="",I250=0),"",IFERROR(ROUND((I249*100000)/(I250*60*8),0),""))</f>
        <v>0</v>
      </c>
      <c r="J240" s="11" t="str">
        <f>IF(OR(J249="",J250="",J250=0),"",IFERROR(ROUND((J249*100000)/(J250*60*8),0),""))</f>
        <v>0</v>
      </c>
      <c r="K240" s="11" t="str">
        <f>IF(OR(K249="",K250="",K250=0),"",IFERROR(ROUND((K249*100000)/(K250*60*8),0),""))</f>
        <v>0</v>
      </c>
      <c r="L240" s="19"/>
      <c r="M240" s="50" t="s">
        <v>2</v>
      </c>
      <c r="N240" s="11" t="str">
        <f>IF(OR(N249="",N250="",N250=0),"",IFERROR(ROUND((N249*100000)/(N250*60*8),0),""))</f>
        <v>0</v>
      </c>
      <c r="O240" s="11" t="str">
        <f>IF(OR(O249="",O250="",O250=0),"",IFERROR(ROUND((O249*100000)/(O250*60*8),0),""))</f>
        <v>0</v>
      </c>
      <c r="P240" s="11" t="str">
        <f>IF(OR(P249="",P250="",P250=0),"",IFERROR(ROUND((P249*100000)/(P250*60*8),0),""))</f>
        <v>0</v>
      </c>
      <c r="Q240" s="11" t="str">
        <f>IF(OR(Q249="",Q250="",Q250=0),"",IFERROR(ROUND((Q249*100000)/(Q250*60*8),0),""))</f>
        <v>0</v>
      </c>
      <c r="R240" s="11" t="str">
        <f>IF(OR(R249="",R250="",R250=0),"",IFERROR(ROUND((R249*100000)/(R250*60*8),0),""))</f>
        <v>0</v>
      </c>
      <c r="S240" s="11" t="str">
        <f>IF(OR(S249="",S250="",S250=0),"",IFERROR(ROUND((S249*100000)/(S250*60*8),0),""))</f>
        <v>0</v>
      </c>
      <c r="T240" s="11" t="str">
        <f>IF(OR(T249="",T250="",T250=0),"",IFERROR(ROUND((T249*100000)/(T250*60*8),0),""))</f>
        <v>0</v>
      </c>
      <c r="U240" s="11" t="str">
        <f>IF(OR(U249="",U250="",U250=0),"",IFERROR(ROUND((U249*100000)/(U250*60*8),0),""))</f>
        <v>0</v>
      </c>
      <c r="V240" s="11" t="str">
        <f>IF(OR(V249="",V250="",V250=0),"",IFERROR(ROUND((V249*100000)/(V250*60*8),0),""))</f>
        <v>0</v>
      </c>
      <c r="W240" s="11" t="str">
        <f>IF(OR(W249="",W250="",W250=0),"",IFERROR(ROUND((W249*100000)/(W250*60*8),0),""))</f>
        <v>0</v>
      </c>
      <c r="X240" s="11" t="str">
        <f>IF(OR(X249="",X250="",X250=0),"",IFERROR(ROUND((X249*100000)/(X250*60*8),0),""))</f>
        <v>0</v>
      </c>
      <c r="Y240" s="11" t="str">
        <f>IF(OR(Y249="",Y250="",Y250=0),"",IFERROR(ROUND((Y249*100000)/(Y250*60*8),0),""))</f>
        <v>0</v>
      </c>
      <c r="Z240" s="11" t="str">
        <f>IF(OR(Z249="",Z250="",Z250=0),"",IFERROR(ROUND((Z249*100000)/(Z250*60*8),0),""))</f>
        <v>0</v>
      </c>
      <c r="AA240" s="11" t="str">
        <f>IF(OR(AA249="",AA250="",AA250=0),"",IFERROR(ROUND((AA249*100000)/(AA250*60*8),0),""))</f>
        <v>0</v>
      </c>
      <c r="AB240" s="11" t="str">
        <f>IF(OR(AB249="",AB250="",AB250=0),"",IFERROR(ROUND((AB249*100000)/(AB250*60*8),0),""))</f>
        <v>0</v>
      </c>
      <c r="AC240" s="11" t="str">
        <f>IF(OR(AC249="",AC250="",AC250=0),"",IFERROR(ROUND((AC249*100000)/(AC250*60*8),0),""))</f>
        <v>0</v>
      </c>
      <c r="AD240" s="11" t="str">
        <f>IF(OR(AD249="",AD250="",AD250=0),"",IFERROR(ROUND((AD249*100000)/(AD250*60*8),0),""))</f>
        <v>0</v>
      </c>
      <c r="AE240" s="11" t="str">
        <f>IF(OR(AE249="",AE250="",AE250=0),"",IFERROR(ROUND((AE249*100000)/(AE250*60*8),0),""))</f>
        <v>0</v>
      </c>
      <c r="AF240" s="11" t="str">
        <f>IF(OR(AF249="",AF250="",AF250=0),"",IFERROR(ROUND((AF249*100000)/(AF250*60*8),0),""))</f>
        <v>0</v>
      </c>
      <c r="AG240" s="11" t="str">
        <f>IF(OR(AG249="",AG250="",AG250=0),"",IFERROR(ROUND((AG249*100000)/(AG250*60*8),0),""))</f>
        <v>0</v>
      </c>
      <c r="AH240" s="11" t="str">
        <f>IF(OR(AH249="",AH250="",AH250=0),"",IFERROR(ROUND((AH249*100000)/(AH250*60*8),0),""))</f>
        <v>0</v>
      </c>
      <c r="AI240" s="11" t="str">
        <f>IF(OR(AI249="",AI250="",AI250=0),"",IFERROR(ROUND((AI249*100000)/(AI250*60*8),0),""))</f>
        <v>0</v>
      </c>
      <c r="AJ240" s="19"/>
      <c r="AK240" s="50" t="s">
        <v>2</v>
      </c>
      <c r="AL240" s="11" t="str">
        <f>IF(OR(AL248="",AL249="",AL249=0),"",IFERROR(ROUND((AL248*100000)/(AL249*60*8),0),""))</f>
        <v>0</v>
      </c>
      <c r="AM240" s="11" t="str">
        <f>IF(OR(AM248="",AM249="",AM249=0),"",IFERROR(ROUND((AM248*100000)/(AM249*60*8),0),""))</f>
        <v>0</v>
      </c>
      <c r="AN240" s="11" t="str">
        <f>IF(OR(AN248="",AN249="",AN249=0),"",IFERROR(ROUND((AN248*100000)/(AN249*60*8),0),""))</f>
        <v>0</v>
      </c>
      <c r="AO240" s="11" t="str">
        <f>IF(OR(AO248="",AO249="",AO249=0),"",IFERROR(ROUND((AO248*100000)/(AO249*60*8),0),""))</f>
        <v>0</v>
      </c>
      <c r="AP240" s="11" t="str">
        <f>IF(OR(AP248="",AP249="",AP249=0),"",IFERROR(ROUND((AP248*100000)/(AP249*60*8),0),""))</f>
        <v>0</v>
      </c>
      <c r="AQ240" s="11" t="str">
        <f>IF(OR(AQ248="",AQ249="",AQ249=0),"",IFERROR(ROUND((AQ248*100000)/(AQ249*60*8),0),""))</f>
        <v>0</v>
      </c>
      <c r="AS240" s="1" t="str">
        <f>SUM(N241:AI241)</f>
        <v>0</v>
      </c>
    </row>
    <row r="241" spans="1:45">
      <c r="A241" s="18"/>
      <c r="B241" s="50" t="s">
        <v>3</v>
      </c>
      <c r="C241" s="8"/>
      <c r="D241" s="8"/>
      <c r="E241" s="8"/>
      <c r="F241" s="8"/>
      <c r="G241" s="8"/>
      <c r="H241" s="8"/>
      <c r="I241" s="8"/>
      <c r="J241" s="8"/>
      <c r="K241" s="8"/>
      <c r="L241" s="19"/>
      <c r="M241" s="50" t="s">
        <v>3</v>
      </c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19"/>
      <c r="AK241" s="50" t="s">
        <v>3</v>
      </c>
      <c r="AL241" s="8"/>
      <c r="AM241" s="8"/>
      <c r="AN241" s="8"/>
      <c r="AO241" s="8"/>
      <c r="AP241" s="8"/>
      <c r="AQ241" s="8"/>
      <c r="AS241" s="1" t="str">
        <f>SUM(N242:AI242)</f>
        <v>0</v>
      </c>
    </row>
    <row r="242" spans="1:45">
      <c r="A242" s="18"/>
      <c r="B242" s="50" t="s">
        <v>4</v>
      </c>
      <c r="C242" s="8"/>
      <c r="D242" s="8"/>
      <c r="E242" s="8"/>
      <c r="F242" s="8"/>
      <c r="G242" s="8"/>
      <c r="H242" s="8"/>
      <c r="I242" s="8"/>
      <c r="J242" s="8"/>
      <c r="K242" s="8"/>
      <c r="L242" s="19"/>
      <c r="M242" s="50" t="s">
        <v>4</v>
      </c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19"/>
      <c r="AK242" s="50" t="s">
        <v>4</v>
      </c>
      <c r="AL242" s="8"/>
      <c r="AM242" s="8"/>
      <c r="AN242" s="8"/>
      <c r="AO242" s="8"/>
      <c r="AP242" s="8"/>
      <c r="AQ242" s="8"/>
      <c r="AS242" s="1" t="str">
        <f>SUM(N243:AI243)</f>
        <v>0</v>
      </c>
    </row>
    <row r="243" spans="1:45">
      <c r="A243" s="18"/>
      <c r="B243" s="50" t="s">
        <v>5</v>
      </c>
      <c r="C243" s="8"/>
      <c r="D243" s="8"/>
      <c r="E243" s="8"/>
      <c r="F243" s="8"/>
      <c r="G243" s="8"/>
      <c r="H243" s="8"/>
      <c r="I243" s="8"/>
      <c r="J243" s="8"/>
      <c r="K243" s="8"/>
      <c r="L243" s="19"/>
      <c r="M243" s="50" t="s">
        <v>5</v>
      </c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19"/>
      <c r="AK243" s="50" t="s">
        <v>5</v>
      </c>
      <c r="AL243" s="8"/>
      <c r="AM243" s="8"/>
      <c r="AN243" s="8"/>
      <c r="AO243" s="8"/>
      <c r="AP243" s="8"/>
      <c r="AQ243" s="8"/>
      <c r="AS243" s="1" t="str">
        <f>SUM(N244:AI244)</f>
        <v>0</v>
      </c>
    </row>
    <row r="244" spans="1:45">
      <c r="A244" s="18"/>
      <c r="B244" s="50" t="s">
        <v>6</v>
      </c>
      <c r="C244" s="8"/>
      <c r="D244" s="8"/>
      <c r="E244" s="8"/>
      <c r="F244" s="8"/>
      <c r="G244" s="8"/>
      <c r="H244" s="8"/>
      <c r="I244" s="8"/>
      <c r="J244" s="8"/>
      <c r="K244" s="8"/>
      <c r="L244" s="19"/>
      <c r="M244" s="50" t="s">
        <v>6</v>
      </c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19"/>
      <c r="AK244" s="50" t="s">
        <v>7</v>
      </c>
      <c r="AL244" s="8"/>
      <c r="AM244" s="8"/>
      <c r="AN244" s="8"/>
      <c r="AO244" s="8"/>
      <c r="AP244" s="8"/>
      <c r="AQ244" s="8"/>
      <c r="AS244" s="1" t="str">
        <f>SUM(N245:AI245)</f>
        <v>0</v>
      </c>
    </row>
    <row r="245" spans="1:45">
      <c r="A245" s="18"/>
      <c r="B245" s="50" t="s">
        <v>7</v>
      </c>
      <c r="C245" s="8"/>
      <c r="D245" s="8"/>
      <c r="E245" s="8"/>
      <c r="F245" s="8"/>
      <c r="G245" s="8"/>
      <c r="H245" s="8"/>
      <c r="I245" s="8"/>
      <c r="J245" s="8"/>
      <c r="K245" s="8"/>
      <c r="L245" s="19"/>
      <c r="M245" s="50" t="s">
        <v>7</v>
      </c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22" t="str">
        <f>+L246</f>
        <v>0</v>
      </c>
      <c r="AK245" s="50" t="s">
        <v>8</v>
      </c>
      <c r="AL245" s="8"/>
      <c r="AM245" s="8"/>
      <c r="AN245" s="8"/>
      <c r="AO245" s="8"/>
      <c r="AP245" s="8"/>
      <c r="AQ245" s="8"/>
      <c r="AS245" s="1" t="str">
        <f>SUM(N246:AI246)</f>
        <v>0</v>
      </c>
    </row>
    <row r="246" spans="1:45">
      <c r="A246" s="20"/>
      <c r="B246" s="50" t="s">
        <v>10</v>
      </c>
      <c r="C246" s="8"/>
      <c r="D246" s="8"/>
      <c r="E246" s="8"/>
      <c r="F246" s="8"/>
      <c r="G246" s="8"/>
      <c r="H246" s="8"/>
      <c r="I246" s="8"/>
      <c r="J246" s="8"/>
      <c r="K246" s="8"/>
      <c r="L246" s="22"/>
      <c r="M246" s="50" t="s">
        <v>10</v>
      </c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22"/>
      <c r="AK246" s="50" t="s">
        <v>11</v>
      </c>
      <c r="AL246" s="8"/>
      <c r="AM246" s="8"/>
      <c r="AN246" s="8"/>
      <c r="AO246" s="8"/>
      <c r="AP246" s="8"/>
      <c r="AQ246" s="8"/>
      <c r="AS246" s="1" t="str">
        <f>SUM(N247:AI247)</f>
        <v>0</v>
      </c>
    </row>
    <row r="247" spans="1:45">
      <c r="A247" s="20"/>
      <c r="B247" s="50" t="s">
        <v>11</v>
      </c>
      <c r="C247" s="8"/>
      <c r="D247" s="8"/>
      <c r="E247" s="8"/>
      <c r="F247" s="8"/>
      <c r="G247" s="8"/>
      <c r="H247" s="8"/>
      <c r="I247" s="8"/>
      <c r="J247" s="8"/>
      <c r="K247" s="8"/>
      <c r="L247" s="22"/>
      <c r="M247" s="50" t="s">
        <v>11</v>
      </c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22"/>
      <c r="AK247" s="50" t="s">
        <v>12</v>
      </c>
      <c r="AL247" s="8"/>
      <c r="AM247" s="8"/>
      <c r="AN247" s="8"/>
      <c r="AO247" s="8"/>
      <c r="AP247" s="8"/>
      <c r="AQ247" s="8"/>
      <c r="AS247" s="1" t="str">
        <f>SUM(N248:AI248)</f>
        <v>0</v>
      </c>
    </row>
    <row r="248" spans="1:45">
      <c r="A248" s="20"/>
      <c r="B248" s="50" t="s">
        <v>12</v>
      </c>
      <c r="C248" s="8"/>
      <c r="D248" s="8"/>
      <c r="E248" s="8"/>
      <c r="F248" s="8"/>
      <c r="G248" s="8"/>
      <c r="H248" s="8"/>
      <c r="I248" s="8"/>
      <c r="J248" s="8"/>
      <c r="K248" s="8"/>
      <c r="L248" s="22"/>
      <c r="M248" s="50" t="s">
        <v>12</v>
      </c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22"/>
      <c r="AK248" s="50" t="s">
        <v>13</v>
      </c>
      <c r="AL248" s="8"/>
      <c r="AM248" s="8"/>
      <c r="AN248" s="8"/>
      <c r="AO248" s="8"/>
      <c r="AP248" s="8"/>
      <c r="AQ248" s="8"/>
    </row>
    <row r="249" spans="1:45">
      <c r="A249" s="20"/>
      <c r="B249" s="50" t="s">
        <v>13</v>
      </c>
      <c r="C249" s="8"/>
      <c r="D249" s="8"/>
      <c r="E249" s="8"/>
      <c r="F249" s="8"/>
      <c r="G249" s="8"/>
      <c r="H249" s="8"/>
      <c r="I249" s="8"/>
      <c r="J249" s="8"/>
      <c r="K249" s="8"/>
      <c r="L249" s="22"/>
      <c r="M249" s="50" t="s">
        <v>13</v>
      </c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22"/>
      <c r="AK249" s="50" t="s">
        <v>14</v>
      </c>
      <c r="AL249" s="8"/>
      <c r="AM249" s="8"/>
      <c r="AN249" s="8"/>
      <c r="AO249" s="8"/>
      <c r="AP249" s="8"/>
      <c r="AQ249" s="8"/>
    </row>
    <row r="250" spans="1:45">
      <c r="A250" s="20"/>
      <c r="B250" s="49" t="s">
        <v>14</v>
      </c>
      <c r="C250" s="8"/>
      <c r="D250" s="8"/>
      <c r="E250" s="8"/>
      <c r="F250" s="8"/>
      <c r="G250" s="8"/>
      <c r="H250" s="8"/>
      <c r="I250" s="8"/>
      <c r="J250" s="8"/>
      <c r="K250" s="8"/>
      <c r="L250" s="22"/>
      <c r="M250" s="50" t="s">
        <v>14</v>
      </c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K250" s="49"/>
      <c r="AL250" s="8"/>
      <c r="AM250" s="8"/>
      <c r="AN250" s="8"/>
      <c r="AO250" s="8"/>
      <c r="AP250" s="8"/>
      <c r="AQ250" s="8"/>
    </row>
    <row r="251" spans="1:45">
      <c r="A251" s="18"/>
      <c r="B251" s="49" t="s">
        <v>2</v>
      </c>
      <c r="C251" s="11" t="str">
        <f>IF(OR(C260="",C261="",C261=0),"",IFERROR(ROUND((C260*100000)/(C261*60*8),0),""))</f>
        <v>0</v>
      </c>
      <c r="D251" s="11" t="str">
        <f>IF(OR(D260="",D261="",D261=0),"",IFERROR(ROUND((D260*100000)/(D261*60*8),0),""))</f>
        <v>0</v>
      </c>
      <c r="E251" s="11" t="str">
        <f>IF(OR(E260="",E261="",E261=0),"",IFERROR(ROUND((E260*100000)/(E261*60*8),0),""))</f>
        <v>0</v>
      </c>
      <c r="F251" s="11" t="str">
        <f>IF(OR(F260="",F261="",F261=0),"",IFERROR(ROUND((F260*100000)/(F261*60*8),0),""))</f>
        <v>0</v>
      </c>
      <c r="G251" s="11" t="str">
        <f>IF(OR(G260="",G261="",G261=0),"",IFERROR(ROUND((G260*100000)/(G261*60*8),0),""))</f>
        <v>0</v>
      </c>
      <c r="H251" s="11" t="str">
        <f>IF(OR(H260="",H261="",H261=0),"",IFERROR(ROUND((H260*100000)/(H261*60*8),0),""))</f>
        <v>0</v>
      </c>
      <c r="I251" s="11" t="str">
        <f>IF(OR(I260="",I261="",I261=0),"",IFERROR(ROUND((I260*100000)/(I261*60*8),0),""))</f>
        <v>0</v>
      </c>
      <c r="J251" s="11" t="str">
        <f>IF(OR(J260="",J261="",J261=0),"",IFERROR(ROUND((J260*100000)/(J261*60*8),0),""))</f>
        <v>0</v>
      </c>
      <c r="K251" s="11" t="str">
        <f>IF(OR(K260="",K261="",K261=0),"",IFERROR(ROUND((K260*100000)/(K261*60*8),0),""))</f>
        <v>0</v>
      </c>
      <c r="L251" s="19"/>
      <c r="M251" s="50" t="s">
        <v>2</v>
      </c>
      <c r="N251" s="11" t="str">
        <f>IF(OR(N260="",N261="",N261=0),"",IFERROR(ROUND((N260*100000)/(N261*60*8),0),""))</f>
        <v>0</v>
      </c>
      <c r="O251" s="11" t="str">
        <f>IF(OR(O260="",O261="",O261=0),"",IFERROR(ROUND((O260*100000)/(O261*60*8),0),""))</f>
        <v>0</v>
      </c>
      <c r="P251" s="11" t="str">
        <f>IF(OR(P260="",P261="",P261=0),"",IFERROR(ROUND((P260*100000)/(P261*60*8),0),""))</f>
        <v>0</v>
      </c>
      <c r="Q251" s="11" t="str">
        <f>IF(OR(Q260="",Q261="",Q261=0),"",IFERROR(ROUND((Q260*100000)/(Q261*60*8),0),""))</f>
        <v>0</v>
      </c>
      <c r="R251" s="11" t="str">
        <f>IF(OR(R260="",R261="",R261=0),"",IFERROR(ROUND((R260*100000)/(R261*60*8),0),""))</f>
        <v>0</v>
      </c>
      <c r="S251" s="11" t="str">
        <f>IF(OR(S260="",S261="",S261=0),"",IFERROR(ROUND((S260*100000)/(S261*60*8),0),""))</f>
        <v>0</v>
      </c>
      <c r="T251" s="11" t="str">
        <f>IF(OR(T260="",T261="",T261=0),"",IFERROR(ROUND((T260*100000)/(T261*60*8),0),""))</f>
        <v>0</v>
      </c>
      <c r="U251" s="11" t="str">
        <f>IF(OR(U260="",U261="",U261=0),"",IFERROR(ROUND((U260*100000)/(U261*60*8),0),""))</f>
        <v>0</v>
      </c>
      <c r="V251" s="11" t="str">
        <f>IF(OR(V260="",V261="",V261=0),"",IFERROR(ROUND((V260*100000)/(V261*60*8),0),""))</f>
        <v>0</v>
      </c>
      <c r="W251" s="11" t="str">
        <f>IF(OR(W260="",W261="",W261=0),"",IFERROR(ROUND((W260*100000)/(W261*60*8),0),""))</f>
        <v>0</v>
      </c>
      <c r="X251" s="11" t="str">
        <f>IF(OR(X260="",X261="",X261=0),"",IFERROR(ROUND((X260*100000)/(X261*60*8),0),""))</f>
        <v>0</v>
      </c>
      <c r="Y251" s="11" t="str">
        <f>IF(OR(Y260="",Y261="",Y261=0),"",IFERROR(ROUND((Y260*100000)/(Y261*60*8),0),""))</f>
        <v>0</v>
      </c>
      <c r="Z251" s="11" t="str">
        <f>IF(OR(Z260="",Z261="",Z261=0),"",IFERROR(ROUND((Z260*100000)/(Z261*60*8),0),""))</f>
        <v>0</v>
      </c>
      <c r="AA251" s="11" t="str">
        <f>IF(OR(AA260="",AA261="",AA261=0),"",IFERROR(ROUND((AA260*100000)/(AA261*60*8),0),""))</f>
        <v>0</v>
      </c>
      <c r="AB251" s="11" t="str">
        <f>IF(OR(AB260="",AB261="",AB261=0),"",IFERROR(ROUND((AB260*100000)/(AB261*60*8),0),""))</f>
        <v>0</v>
      </c>
      <c r="AC251" s="11" t="str">
        <f>IF(OR(AC260="",AC261="",AC261=0),"",IFERROR(ROUND((AC260*100000)/(AC261*60*8),0),""))</f>
        <v>0</v>
      </c>
      <c r="AD251" s="11" t="str">
        <f>IF(OR(AD260="",AD261="",AD261=0),"",IFERROR(ROUND((AD260*100000)/(AD261*60*8),0),""))</f>
        <v>0</v>
      </c>
      <c r="AE251" s="11" t="str">
        <f>IF(OR(AE260="",AE261="",AE261=0),"",IFERROR(ROUND((AE260*100000)/(AE261*60*8),0),""))</f>
        <v>0</v>
      </c>
      <c r="AF251" s="11" t="str">
        <f>IF(OR(AF260="",AF261="",AF261=0),"",IFERROR(ROUND((AF260*100000)/(AF261*60*8),0),""))</f>
        <v>0</v>
      </c>
      <c r="AG251" s="11" t="str">
        <f>IF(OR(AG260="",AG261="",AG261=0),"",IFERROR(ROUND((AG260*100000)/(AG261*60*8),0),""))</f>
        <v>0</v>
      </c>
      <c r="AH251" s="11" t="str">
        <f>IF(OR(AH260="",AH261="",AH261=0),"",IFERROR(ROUND((AH260*100000)/(AH261*60*8),0),""))</f>
        <v>0</v>
      </c>
      <c r="AI251" s="11" t="str">
        <f>IF(OR(AI260="",AI261="",AI261=0),"",IFERROR(ROUND((AI260*100000)/(AI261*60*8),0),""))</f>
        <v>0</v>
      </c>
      <c r="AJ251" s="19"/>
      <c r="AK251" s="50" t="s">
        <v>2</v>
      </c>
      <c r="AL251" s="11" t="str">
        <f>IF(OR(AL259="",AL260="",AL260=0),"",IFERROR(ROUND((AL259*100000)/(AL260*60*8),0),""))</f>
        <v>0</v>
      </c>
      <c r="AM251" s="11" t="str">
        <f>IF(OR(AM259="",AM260="",AM260=0),"",IFERROR(ROUND((AM259*100000)/(AM260*60*8),0),""))</f>
        <v>0</v>
      </c>
      <c r="AN251" s="11" t="str">
        <f>IF(OR(AN259="",AN260="",AN260=0),"",IFERROR(ROUND((AN259*100000)/(AN260*60*8),0),""))</f>
        <v>0</v>
      </c>
      <c r="AO251" s="11" t="str">
        <f>IF(OR(AO259="",AO260="",AO260=0),"",IFERROR(ROUND((AO259*100000)/(AO260*60*8),0),""))</f>
        <v>0</v>
      </c>
      <c r="AP251" s="11" t="str">
        <f>IF(OR(AP259="",AP260="",AP260=0),"",IFERROR(ROUND((AP259*100000)/(AP260*60*8),0),""))</f>
        <v>0</v>
      </c>
      <c r="AQ251" s="11" t="str">
        <f>IF(OR(AQ259="",AQ260="",AQ260=0),"",IFERROR(ROUND((AQ259*100000)/(AQ260*60*8),0),""))</f>
        <v>0</v>
      </c>
      <c r="AS251" s="1" t="str">
        <f>SUM(N252:AI252)</f>
        <v>0</v>
      </c>
    </row>
    <row r="252" spans="1:45">
      <c r="A252" s="18"/>
      <c r="B252" s="50" t="s">
        <v>3</v>
      </c>
      <c r="C252" s="8"/>
      <c r="D252" s="8"/>
      <c r="E252" s="8"/>
      <c r="F252" s="8"/>
      <c r="G252" s="8"/>
      <c r="H252" s="8"/>
      <c r="I252" s="8"/>
      <c r="J252" s="8"/>
      <c r="K252" s="8"/>
      <c r="L252" s="19"/>
      <c r="M252" s="50" t="s">
        <v>3</v>
      </c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19"/>
      <c r="AK252" s="50" t="s">
        <v>3</v>
      </c>
      <c r="AL252" s="11"/>
      <c r="AM252" s="11"/>
      <c r="AN252" s="11"/>
      <c r="AO252" s="11"/>
      <c r="AP252" s="11"/>
      <c r="AQ252" s="8"/>
      <c r="AS252" s="1" t="str">
        <f>SUM(N253:AI253)</f>
        <v>0</v>
      </c>
    </row>
    <row r="253" spans="1:45">
      <c r="A253" s="18"/>
      <c r="B253" s="50" t="s">
        <v>4</v>
      </c>
      <c r="C253" s="8"/>
      <c r="D253" s="8"/>
      <c r="E253" s="8"/>
      <c r="F253" s="8"/>
      <c r="G253" s="8"/>
      <c r="H253" s="8"/>
      <c r="I253" s="8"/>
      <c r="J253" s="8"/>
      <c r="K253" s="8"/>
      <c r="L253" s="19"/>
      <c r="M253" s="50" t="s">
        <v>4</v>
      </c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19"/>
      <c r="AK253" s="50" t="s">
        <v>4</v>
      </c>
      <c r="AL253" s="8"/>
      <c r="AM253" s="8"/>
      <c r="AN253" s="8"/>
      <c r="AO253" s="8"/>
      <c r="AP253" s="8"/>
      <c r="AQ253" s="8"/>
      <c r="AS253" s="1" t="str">
        <f>SUM(N254:AI254)</f>
        <v>0</v>
      </c>
    </row>
    <row r="254" spans="1:45">
      <c r="A254" s="18"/>
      <c r="B254" s="50" t="s">
        <v>5</v>
      </c>
      <c r="C254" s="8"/>
      <c r="D254" s="8"/>
      <c r="E254" s="8"/>
      <c r="F254" s="8"/>
      <c r="G254" s="8"/>
      <c r="H254" s="8"/>
      <c r="I254" s="8"/>
      <c r="J254" s="8"/>
      <c r="K254" s="8"/>
      <c r="L254" s="19"/>
      <c r="M254" s="50" t="s">
        <v>5</v>
      </c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19"/>
      <c r="AK254" s="50" t="s">
        <v>5</v>
      </c>
      <c r="AL254" s="11"/>
      <c r="AM254" s="11"/>
      <c r="AN254" s="11"/>
      <c r="AO254" s="11"/>
      <c r="AP254" s="11"/>
      <c r="AQ254" s="8"/>
      <c r="AS254" s="1" t="str">
        <f>SUM(N255:AI255)</f>
        <v>0</v>
      </c>
    </row>
    <row r="255" spans="1:45">
      <c r="A255" s="18"/>
      <c r="B255" s="50" t="s">
        <v>6</v>
      </c>
      <c r="C255" s="8"/>
      <c r="D255" s="8"/>
      <c r="E255" s="8"/>
      <c r="F255" s="8"/>
      <c r="G255" s="8"/>
      <c r="H255" s="8"/>
      <c r="I255" s="8"/>
      <c r="J255" s="8"/>
      <c r="K255" s="8"/>
      <c r="L255" s="19"/>
      <c r="M255" s="50" t="s">
        <v>6</v>
      </c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19"/>
      <c r="AK255" s="50" t="s">
        <v>7</v>
      </c>
      <c r="AL255" s="8"/>
      <c r="AM255" s="8"/>
      <c r="AN255" s="8"/>
      <c r="AO255" s="8"/>
      <c r="AP255" s="8"/>
      <c r="AQ255" s="8"/>
      <c r="AS255" s="1" t="str">
        <f>SUM(N256:AI256)</f>
        <v>0</v>
      </c>
    </row>
    <row r="256" spans="1:45">
      <c r="A256" s="18"/>
      <c r="B256" s="50" t="s">
        <v>7</v>
      </c>
      <c r="C256" s="8"/>
      <c r="D256" s="8"/>
      <c r="E256" s="8"/>
      <c r="F256" s="8"/>
      <c r="G256" s="8"/>
      <c r="H256" s="8"/>
      <c r="I256" s="8"/>
      <c r="J256" s="8"/>
      <c r="K256" s="8"/>
      <c r="L256" s="19"/>
      <c r="M256" s="50" t="s">
        <v>7</v>
      </c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19"/>
      <c r="AK256" s="50" t="s">
        <v>8</v>
      </c>
      <c r="AL256" s="8"/>
      <c r="AM256" s="8"/>
      <c r="AN256" s="8"/>
      <c r="AO256" s="8"/>
      <c r="AP256" s="8"/>
      <c r="AQ256" s="8"/>
      <c r="AS256" s="1" t="str">
        <f>SUM(N257:AI257)</f>
        <v>0</v>
      </c>
    </row>
    <row r="257" spans="1:45">
      <c r="A257" s="20"/>
      <c r="B257" s="50" t="s">
        <v>10</v>
      </c>
      <c r="C257" s="8"/>
      <c r="D257" s="8"/>
      <c r="E257" s="8"/>
      <c r="F257" s="8"/>
      <c r="G257" s="8"/>
      <c r="H257" s="8"/>
      <c r="I257" s="8"/>
      <c r="J257" s="8"/>
      <c r="K257" s="8"/>
      <c r="L257" s="22"/>
      <c r="M257" s="50" t="s">
        <v>10</v>
      </c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22"/>
      <c r="AK257" s="50" t="s">
        <v>11</v>
      </c>
      <c r="AL257" s="8"/>
      <c r="AM257" s="8"/>
      <c r="AN257" s="8"/>
      <c r="AO257" s="8"/>
      <c r="AP257" s="8"/>
      <c r="AQ257" s="8"/>
      <c r="AS257" s="1" t="str">
        <f>SUM(N258:AI258)</f>
        <v>0</v>
      </c>
    </row>
    <row r="258" spans="1:45">
      <c r="A258" s="20"/>
      <c r="B258" s="50" t="s">
        <v>11</v>
      </c>
      <c r="C258" s="8"/>
      <c r="D258" s="8"/>
      <c r="E258" s="8"/>
      <c r="F258" s="8"/>
      <c r="G258" s="8"/>
      <c r="H258" s="8"/>
      <c r="I258" s="8"/>
      <c r="J258" s="8"/>
      <c r="K258" s="8"/>
      <c r="L258" s="22"/>
      <c r="M258" s="50" t="s">
        <v>11</v>
      </c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22"/>
      <c r="AK258" s="50" t="s">
        <v>12</v>
      </c>
      <c r="AL258" s="8"/>
      <c r="AM258" s="8"/>
      <c r="AN258" s="8"/>
      <c r="AO258" s="8"/>
      <c r="AP258" s="8"/>
      <c r="AQ258" s="8"/>
    </row>
    <row r="259" spans="1:45">
      <c r="A259" s="20"/>
      <c r="B259" s="50" t="s">
        <v>12</v>
      </c>
      <c r="C259" s="8"/>
      <c r="D259" s="8"/>
      <c r="E259" s="8"/>
      <c r="F259" s="8"/>
      <c r="G259" s="8"/>
      <c r="H259" s="8"/>
      <c r="I259" s="8"/>
      <c r="J259" s="8"/>
      <c r="K259" s="8"/>
      <c r="L259" s="22"/>
      <c r="M259" s="50" t="s">
        <v>12</v>
      </c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22"/>
      <c r="AK259" s="50" t="s">
        <v>13</v>
      </c>
      <c r="AL259" s="8"/>
      <c r="AM259" s="8"/>
      <c r="AN259" s="8"/>
      <c r="AO259" s="8"/>
      <c r="AP259" s="8"/>
      <c r="AQ259" s="8"/>
    </row>
    <row r="260" spans="1:45">
      <c r="A260" s="20"/>
      <c r="B260" s="50" t="s">
        <v>13</v>
      </c>
      <c r="C260" s="8"/>
      <c r="D260" s="8"/>
      <c r="E260" s="8"/>
      <c r="F260" s="8"/>
      <c r="G260" s="8"/>
      <c r="H260" s="8"/>
      <c r="I260" s="8"/>
      <c r="J260" s="8"/>
      <c r="K260" s="8"/>
      <c r="L260" s="22"/>
      <c r="M260" s="50" t="s">
        <v>13</v>
      </c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22"/>
      <c r="AK260" s="50" t="s">
        <v>14</v>
      </c>
      <c r="AL260" s="8"/>
      <c r="AM260" s="8"/>
      <c r="AN260" s="8"/>
      <c r="AO260" s="8"/>
      <c r="AP260" s="8"/>
      <c r="AQ260" s="8"/>
    </row>
    <row r="261" spans="1:45">
      <c r="A261" s="20"/>
      <c r="B261" s="49" t="s">
        <v>14</v>
      </c>
      <c r="C261" s="8"/>
      <c r="D261" s="8"/>
      <c r="E261" s="8"/>
      <c r="F261" s="8"/>
      <c r="G261" s="8"/>
      <c r="H261" s="8"/>
      <c r="I261" s="8"/>
      <c r="J261" s="8"/>
      <c r="K261" s="8"/>
      <c r="L261" s="22"/>
      <c r="M261" s="50" t="s">
        <v>14</v>
      </c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K261" s="49"/>
      <c r="AL261" s="8"/>
      <c r="AM261" s="8"/>
      <c r="AN261" s="8"/>
      <c r="AO261" s="8"/>
      <c r="AP261" s="8"/>
      <c r="AQ261" s="8"/>
    </row>
    <row r="262" spans="1:45">
      <c r="A262" s="18"/>
      <c r="B262" s="49" t="s">
        <v>2</v>
      </c>
      <c r="C262" s="11" t="str">
        <f>IF(OR(C271="",C272="",C272=0),"",IFERROR(ROUND((C271*100000)/(C272*60*8),0),""))</f>
        <v>0</v>
      </c>
      <c r="D262" s="11" t="str">
        <f>IF(OR(D271="",D272="",D272=0),"",IFERROR(ROUND((D271*100000)/(D272*60*8),0),""))</f>
        <v>0</v>
      </c>
      <c r="E262" s="11" t="str">
        <f>IF(OR(E271="",E272="",E272=0),"",IFERROR(ROUND((E271*100000)/(E272*60*8),0),""))</f>
        <v>0</v>
      </c>
      <c r="F262" s="11" t="str">
        <f>IF(OR(F271="",F272="",F272=0),"",IFERROR(ROUND((F271*100000)/(F272*60*8),0),""))</f>
        <v>0</v>
      </c>
      <c r="G262" s="11" t="str">
        <f>IF(OR(G271="",G272="",G272=0),"",IFERROR(ROUND((G271*100000)/(G272*60*8),0),""))</f>
        <v>0</v>
      </c>
      <c r="H262" s="11" t="str">
        <f>IF(OR(H271="",H272="",H272=0),"",IFERROR(ROUND((H271*100000)/(H272*60*8),0),""))</f>
        <v>0</v>
      </c>
      <c r="I262" s="11" t="str">
        <f>IF(OR(I271="",I272="",I272=0),"",IFERROR(ROUND((I271*100000)/(I272*60*8),0),""))</f>
        <v>0</v>
      </c>
      <c r="J262" s="11" t="str">
        <f>IF(OR(J271="",J272="",J272=0),"",IFERROR(ROUND((J271*100000)/(J272*60*8),0),""))</f>
        <v>0</v>
      </c>
      <c r="K262" s="11" t="str">
        <f>IF(OR(K271="",K272="",K272=0),"",IFERROR(ROUND((K271*100000)/(K272*60*8),0),""))</f>
        <v>0</v>
      </c>
      <c r="L262" s="19"/>
      <c r="M262" s="50" t="s">
        <v>2</v>
      </c>
      <c r="N262" s="11" t="str">
        <f>IF(OR(N271="",N272="",N272=0),"",IFERROR(ROUND((N271*100000)/(N272*60*8),0),""))</f>
        <v>0</v>
      </c>
      <c r="O262" s="11" t="str">
        <f>IF(OR(O271="",O272="",O272=0),"",IFERROR(ROUND((O271*100000)/(O272*60*8),0),""))</f>
        <v>0</v>
      </c>
      <c r="P262" s="11" t="str">
        <f>IF(OR(P271="",P272="",P272=0),"",IFERROR(ROUND((P271*100000)/(P272*60*8),0),""))</f>
        <v>0</v>
      </c>
      <c r="Q262" s="11" t="str">
        <f>IF(OR(Q271="",Q272="",Q272=0),"",IFERROR(ROUND((Q271*100000)/(Q272*60*8),0),""))</f>
        <v>0</v>
      </c>
      <c r="R262" s="11" t="str">
        <f>IF(OR(R271="",R272="",R272=0),"",IFERROR(ROUND((R271*100000)/(R272*60*8),0),""))</f>
        <v>0</v>
      </c>
      <c r="S262" s="11" t="str">
        <f>IF(OR(S271="",S272="",S272=0),"",IFERROR(ROUND((S271*100000)/(S272*60*8),0),""))</f>
        <v>0</v>
      </c>
      <c r="T262" s="11" t="str">
        <f>IF(OR(T271="",T272="",T272=0),"",IFERROR(ROUND((T271*100000)/(T272*60*8),0),""))</f>
        <v>0</v>
      </c>
      <c r="U262" s="11" t="str">
        <f>IF(OR(U271="",U272="",U272=0),"",IFERROR(ROUND((U271*100000)/(U272*60*8),0),""))</f>
        <v>0</v>
      </c>
      <c r="V262" s="11" t="str">
        <f>IF(OR(V271="",V272="",V272=0),"",IFERROR(ROUND((V271*100000)/(V272*60*8),0),""))</f>
        <v>0</v>
      </c>
      <c r="W262" s="11" t="str">
        <f>IF(OR(W271="",W272="",W272=0),"",IFERROR(ROUND((W271*100000)/(W272*60*8),0),""))</f>
        <v>0</v>
      </c>
      <c r="X262" s="11" t="str">
        <f>IF(OR(X271="",X272="",X272=0),"",IFERROR(ROUND((X271*100000)/(X272*60*8),0),""))</f>
        <v>0</v>
      </c>
      <c r="Y262" s="11" t="str">
        <f>IF(OR(Y271="",Y272="",Y272=0),"",IFERROR(ROUND((Y271*100000)/(Y272*60*8),0),""))</f>
        <v>0</v>
      </c>
      <c r="Z262" s="11" t="str">
        <f>IF(OR(Z271="",Z272="",Z272=0),"",IFERROR(ROUND((Z271*100000)/(Z272*60*8),0),""))</f>
        <v>0</v>
      </c>
      <c r="AA262" s="11" t="str">
        <f>IF(OR(AA271="",AA272="",AA272=0),"",IFERROR(ROUND((AA271*100000)/(AA272*60*8),0),""))</f>
        <v>0</v>
      </c>
      <c r="AB262" s="11" t="str">
        <f>IF(OR(AB271="",AB272="",AB272=0),"",IFERROR(ROUND((AB271*100000)/(AB272*60*8),0),""))</f>
        <v>0</v>
      </c>
      <c r="AC262" s="11" t="str">
        <f>IF(OR(AC271="",AC272="",AC272=0),"",IFERROR(ROUND((AC271*100000)/(AC272*60*8),0),""))</f>
        <v>0</v>
      </c>
      <c r="AD262" s="11" t="str">
        <f>IF(OR(AD271="",AD272="",AD272=0),"",IFERROR(ROUND((AD271*100000)/(AD272*60*8),0),""))</f>
        <v>0</v>
      </c>
      <c r="AE262" s="11" t="str">
        <f>IF(OR(AE271="",AE272="",AE272=0),"",IFERROR(ROUND((AE271*100000)/(AE272*60*8),0),""))</f>
        <v>0</v>
      </c>
      <c r="AF262" s="11" t="str">
        <f>IF(OR(AF271="",AF272="",AF272=0),"",IFERROR(ROUND((AF271*100000)/(AF272*60*8),0),""))</f>
        <v>0</v>
      </c>
      <c r="AG262" s="11" t="str">
        <f>IF(OR(AG271="",AG272="",AG272=0),"",IFERROR(ROUND((AG271*100000)/(AG272*60*8),0),""))</f>
        <v>0</v>
      </c>
      <c r="AH262" s="11" t="str">
        <f>IF(OR(AH271="",AH272="",AH272=0),"",IFERROR(ROUND((AH271*100000)/(AH272*60*8),0),""))</f>
        <v>0</v>
      </c>
      <c r="AI262" s="11" t="str">
        <f>IF(OR(AI271="",AI272="",AI272=0),"",IFERROR(ROUND((AI271*100000)/(AI272*60*8),0),""))</f>
        <v>0</v>
      </c>
      <c r="AJ262" s="19"/>
      <c r="AK262" s="50" t="s">
        <v>2</v>
      </c>
      <c r="AL262" s="11" t="str">
        <f>IF(OR(AL270="",AL271="",AL271=0),"",IFERROR(ROUND((AL270*100000)/(AL271*60*8),0),""))</f>
        <v>0</v>
      </c>
      <c r="AM262" s="11" t="str">
        <f>IF(OR(AM270="",AM271="",AM271=0),"",IFERROR(ROUND((AM270*100000)/(AM271*60*8),0),""))</f>
        <v>0</v>
      </c>
      <c r="AN262" s="11" t="str">
        <f>IF(OR(AN270="",AN271="",AN271=0),"",IFERROR(ROUND((AN270*100000)/(AN271*60*8),0),""))</f>
        <v>0</v>
      </c>
      <c r="AO262" s="11" t="str">
        <f>IF(OR(AO270="",AO271="",AO271=0),"",IFERROR(ROUND((AO270*100000)/(AO271*60*8),0),""))</f>
        <v>0</v>
      </c>
      <c r="AP262" s="11" t="str">
        <f>IF(OR(AP270="",AP271="",AP271=0),"",IFERROR(ROUND((AP270*100000)/(AP271*60*8),0),""))</f>
        <v>0</v>
      </c>
      <c r="AQ262" s="11" t="str">
        <f>IF(OR(AQ270="",AQ271="",AQ271=0),"",IFERROR(ROUND((AQ270*100000)/(AQ271*60*8),0),""))</f>
        <v>0</v>
      </c>
      <c r="AS262" s="1" t="str">
        <f>SUM(N263:AI263)</f>
        <v>0</v>
      </c>
    </row>
    <row r="263" spans="1:45">
      <c r="A263" s="18"/>
      <c r="B263" s="50" t="s">
        <v>3</v>
      </c>
      <c r="C263" s="8"/>
      <c r="D263" s="8"/>
      <c r="E263" s="8"/>
      <c r="F263" s="8"/>
      <c r="G263" s="8"/>
      <c r="H263" s="8"/>
      <c r="I263" s="8"/>
      <c r="J263" s="8"/>
      <c r="K263" s="8"/>
      <c r="L263" s="19"/>
      <c r="M263" s="50" t="s">
        <v>3</v>
      </c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9"/>
      <c r="AK263" s="50" t="s">
        <v>3</v>
      </c>
      <c r="AL263" s="11"/>
      <c r="AM263" s="11"/>
      <c r="AN263" s="11"/>
      <c r="AO263" s="11"/>
      <c r="AP263" s="11"/>
      <c r="AQ263" s="8"/>
      <c r="AS263" s="1" t="str">
        <f>SUM(N264:AI264)</f>
        <v>0</v>
      </c>
    </row>
    <row r="264" spans="1:45">
      <c r="A264" s="18"/>
      <c r="B264" s="50" t="s">
        <v>4</v>
      </c>
      <c r="C264" s="8"/>
      <c r="D264" s="8"/>
      <c r="E264" s="8"/>
      <c r="F264" s="8"/>
      <c r="G264" s="8"/>
      <c r="H264" s="8"/>
      <c r="I264" s="8"/>
      <c r="J264" s="8"/>
      <c r="K264" s="8"/>
      <c r="L264" s="19"/>
      <c r="M264" s="50" t="s">
        <v>4</v>
      </c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9"/>
      <c r="AK264" s="50" t="s">
        <v>4</v>
      </c>
      <c r="AL264" s="8"/>
      <c r="AM264" s="8"/>
      <c r="AN264" s="8"/>
      <c r="AO264" s="8"/>
      <c r="AP264" s="8"/>
      <c r="AQ264" s="8"/>
      <c r="AS264" s="1" t="str">
        <f>SUM(N265:AI265)</f>
        <v>0</v>
      </c>
    </row>
    <row r="265" spans="1:45">
      <c r="A265" s="18"/>
      <c r="B265" s="50" t="s">
        <v>5</v>
      </c>
      <c r="C265" s="8"/>
      <c r="D265" s="8"/>
      <c r="E265" s="8"/>
      <c r="F265" s="8"/>
      <c r="G265" s="8"/>
      <c r="H265" s="8"/>
      <c r="I265" s="8"/>
      <c r="J265" s="8"/>
      <c r="K265" s="8"/>
      <c r="L265" s="19"/>
      <c r="M265" s="50" t="s">
        <v>5</v>
      </c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9"/>
      <c r="AK265" s="50" t="s">
        <v>5</v>
      </c>
      <c r="AL265" s="11"/>
      <c r="AM265" s="11"/>
      <c r="AN265" s="11"/>
      <c r="AO265" s="11"/>
      <c r="AP265" s="11"/>
      <c r="AQ265" s="8"/>
      <c r="AS265" s="1" t="str">
        <f>SUM(N266:AI266)</f>
        <v>0</v>
      </c>
    </row>
    <row r="266" spans="1:45">
      <c r="A266" s="18"/>
      <c r="B266" s="50" t="s">
        <v>6</v>
      </c>
      <c r="C266" s="8"/>
      <c r="D266" s="8"/>
      <c r="E266" s="8"/>
      <c r="F266" s="8"/>
      <c r="G266" s="8"/>
      <c r="H266" s="8"/>
      <c r="I266" s="8"/>
      <c r="J266" s="8"/>
      <c r="K266" s="8"/>
      <c r="L266" s="19"/>
      <c r="M266" s="50" t="s">
        <v>6</v>
      </c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9"/>
      <c r="AK266" s="50" t="s">
        <v>7</v>
      </c>
      <c r="AL266" s="11"/>
      <c r="AM266" s="11"/>
      <c r="AN266" s="11"/>
      <c r="AO266" s="11"/>
      <c r="AP266" s="11"/>
      <c r="AQ266" s="8"/>
      <c r="AS266" s="1" t="str">
        <f>SUM(N267:AI267)</f>
        <v>0</v>
      </c>
    </row>
    <row r="267" spans="1:45">
      <c r="A267" s="18"/>
      <c r="B267" s="50" t="s">
        <v>7</v>
      </c>
      <c r="C267" s="8"/>
      <c r="D267" s="8"/>
      <c r="E267" s="8"/>
      <c r="F267" s="8"/>
      <c r="G267" s="8"/>
      <c r="H267" s="8"/>
      <c r="I267" s="8"/>
      <c r="J267" s="8"/>
      <c r="K267" s="8"/>
      <c r="L267" s="19"/>
      <c r="M267" s="50" t="s">
        <v>7</v>
      </c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9"/>
      <c r="AK267" s="50" t="s">
        <v>8</v>
      </c>
      <c r="AL267" s="8"/>
      <c r="AM267" s="8"/>
      <c r="AN267" s="8"/>
      <c r="AO267" s="8"/>
      <c r="AP267" s="8"/>
      <c r="AQ267" s="8"/>
      <c r="AS267" s="1" t="str">
        <f>SUM(N268:AI268)</f>
        <v>0</v>
      </c>
    </row>
    <row r="268" spans="1:45">
      <c r="A268" s="20"/>
      <c r="B268" s="50" t="s">
        <v>10</v>
      </c>
      <c r="C268" s="8"/>
      <c r="D268" s="8"/>
      <c r="E268" s="8"/>
      <c r="F268" s="8"/>
      <c r="G268" s="8"/>
      <c r="H268" s="8"/>
      <c r="I268" s="8"/>
      <c r="J268" s="8"/>
      <c r="K268" s="8"/>
      <c r="L268" s="22"/>
      <c r="M268" s="50" t="s">
        <v>10</v>
      </c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22"/>
      <c r="AK268" s="50" t="s">
        <v>11</v>
      </c>
      <c r="AL268" s="8"/>
      <c r="AM268" s="11"/>
      <c r="AN268" s="11"/>
      <c r="AO268" s="11"/>
      <c r="AP268" s="11"/>
      <c r="AQ268" s="8"/>
      <c r="AS268" s="1" t="str">
        <f>SUM(N269:AI269)</f>
        <v>0</v>
      </c>
    </row>
    <row r="269" spans="1:45">
      <c r="A269" s="20"/>
      <c r="B269" s="50" t="s">
        <v>11</v>
      </c>
      <c r="C269" s="8"/>
      <c r="D269" s="8"/>
      <c r="E269" s="8"/>
      <c r="F269" s="8"/>
      <c r="G269" s="8"/>
      <c r="H269" s="8"/>
      <c r="I269" s="8"/>
      <c r="J269" s="8"/>
      <c r="K269" s="8"/>
      <c r="L269" s="22"/>
      <c r="M269" s="50" t="s">
        <v>11</v>
      </c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22"/>
      <c r="AK269" s="50" t="s">
        <v>12</v>
      </c>
      <c r="AL269" s="8"/>
      <c r="AM269" s="8"/>
      <c r="AN269" s="8"/>
      <c r="AO269" s="8"/>
      <c r="AP269" s="8"/>
      <c r="AQ269" s="8"/>
    </row>
    <row r="270" spans="1:45">
      <c r="A270" s="20"/>
      <c r="B270" s="50" t="s">
        <v>12</v>
      </c>
      <c r="C270" s="8"/>
      <c r="D270" s="8"/>
      <c r="E270" s="8"/>
      <c r="F270" s="8"/>
      <c r="G270" s="8"/>
      <c r="H270" s="8"/>
      <c r="I270" s="8"/>
      <c r="J270" s="8"/>
      <c r="K270" s="8"/>
      <c r="L270" s="22"/>
      <c r="M270" s="50" t="s">
        <v>12</v>
      </c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22"/>
      <c r="AK270" s="50" t="s">
        <v>13</v>
      </c>
      <c r="AL270" s="8"/>
      <c r="AM270" s="11"/>
      <c r="AN270" s="11"/>
      <c r="AO270" s="11"/>
      <c r="AP270" s="11"/>
      <c r="AQ270" s="8"/>
    </row>
    <row r="271" spans="1:45">
      <c r="A271" s="20"/>
      <c r="B271" s="50" t="s">
        <v>13</v>
      </c>
      <c r="C271" s="8"/>
      <c r="D271" s="8"/>
      <c r="E271" s="8"/>
      <c r="F271" s="8"/>
      <c r="G271" s="8"/>
      <c r="H271" s="8"/>
      <c r="I271" s="8"/>
      <c r="J271" s="8"/>
      <c r="K271" s="8"/>
      <c r="L271" s="22"/>
      <c r="M271" s="50" t="s">
        <v>13</v>
      </c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22"/>
      <c r="AK271" s="50" t="s">
        <v>14</v>
      </c>
      <c r="AL271" s="8"/>
      <c r="AM271" s="8"/>
      <c r="AN271" s="8"/>
      <c r="AO271" s="8"/>
      <c r="AP271" s="8"/>
      <c r="AQ271" s="8"/>
    </row>
    <row r="272" spans="1:45" customHeight="1" ht="15.75">
      <c r="A272" s="21"/>
      <c r="B272" s="52" t="s">
        <v>14</v>
      </c>
      <c r="C272" s="8"/>
      <c r="D272" s="8"/>
      <c r="E272" s="8"/>
      <c r="F272" s="8"/>
      <c r="G272" s="8"/>
      <c r="H272" s="8"/>
      <c r="I272" s="8"/>
      <c r="J272" s="8"/>
      <c r="K272" s="8"/>
      <c r="L272" s="23"/>
      <c r="M272" s="58" t="s">
        <v>14</v>
      </c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12"/>
      <c r="AK272" s="52"/>
      <c r="AL272" s="8"/>
      <c r="AM272" s="8"/>
      <c r="AN272" s="8"/>
      <c r="AO272" s="8"/>
      <c r="AP272" s="8"/>
      <c r="AQ272" s="8"/>
    </row>
  </sheetData>
  <mergeCells>
    <mergeCell ref="A2:A7"/>
    <mergeCell ref="L2:L7"/>
    <mergeCell ref="AJ2:AJ7"/>
    <mergeCell ref="A8:A12"/>
    <mergeCell ref="L8:L12"/>
    <mergeCell ref="AJ8:AJ11"/>
    <mergeCell ref="A35:A41"/>
    <mergeCell ref="L35:L41"/>
    <mergeCell ref="AJ35:AJ41"/>
    <mergeCell ref="A24:A29"/>
    <mergeCell ref="L24:L29"/>
    <mergeCell ref="AJ24:AJ29"/>
    <mergeCell ref="A13:A18"/>
    <mergeCell ref="L13:L18"/>
    <mergeCell ref="AJ13:AJ18"/>
    <mergeCell ref="A19:A23"/>
    <mergeCell ref="L19:L23"/>
    <mergeCell ref="AJ19:AJ22"/>
    <mergeCell ref="A42:A46"/>
    <mergeCell ref="L42:L46"/>
    <mergeCell ref="AJ42:AJ45"/>
    <mergeCell ref="A30:A34"/>
    <mergeCell ref="L30:L34"/>
    <mergeCell ref="AJ30:AJ33"/>
    <mergeCell ref="A58:A63"/>
    <mergeCell ref="L58:L63"/>
    <mergeCell ref="AJ58:AJ63"/>
    <mergeCell ref="A64:A68"/>
    <mergeCell ref="L64:L68"/>
    <mergeCell ref="AJ64:AJ67"/>
    <mergeCell ref="A47:A52"/>
    <mergeCell ref="L47:L52"/>
    <mergeCell ref="AJ47:AJ52"/>
    <mergeCell ref="A53:A57"/>
    <mergeCell ref="L53:L57"/>
    <mergeCell ref="AJ53:AJ56"/>
    <mergeCell ref="A81:A86"/>
    <mergeCell ref="L81:L86"/>
    <mergeCell ref="AJ81:AJ86"/>
    <mergeCell ref="A87:A91"/>
    <mergeCell ref="L87:L91"/>
    <mergeCell ref="AJ87:AJ90"/>
    <mergeCell ref="A69:A75"/>
    <mergeCell ref="L69:L75"/>
    <mergeCell ref="AJ69:AJ74"/>
    <mergeCell ref="A76:A80"/>
    <mergeCell ref="L76:L80"/>
    <mergeCell ref="AJ76:AJ79"/>
    <mergeCell ref="A103:A109"/>
    <mergeCell ref="L103:L109"/>
    <mergeCell ref="AJ103:AJ108"/>
    <mergeCell ref="AJ109:AJ113"/>
    <mergeCell ref="A110:A114"/>
    <mergeCell ref="L110:L114"/>
    <mergeCell ref="A92:A97"/>
    <mergeCell ref="L92:L97"/>
    <mergeCell ref="AJ92:AJ97"/>
    <mergeCell ref="A98:A102"/>
    <mergeCell ref="L98:L102"/>
    <mergeCell ref="AJ98:AJ101"/>
    <mergeCell ref="A126:A131"/>
    <mergeCell ref="L126:L131"/>
    <mergeCell ref="AJ126:AJ131"/>
    <mergeCell ref="A132:A136"/>
    <mergeCell ref="L132:L136"/>
    <mergeCell ref="AJ132:AJ135"/>
    <mergeCell ref="A115:A120"/>
    <mergeCell ref="L115:L120"/>
    <mergeCell ref="AJ115:AJ120"/>
    <mergeCell ref="A121:A125"/>
    <mergeCell ref="L121:L125"/>
    <mergeCell ref="AJ121:AJ124"/>
    <mergeCell ref="A149:A154"/>
    <mergeCell ref="L149:L154"/>
    <mergeCell ref="AJ149:AJ154"/>
    <mergeCell ref="A155:A159"/>
    <mergeCell ref="L155:L159"/>
    <mergeCell ref="AJ155:AJ158"/>
    <mergeCell ref="A137:A143"/>
    <mergeCell ref="L137:L143"/>
    <mergeCell ref="AJ137:AJ142"/>
    <mergeCell ref="AJ143:AJ147"/>
    <mergeCell ref="A144:A148"/>
    <mergeCell ref="L144:L148"/>
    <mergeCell ref="A171:A177"/>
    <mergeCell ref="L171:L177"/>
    <mergeCell ref="AJ171:AJ176"/>
    <mergeCell ref="AJ177:AJ181"/>
    <mergeCell ref="A178:A182"/>
    <mergeCell ref="L178:L182"/>
    <mergeCell ref="A160:A165"/>
    <mergeCell ref="L160:L165"/>
    <mergeCell ref="AJ160:AJ165"/>
    <mergeCell ref="A166:A170"/>
    <mergeCell ref="L166:L170"/>
    <mergeCell ref="AJ166:AJ169"/>
    <mergeCell ref="A194:A199"/>
    <mergeCell ref="L194:L199"/>
    <mergeCell ref="AJ194:AJ199"/>
    <mergeCell ref="A200:A204"/>
    <mergeCell ref="L200:L204"/>
    <mergeCell ref="AJ200:AJ203"/>
    <mergeCell ref="A183:A188"/>
    <mergeCell ref="L183:L188"/>
    <mergeCell ref="AJ183:AJ188"/>
    <mergeCell ref="A189:A193"/>
    <mergeCell ref="L189:L193"/>
    <mergeCell ref="AJ189:AJ192"/>
    <mergeCell ref="A212:A216"/>
    <mergeCell ref="L212:L216"/>
    <mergeCell ref="AJ212:AJ215"/>
    <mergeCell ref="A217:A222"/>
    <mergeCell ref="L217:L222"/>
    <mergeCell ref="AJ217:AJ222"/>
    <mergeCell ref="A223:A227"/>
    <mergeCell ref="L223:L227"/>
    <mergeCell ref="A205:A211"/>
    <mergeCell ref="L205:L211"/>
    <mergeCell ref="AJ205:AJ210"/>
    <mergeCell ref="A239:A245"/>
    <mergeCell ref="L239:L245"/>
    <mergeCell ref="AJ239:AJ244"/>
    <mergeCell ref="AJ245:AJ249"/>
    <mergeCell ref="A246:A250"/>
    <mergeCell ref="L246:L250"/>
    <mergeCell ref="AJ223:AJ226"/>
    <mergeCell ref="A228:A233"/>
    <mergeCell ref="L228:L233"/>
    <mergeCell ref="AJ228:AJ233"/>
    <mergeCell ref="A234:A238"/>
    <mergeCell ref="L234:L238"/>
    <mergeCell ref="AJ234:AJ237"/>
    <mergeCell ref="A262:A267"/>
    <mergeCell ref="L262:L267"/>
    <mergeCell ref="AJ262:AJ267"/>
    <mergeCell ref="A268:A272"/>
    <mergeCell ref="L268:L272"/>
    <mergeCell ref="AJ268:AJ271"/>
    <mergeCell ref="A251:A256"/>
    <mergeCell ref="L251:L256"/>
    <mergeCell ref="AJ251:AJ256"/>
    <mergeCell ref="A257:A261"/>
    <mergeCell ref="L257:L261"/>
    <mergeCell ref="AJ257:AJ260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"/>
  <sheetViews>
    <sheetView tabSelected="0" workbookViewId="0" showGridLines="true" showRowColHeaders="1">
      <selection activeCell="G13" sqref="G13"/>
    </sheetView>
  </sheetViews>
  <sheetFormatPr defaultRowHeight="14.4" outlineLevelRow="0" outlineLevelCol="0"/>
  <cols>
    <col min="1" max="1" width="23.140625" customWidth="true" style="66"/>
    <col min="2" max="2" width="13" customWidth="true" style="0"/>
    <col min="3" max="3" width="13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</cols>
  <sheetData>
    <row r="1" spans="1:7">
      <c r="B1" s="69" t="s">
        <v>19</v>
      </c>
    </row>
    <row r="2" spans="1:7">
      <c r="A2" s="69" t="s">
        <v>20</v>
      </c>
      <c r="B2" s="66" t="s">
        <v>2</v>
      </c>
      <c r="C2" s="66" t="s">
        <v>7</v>
      </c>
      <c r="D2" s="66" t="s">
        <v>3</v>
      </c>
      <c r="E2" s="66" t="s">
        <v>5</v>
      </c>
      <c r="F2" s="66" t="s">
        <v>11</v>
      </c>
      <c r="G2" s="66" t="s">
        <v>21</v>
      </c>
    </row>
    <row r="3" spans="1:7">
      <c r="A3" s="68" t="s">
        <v>22</v>
      </c>
      <c r="B3" s="67"/>
      <c r="C3" s="67"/>
      <c r="D3" s="67"/>
      <c r="E3" s="67"/>
      <c r="F3" s="67"/>
      <c r="G3" s="67"/>
    </row>
    <row r="4" spans="1:7">
      <c r="A4" s="68" t="s">
        <v>23</v>
      </c>
      <c r="B4" s="67"/>
      <c r="C4" s="67"/>
      <c r="D4" s="67"/>
      <c r="E4" s="67"/>
      <c r="F4" s="67"/>
      <c r="G4" s="67"/>
    </row>
    <row r="5" spans="1:7">
      <c r="A5" s="68" t="s">
        <v>24</v>
      </c>
      <c r="B5" s="67"/>
      <c r="C5" s="67"/>
      <c r="D5" s="67"/>
      <c r="E5" s="67"/>
      <c r="F5" s="67"/>
      <c r="G5" s="67"/>
    </row>
    <row r="6" spans="1:7">
      <c r="A6" s="68" t="s">
        <v>25</v>
      </c>
      <c r="B6" s="67"/>
      <c r="C6" s="67"/>
      <c r="D6" s="67"/>
      <c r="E6" s="67"/>
      <c r="F6" s="67"/>
      <c r="G6" s="67"/>
    </row>
    <row r="7" spans="1:7">
      <c r="A7" s="68" t="s">
        <v>26</v>
      </c>
      <c r="B7" s="67"/>
      <c r="C7" s="67"/>
      <c r="D7" s="67"/>
      <c r="E7" s="67"/>
      <c r="F7" s="67"/>
      <c r="G7" s="67"/>
    </row>
    <row r="8" spans="1:7">
      <c r="A8" s="68" t="s">
        <v>27</v>
      </c>
      <c r="B8" s="67"/>
      <c r="C8" s="67"/>
      <c r="D8" s="67"/>
      <c r="E8" s="67"/>
      <c r="F8" s="67"/>
      <c r="G8" s="67"/>
    </row>
    <row r="9" spans="1:7">
      <c r="A9" s="68" t="s">
        <v>28</v>
      </c>
      <c r="B9" s="67"/>
      <c r="C9" s="67"/>
      <c r="D9" s="67"/>
      <c r="E9" s="67"/>
      <c r="F9" s="67"/>
      <c r="G9" s="67"/>
    </row>
    <row r="10" spans="1:7">
      <c r="A10" s="68" t="s">
        <v>29</v>
      </c>
      <c r="B10" s="67"/>
      <c r="C10" s="67"/>
      <c r="D10" s="67"/>
      <c r="E10" s="67"/>
      <c r="F10" s="67"/>
      <c r="G10" s="67"/>
    </row>
    <row r="11" spans="1:7">
      <c r="A11" s="68" t="s">
        <v>30</v>
      </c>
      <c r="B11" s="67"/>
      <c r="C11" s="67"/>
      <c r="D11" s="67"/>
      <c r="E11" s="67"/>
      <c r="F11" s="67"/>
      <c r="G11" s="67"/>
    </row>
    <row r="12" spans="1:7">
      <c r="A12" s="66" t="s">
        <v>31</v>
      </c>
      <c r="B12" s="67" t="str">
        <f>AVERAGE(B3:B11)</f>
        <v>0</v>
      </c>
      <c r="C12" s="67" t="str">
        <f>AVERAGE(C3:C11)</f>
        <v>0</v>
      </c>
      <c r="D12" s="67" t="str">
        <f>AVERAGE(D3:D11)</f>
        <v>0</v>
      </c>
      <c r="E12" s="67" t="str">
        <f>AVERAGE(E3:E11)</f>
        <v>0</v>
      </c>
      <c r="F12" s="67" t="str">
        <f>AVERAGE(F3:F11)</f>
        <v>0</v>
      </c>
      <c r="G12" s="67" t="str">
        <f>AVERAGE(G3:G11)</f>
        <v>0</v>
      </c>
    </row>
    <row r="13" spans="1:7">
      <c r="A13" s="68" t="s">
        <v>32</v>
      </c>
      <c r="B13" s="67"/>
      <c r="C13" s="67" t="str">
        <f>SUM(C3:C11)</f>
        <v>0</v>
      </c>
      <c r="D13" s="67" t="str">
        <f>SUM(D3:D11)</f>
        <v>0</v>
      </c>
      <c r="E13" s="67" t="str">
        <f>SUM(E3:E11)</f>
        <v>0</v>
      </c>
      <c r="F13" s="67" t="str">
        <f>SUM(F3:F11)</f>
        <v>0</v>
      </c>
      <c r="G13" s="67" t="str">
        <f>SUM(G3:G11)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"/>
  <sheetViews>
    <sheetView tabSelected="0" workbookViewId="0" showGridLines="true" showRowColHeaders="1">
      <selection activeCell="G10" sqref="G10"/>
    </sheetView>
  </sheetViews>
  <sheetFormatPr defaultRowHeight="14.4" outlineLevelRow="0" outlineLevelCol="0"/>
  <cols>
    <col min="2" max="2" width="13" customWidth="true" style="0"/>
    <col min="3" max="3" width="13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</cols>
  <sheetData>
    <row r="1" spans="1:7">
      <c r="B1" s="73" t="s">
        <v>19</v>
      </c>
    </row>
    <row r="2" spans="1:7">
      <c r="A2" s="73" t="s">
        <v>20</v>
      </c>
      <c r="B2" s="70" t="s">
        <v>2</v>
      </c>
      <c r="C2" s="70" t="s">
        <v>7</v>
      </c>
      <c r="D2" s="70" t="s">
        <v>3</v>
      </c>
      <c r="E2" s="70" t="s">
        <v>5</v>
      </c>
      <c r="F2" s="70" t="s">
        <v>11</v>
      </c>
      <c r="G2" s="70" t="s">
        <v>21</v>
      </c>
    </row>
    <row r="3" spans="1:7">
      <c r="A3" s="72" t="s">
        <v>33</v>
      </c>
      <c r="B3" s="71"/>
      <c r="C3" s="71"/>
      <c r="D3" s="71"/>
      <c r="E3" s="71"/>
      <c r="F3" s="71"/>
      <c r="G3" s="71"/>
    </row>
    <row r="4" spans="1:7">
      <c r="A4" s="72" t="s">
        <v>34</v>
      </c>
      <c r="B4" s="71"/>
      <c r="C4" s="71"/>
      <c r="D4" s="71"/>
      <c r="E4" s="71"/>
      <c r="F4" s="71"/>
      <c r="G4" s="71"/>
    </row>
    <row r="5" spans="1:7">
      <c r="A5" s="72" t="s">
        <v>35</v>
      </c>
      <c r="B5" s="71"/>
      <c r="C5" s="71"/>
      <c r="D5" s="71"/>
      <c r="E5" s="71"/>
      <c r="F5" s="71"/>
      <c r="G5" s="71"/>
    </row>
    <row r="6" spans="1:7">
      <c r="A6" s="72" t="s">
        <v>36</v>
      </c>
      <c r="B6" s="71"/>
      <c r="C6" s="71"/>
      <c r="D6" s="71"/>
      <c r="E6" s="71"/>
      <c r="F6" s="71"/>
      <c r="G6" s="71"/>
    </row>
    <row r="7" spans="1:7">
      <c r="A7" s="72" t="s">
        <v>37</v>
      </c>
      <c r="B7" s="71"/>
      <c r="C7" s="71"/>
      <c r="D7" s="71"/>
      <c r="E7" s="71"/>
      <c r="F7" s="71"/>
      <c r="G7" s="71"/>
    </row>
    <row r="8" spans="1:7">
      <c r="A8" s="72" t="s">
        <v>38</v>
      </c>
      <c r="B8" s="71"/>
      <c r="C8" s="71"/>
      <c r="D8" s="71"/>
      <c r="E8" s="71"/>
      <c r="F8" s="71"/>
      <c r="G8" s="71"/>
    </row>
    <row r="9" spans="1:7">
      <c r="A9" s="72" t="s">
        <v>31</v>
      </c>
      <c r="B9" s="71" t="str">
        <f>AVERAGE(B3:B8)</f>
        <v>0</v>
      </c>
      <c r="C9" s="71" t="str">
        <f>AVERAGE(C3:C8)</f>
        <v>0</v>
      </c>
      <c r="D9" s="71" t="str">
        <f>AVERAGE(D3:D8)</f>
        <v>0</v>
      </c>
      <c r="E9" s="71" t="str">
        <f>AVERAGE(E3:E8)</f>
        <v>0</v>
      </c>
      <c r="F9" s="71" t="str">
        <f>AVERAGE(F3:F8)</f>
        <v>0</v>
      </c>
      <c r="G9" s="71" t="str">
        <f>AVERAGE(G3:G8)</f>
        <v>0</v>
      </c>
    </row>
    <row r="10" spans="1:7">
      <c r="A10" s="72" t="s">
        <v>39</v>
      </c>
      <c r="B10" s="71" t="str">
        <f>SUM(B3:B8)</f>
        <v>0</v>
      </c>
      <c r="C10" s="71" t="str">
        <f>SUM(C3:C8)</f>
        <v>0</v>
      </c>
      <c r="D10" s="71" t="str">
        <f>SUM(D3:D8)</f>
        <v>0</v>
      </c>
      <c r="E10" s="71" t="str">
        <f>SUM(E3:E8)</f>
        <v>0</v>
      </c>
      <c r="F10" s="71" t="str">
        <f>SUM(F3:F8)</f>
        <v>0</v>
      </c>
      <c r="G10" s="71" t="str">
        <f>SUM(G3:G8)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"/>
  <sheetViews>
    <sheetView tabSelected="0" workbookViewId="0" showGridLines="true" showRowColHeaders="1">
      <selection activeCell="G16" sqref="G16"/>
    </sheetView>
  </sheetViews>
  <sheetFormatPr defaultRowHeight="14.4" outlineLevelRow="0" outlineLevelCol="0"/>
  <cols>
    <col min="1" max="1" width="20.28515625" customWidth="true" style="74"/>
    <col min="2" max="2" width="13" customWidth="true" style="0"/>
    <col min="3" max="3" width="13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</cols>
  <sheetData>
    <row r="1" spans="1:7">
      <c r="B1" s="77" t="s">
        <v>19</v>
      </c>
    </row>
    <row r="2" spans="1:7">
      <c r="A2" s="77" t="s">
        <v>20</v>
      </c>
      <c r="B2" s="74" t="s">
        <v>2</v>
      </c>
      <c r="C2" s="74" t="s">
        <v>7</v>
      </c>
      <c r="D2" s="74" t="s">
        <v>3</v>
      </c>
      <c r="E2" s="74" t="s">
        <v>5</v>
      </c>
      <c r="F2" s="74" t="s">
        <v>11</v>
      </c>
      <c r="G2" s="74" t="s">
        <v>21</v>
      </c>
    </row>
    <row r="3" spans="1:7">
      <c r="A3" s="76" t="s">
        <v>40</v>
      </c>
      <c r="B3" s="75"/>
      <c r="C3" s="75"/>
      <c r="D3" s="75"/>
      <c r="E3" s="75"/>
      <c r="F3" s="75"/>
      <c r="G3" s="75"/>
    </row>
    <row r="4" spans="1:7">
      <c r="A4" s="76" t="s">
        <v>41</v>
      </c>
      <c r="B4" s="75"/>
      <c r="C4" s="75"/>
      <c r="D4" s="75"/>
      <c r="E4" s="75"/>
      <c r="F4" s="75"/>
      <c r="G4" s="75"/>
    </row>
    <row r="5" spans="1:7">
      <c r="A5" s="76" t="s">
        <v>42</v>
      </c>
      <c r="B5" s="75"/>
      <c r="C5" s="75"/>
      <c r="D5" s="75"/>
      <c r="E5" s="75"/>
      <c r="F5" s="75"/>
      <c r="G5" s="75"/>
    </row>
    <row r="6" spans="1:7">
      <c r="A6" s="76" t="s">
        <v>43</v>
      </c>
      <c r="B6" s="75"/>
      <c r="C6" s="75"/>
      <c r="D6" s="75"/>
      <c r="E6" s="75"/>
      <c r="F6" s="75"/>
      <c r="G6" s="75"/>
    </row>
    <row r="7" spans="1:7">
      <c r="A7" s="76" t="s">
        <v>44</v>
      </c>
      <c r="B7" s="75"/>
      <c r="C7" s="75"/>
      <c r="D7" s="75"/>
      <c r="E7" s="75"/>
      <c r="F7" s="75"/>
      <c r="G7" s="75"/>
    </row>
    <row r="8" spans="1:7">
      <c r="A8" s="76" t="s">
        <v>45</v>
      </c>
      <c r="B8" s="75"/>
      <c r="C8" s="75"/>
      <c r="D8" s="75"/>
      <c r="E8" s="75"/>
      <c r="F8" s="75"/>
      <c r="G8" s="75"/>
    </row>
    <row r="9" spans="1:7">
      <c r="A9" s="76" t="s">
        <v>46</v>
      </c>
      <c r="B9" s="75"/>
      <c r="C9" s="75"/>
      <c r="D9" s="75"/>
      <c r="E9" s="75"/>
      <c r="F9" s="75"/>
      <c r="G9" s="75"/>
    </row>
    <row r="10" spans="1:7">
      <c r="A10" s="76" t="s">
        <v>47</v>
      </c>
      <c r="B10" s="75"/>
      <c r="C10" s="75"/>
      <c r="D10" s="75"/>
      <c r="E10" s="75"/>
      <c r="F10" s="75"/>
      <c r="G10" s="75"/>
    </row>
    <row r="11" spans="1:7">
      <c r="A11" s="76" t="s">
        <v>48</v>
      </c>
      <c r="B11" s="75"/>
      <c r="C11" s="75"/>
      <c r="D11" s="75"/>
      <c r="E11" s="75"/>
      <c r="F11" s="75"/>
      <c r="G11" s="75"/>
    </row>
    <row r="12" spans="1:7">
      <c r="A12" s="76" t="s">
        <v>49</v>
      </c>
      <c r="B12" s="75"/>
      <c r="C12" s="75"/>
      <c r="D12" s="75"/>
      <c r="E12" s="75"/>
      <c r="F12" s="75"/>
      <c r="G12" s="75"/>
    </row>
    <row r="13" spans="1:7">
      <c r="A13" s="76" t="s">
        <v>50</v>
      </c>
      <c r="B13" s="75"/>
      <c r="C13" s="75"/>
      <c r="D13" s="75"/>
      <c r="E13" s="75"/>
      <c r="F13" s="75"/>
      <c r="G13" s="75"/>
    </row>
    <row r="14" spans="1:7">
      <c r="A14" s="76" t="s">
        <v>51</v>
      </c>
      <c r="B14" s="75"/>
      <c r="C14" s="75"/>
      <c r="D14" s="75"/>
      <c r="E14" s="75"/>
      <c r="F14" s="75"/>
      <c r="G14" s="75"/>
    </row>
    <row r="15" spans="1:7">
      <c r="A15" s="76" t="s">
        <v>52</v>
      </c>
      <c r="B15" s="75" t="str">
        <f>AVERAGE(B3:B14)</f>
        <v>0</v>
      </c>
      <c r="C15" s="75" t="str">
        <f>AVERAGE(C3:C14)</f>
        <v>0</v>
      </c>
      <c r="D15" s="75" t="str">
        <f>AVERAGE(D3:D14)</f>
        <v>0</v>
      </c>
      <c r="E15" s="75" t="str">
        <f>AVERAGE(E3:E14)</f>
        <v>0</v>
      </c>
      <c r="F15" s="75" t="str">
        <f>AVERAGE(F3:F14)</f>
        <v>0</v>
      </c>
      <c r="G15" s="75" t="str">
        <f>AVERAGE(G3:G14)</f>
        <v>0</v>
      </c>
    </row>
    <row r="16" spans="1:7">
      <c r="A16" s="76" t="s">
        <v>53</v>
      </c>
      <c r="B16" s="75" t="str">
        <f>SUM(B3:B14)</f>
        <v>0</v>
      </c>
      <c r="C16" s="75" t="str">
        <f>SUM(C3:C14)</f>
        <v>0</v>
      </c>
      <c r="D16" s="75" t="str">
        <f>SUM(D3:D14)</f>
        <v>0</v>
      </c>
      <c r="E16" s="75" t="str">
        <f>SUM(E3:E14)</f>
        <v>0</v>
      </c>
      <c r="F16" s="75" t="str">
        <f>SUM(F3:F14)</f>
        <v>0</v>
      </c>
      <c r="G16" s="75" t="str">
        <f>SUM(G3:G14)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"/>
  <sheetViews>
    <sheetView tabSelected="0" workbookViewId="0" showGridLines="true" showRowColHeaders="1">
      <selection activeCell="G14" sqref="G14"/>
    </sheetView>
  </sheetViews>
  <sheetFormatPr defaultRowHeight="14.4" outlineLevelRow="0" outlineLevelCol="0"/>
  <cols>
    <col min="1" max="1" width="17.140625" customWidth="true" style="78"/>
    <col min="2" max="2" width="13" customWidth="true" style="0"/>
    <col min="3" max="3" width="13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</cols>
  <sheetData>
    <row r="1" spans="1:7">
      <c r="B1" s="81" t="s">
        <v>19</v>
      </c>
    </row>
    <row r="2" spans="1:7">
      <c r="A2" s="81" t="s">
        <v>20</v>
      </c>
      <c r="B2" s="78" t="s">
        <v>2</v>
      </c>
      <c r="C2" s="78" t="s">
        <v>7</v>
      </c>
      <c r="D2" s="78" t="s">
        <v>3</v>
      </c>
      <c r="E2" s="78" t="s">
        <v>5</v>
      </c>
      <c r="F2" s="78" t="s">
        <v>11</v>
      </c>
      <c r="G2" s="78" t="s">
        <v>21</v>
      </c>
    </row>
    <row r="3" spans="1:7">
      <c r="A3" s="80" t="s">
        <v>54</v>
      </c>
      <c r="B3" s="79"/>
      <c r="C3" s="79"/>
      <c r="D3" s="79"/>
      <c r="E3" s="79"/>
      <c r="F3" s="79"/>
      <c r="G3" s="79"/>
    </row>
    <row r="4" spans="1:7">
      <c r="A4" s="80" t="s">
        <v>55</v>
      </c>
      <c r="B4" s="79"/>
      <c r="C4" s="79"/>
      <c r="D4" s="79"/>
      <c r="E4" s="79"/>
      <c r="F4" s="79"/>
      <c r="G4" s="79"/>
    </row>
    <row r="5" spans="1:7">
      <c r="A5" s="80" t="s">
        <v>56</v>
      </c>
      <c r="B5" s="79"/>
      <c r="C5" s="79"/>
      <c r="D5" s="79"/>
      <c r="E5" s="79"/>
      <c r="F5" s="79"/>
      <c r="G5" s="79"/>
    </row>
    <row r="6" spans="1:7">
      <c r="A6" s="80" t="s">
        <v>57</v>
      </c>
      <c r="B6" s="79"/>
      <c r="C6" s="79"/>
      <c r="D6" s="79"/>
      <c r="E6" s="79"/>
      <c r="F6" s="79"/>
      <c r="G6" s="79"/>
    </row>
    <row r="7" spans="1:7">
      <c r="A7" s="80" t="s">
        <v>58</v>
      </c>
      <c r="B7" s="79"/>
      <c r="C7" s="79"/>
      <c r="D7" s="79"/>
      <c r="E7" s="79"/>
      <c r="F7" s="79"/>
      <c r="G7" s="79"/>
    </row>
    <row r="8" spans="1:7">
      <c r="A8" s="80" t="s">
        <v>59</v>
      </c>
      <c r="B8" s="79"/>
      <c r="C8" s="79"/>
      <c r="D8" s="79"/>
      <c r="E8" s="79"/>
      <c r="F8" s="79"/>
      <c r="G8" s="79"/>
    </row>
    <row r="9" spans="1:7">
      <c r="A9" s="80" t="s">
        <v>60</v>
      </c>
      <c r="B9" s="79"/>
      <c r="C9" s="79"/>
      <c r="D9" s="79"/>
      <c r="E9" s="79"/>
      <c r="F9" s="79"/>
      <c r="G9" s="79"/>
    </row>
    <row r="10" spans="1:7">
      <c r="A10" s="80" t="s">
        <v>61</v>
      </c>
      <c r="B10" s="79"/>
      <c r="C10" s="79"/>
      <c r="D10" s="79"/>
      <c r="E10" s="79"/>
      <c r="F10" s="79"/>
      <c r="G10" s="79"/>
    </row>
    <row r="11" spans="1:7">
      <c r="A11" s="80" t="s">
        <v>62</v>
      </c>
      <c r="B11" s="79"/>
      <c r="C11" s="79"/>
      <c r="D11" s="79"/>
      <c r="E11" s="79"/>
      <c r="F11" s="79"/>
      <c r="G11" s="79"/>
    </row>
    <row r="12" spans="1:7">
      <c r="A12" s="80" t="s">
        <v>63</v>
      </c>
      <c r="B12" s="79"/>
      <c r="C12" s="79"/>
      <c r="D12" s="79"/>
      <c r="E12" s="79"/>
      <c r="F12" s="79"/>
      <c r="G12" s="79"/>
    </row>
    <row r="13" spans="1:7">
      <c r="A13" s="80" t="s">
        <v>52</v>
      </c>
      <c r="B13" s="79" t="str">
        <f>AVERAGE(B3:B12)</f>
        <v>0</v>
      </c>
      <c r="C13" s="79" t="str">
        <f>AVERAGE(C3:C12)</f>
        <v>0</v>
      </c>
      <c r="D13" s="79" t="str">
        <f>AVERAGE(D3:D12)</f>
        <v>0</v>
      </c>
      <c r="E13" s="79" t="str">
        <f>AVERAGE(E3:E12)</f>
        <v>0</v>
      </c>
      <c r="F13" s="79" t="str">
        <f>AVERAGE(F3:F12)</f>
        <v>0</v>
      </c>
      <c r="G13" s="79" t="str">
        <f>AVERAGE(G3:G12)</f>
        <v>0</v>
      </c>
    </row>
    <row r="14" spans="1:7">
      <c r="A14" s="80" t="s">
        <v>53</v>
      </c>
      <c r="B14" s="79" t="str">
        <f>SUM(B3:B12)</f>
        <v>0</v>
      </c>
      <c r="C14" s="79" t="str">
        <f>SUM(C3:C12)</f>
        <v>0</v>
      </c>
      <c r="D14" s="79" t="str">
        <f>SUM(D3:D12)</f>
        <v>0</v>
      </c>
      <c r="E14" s="79" t="str">
        <f>SUM(E3:E12)</f>
        <v>0</v>
      </c>
      <c r="F14" s="79" t="str">
        <f>SUM(F3:F12)</f>
        <v>0</v>
      </c>
      <c r="G14" s="79" t="str">
        <f>SUM(G3:G12)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SEMANA</vt:lpstr>
      <vt:lpstr>JACQ</vt:lpstr>
      <vt:lpstr>JACQ-SULZ</vt:lpstr>
      <vt:lpstr>SMIT</vt:lpstr>
      <vt:lpstr>ITEMA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2026-04-22T11:00:01-06:00</dcterms:created>
  <dcterms:modified xsi:type="dcterms:W3CDTF">2026-04-22T11:00:01-06:00</dcterms:modified>
  <dc:title>SEMANA</dc:title>
  <dc:description/>
  <dc:subject/>
  <cp:keywords/>
  <cp:category/>
</cp:coreProperties>
</file>